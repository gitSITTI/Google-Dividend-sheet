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Options – Open Positions" sheetId="2" r:id="rId5"/>
    <sheet state="visible" name="Options – Payoff" sheetId="3" r:id="rId6"/>
    <sheet state="visible" name="Options – Payoff (v2)" sheetId="4" r:id="rId7"/>
    <sheet state="visible" name="Prices" sheetId="5" r:id="rId8"/>
    <sheet state="visible" name="Dividends" sheetId="6" r:id="rId9"/>
    <sheet state="visible" name="Fetched Finviz Data" sheetId="7" r:id="rId10"/>
    <sheet state="visible" name="Dashboard" sheetId="8" r:id="rId11"/>
    <sheet state="visible" name="Holdings" sheetId="9" r:id="rId12"/>
    <sheet state="visible" name="Purchases" sheetId="10" r:id="rId13"/>
    <sheet state="visible" name="Projection_Biweekly" sheetId="11" r:id="rId14"/>
    <sheet state="visible" name="Projection_Monthly" sheetId="12" r:id="rId15"/>
    <sheet state="visible" name="Paycheck_Plan" sheetId="13" r:id="rId16"/>
    <sheet state="visible" name="Milestones" sheetId="14" r:id="rId17"/>
  </sheets>
  <definedNames>
    <definedName name="TOTAL_MO_INC">Inputs!$Z$1</definedName>
    <definedName name="SAFE">Inputs!$Z$1</definedName>
    <definedName name="TOTAL_EQ">Inputs!$Z$1</definedName>
    <definedName name="Y_ANN">Inputs!$Z$1</definedName>
    <definedName name="YEARS">Inputs!$Z$1</definedName>
    <definedName name="MARGINABLE">Inputs!$Z$1</definedName>
    <definedName name="START_DATE">Inputs!$Z$1</definedName>
    <definedName name="BIWEEKLY">Inputs!$Z$1</definedName>
  </definedNames>
  <calcPr/>
</workbook>
</file>

<file path=xl/sharedStrings.xml><?xml version="1.0" encoding="utf-8"?>
<sst xmlns="http://schemas.openxmlformats.org/spreadsheetml/2006/main" count="258" uniqueCount="137">
  <si>
    <t>Key</t>
  </si>
  <si>
    <t>Value</t>
  </si>
  <si>
    <t>Notes</t>
  </si>
  <si>
    <t>StartDate</t>
  </si>
  <si>
    <t>BiweeklyContribution</t>
  </si>
  <si>
    <t>BlendedYield_Annual</t>
  </si>
  <si>
    <t>Years</t>
  </si>
  <si>
    <t>MarginablePct</t>
  </si>
  <si>
    <t>SafeMarginPct</t>
  </si>
  <si>
    <t>ReservePctForPaycheck</t>
  </si>
  <si>
    <t>WeeklyGoal_$</t>
  </si>
  <si>
    <t>MonthlyGoal_$</t>
  </si>
  <si>
    <t>AnnualGoal_$</t>
  </si>
  <si>
    <t>Trade ID</t>
  </si>
  <si>
    <t>Ticker</t>
  </si>
  <si>
    <t>Open Date</t>
  </si>
  <si>
    <t>Expiry</t>
  </si>
  <si>
    <t>Strategy</t>
  </si>
  <si>
    <t>Multiplier</t>
  </si>
  <si>
    <t>Net Qty</t>
  </si>
  <si>
    <t>Leg #</t>
  </si>
  <si>
    <t>Type</t>
  </si>
  <si>
    <t>Side</t>
  </si>
  <si>
    <t>Strike</t>
  </si>
  <si>
    <t>Premium</t>
  </si>
  <si>
    <t>Leg Qty</t>
  </si>
  <si>
    <t>Status</t>
  </si>
  <si>
    <t>INTC-70C-50</t>
  </si>
  <si>
    <t>INTC</t>
  </si>
  <si>
    <t>Long Call</t>
  </si>
  <si>
    <t>CALL</t>
  </si>
  <si>
    <t>BUY</t>
  </si>
  <si>
    <t>OPEN</t>
  </si>
  <si>
    <t>IBIT-54/53P</t>
  </si>
  <si>
    <t>IBIT</t>
  </si>
  <si>
    <t>Bear Put Debit</t>
  </si>
  <si>
    <t>PUT</t>
  </si>
  <si>
    <t>SELL</t>
  </si>
  <si>
    <t>QQQ-490/460P</t>
  </si>
  <si>
    <t>QQQ</t>
  </si>
  <si>
    <t>SPY-580/550P</t>
  </si>
  <si>
    <t>SPY</t>
  </si>
  <si>
    <t>ULTY-5.5P</t>
  </si>
  <si>
    <t>ULTY</t>
  </si>
  <si>
    <t>Long Put</t>
  </si>
  <si>
    <t>NVDA-175/185C</t>
  </si>
  <si>
    <t>NVDA</t>
  </si>
  <si>
    <t>Bear Call Credit</t>
  </si>
  <si>
    <t>NVDA-145/140P</t>
  </si>
  <si>
    <t>GLD-327/321P</t>
  </si>
  <si>
    <t>GLD</t>
  </si>
  <si>
    <t>Bull Put Credit</t>
  </si>
  <si>
    <t>Selected Trade ID</t>
  </si>
  <si>
    <t>Summary</t>
  </si>
  <si>
    <t>Center Price</t>
  </si>
  <si>
    <t>Step</t>
  </si>
  <si>
    <t>Net Entry</t>
  </si>
  <si>
    <t>Width</t>
  </si>
  <si>
    <t>Max Profit</t>
  </si>
  <si>
    <t>Max Loss</t>
  </si>
  <si>
    <t>BE1</t>
  </si>
  <si>
    <t>BE2</t>
  </si>
  <si>
    <t>Points</t>
  </si>
  <si>
    <t>S_T</t>
  </si>
  <si>
    <t>P/L ($)</t>
  </si>
  <si>
    <t>ProfitOnly</t>
  </si>
  <si>
    <t>LossOnly</t>
  </si>
  <si>
    <t>Zero</t>
  </si>
  <si>
    <t/>
  </si>
  <si>
    <t>Symbol</t>
  </si>
  <si>
    <t>LastPrice</t>
  </si>
  <si>
    <t>LastUpdated</t>
  </si>
  <si>
    <t>YSPY</t>
  </si>
  <si>
    <t>IWMY</t>
  </si>
  <si>
    <t>TQQY</t>
  </si>
  <si>
    <t>PLTY</t>
  </si>
  <si>
    <t>COIW</t>
  </si>
  <si>
    <t>IndicatedYield(annual %)</t>
  </si>
  <si>
    <t>TTM_Dividend($)</t>
  </si>
  <si>
    <t>NextExDate</t>
  </si>
  <si>
    <t>KPI</t>
  </si>
  <si>
    <t>Goal</t>
  </si>
  <si>
    <t>Remaining</t>
  </si>
  <si>
    <t>AsOf</t>
  </si>
  <si>
    <t>Stocks/ETFs Equity</t>
  </si>
  <si>
    <t>Tile</t>
  </si>
  <si>
    <t>Crypto Equity</t>
  </si>
  <si>
    <t>Monthly Income (est)</t>
  </si>
  <si>
    <t>Anchor Equity</t>
  </si>
  <si>
    <t>Total Maint Req</t>
  </si>
  <si>
    <t>High-Risk Equity</t>
  </si>
  <si>
    <t>Bucket</t>
  </si>
  <si>
    <t>Equity</t>
  </si>
  <si>
    <t>Date</t>
  </si>
  <si>
    <t>Projected Monthly $</t>
  </si>
  <si>
    <t>Anchor</t>
  </si>
  <si>
    <t>High-Risk</t>
  </si>
  <si>
    <t>Crypto</t>
  </si>
  <si>
    <t>Cat_EQTY Split</t>
  </si>
  <si>
    <t>StartShares</t>
  </si>
  <si>
    <t>CumShares</t>
  </si>
  <si>
    <t>Current Price</t>
  </si>
  <si>
    <t>Avg Price</t>
  </si>
  <si>
    <t>UsedAnnualYield (%)</t>
  </si>
  <si>
    <t>NewShares (from Purchases)</t>
  </si>
  <si>
    <t>TotalShares</t>
  </si>
  <si>
    <t>Equity ($)</t>
  </si>
  <si>
    <t>MonthlyIncome ($)</t>
  </si>
  <si>
    <t>Weight</t>
  </si>
  <si>
    <t>Anchor 60%</t>
  </si>
  <si>
    <t>High 40%</t>
  </si>
  <si>
    <t>TOTALS</t>
  </si>
  <si>
    <t>Price</t>
  </si>
  <si>
    <t>Shares</t>
  </si>
  <si>
    <t>Amount ($)</t>
  </si>
  <si>
    <t>Line</t>
  </si>
  <si>
    <t>CumulativeContrib ($)</t>
  </si>
  <si>
    <t>WeeklyIncome ($)</t>
  </si>
  <si>
    <t>YearlyIncome ($)</t>
  </si>
  <si>
    <t>SafeMarginWithdrawal ($)</t>
  </si>
  <si>
    <t>WeightInBucket</t>
  </si>
  <si>
    <t>Allocation_$</t>
  </si>
  <si>
    <t>Est_Shares</t>
  </si>
  <si>
    <t>Note</t>
  </si>
  <si>
    <t>TOTAL</t>
  </si>
  <si>
    <t>Milestone</t>
  </si>
  <si>
    <t>Reached On</t>
  </si>
  <si>
    <t>Projection(Line#)</t>
  </si>
  <si>
    <t>WeeklyIncome($)</t>
  </si>
  <si>
    <t>MonthlyIncome($)</t>
  </si>
  <si>
    <t>YearlyIncome($)</t>
  </si>
  <si>
    <t>Equity($)</t>
  </si>
  <si>
    <t>SafeMargin($)</t>
  </si>
  <si>
    <t>Remaining to Goal</t>
  </si>
  <si>
    <t>Weekly income ≥ goal</t>
  </si>
  <si>
    <t>Monthly income ≥ goal</t>
  </si>
  <si>
    <t>Annual income ≥ goal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</si>
</sst>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yyyy-mm-dd"/>
    <numFmt numFmtId="166" formatCode="m/d"/>
    <numFmt numFmtId="167" formatCode="m/d/yyyy h:mm:ss"/>
    <numFmt numFmtId="168" formatCode="yyyy-mm-dd h:mm:ss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E5E7EB"/>
        <bgColor rgb="FFE5E7EB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164" xfId="0" applyFont="1" applyNumberFormat="1"/>
    <xf borderId="0" fillId="0" fontId="2" numFmtId="167" xfId="0" applyFont="1" applyNumberFormat="1"/>
    <xf borderId="0" fillId="0" fontId="2" numFmtId="168" xfId="0" applyAlignment="1" applyFont="1" applyNumberForma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2" fontId="1" numFmtId="0" xfId="0" applyAlignment="1" applyFont="1">
      <alignment horizontal="center" readingOrder="0"/>
    </xf>
    <xf borderId="0" fillId="0" fontId="4" numFmtId="10" xfId="0" applyFont="1" applyNumberFormat="1"/>
    <xf borderId="0" fillId="0" fontId="3" numFmtId="0" xfId="0" applyFont="1"/>
    <xf borderId="0" fillId="0" fontId="2" numFmtId="14" xfId="0" applyFont="1" applyNumberFormat="1"/>
    <xf borderId="0" fillId="0" fontId="2" numFmtId="164" xfId="0" applyAlignment="1" applyFont="1" applyNumberFormat="1">
      <alignment readingOrder="0"/>
    </xf>
    <xf borderId="0" fillId="0" fontId="3" numFmtId="10" xfId="0" applyFont="1" applyNumberFormat="1"/>
    <xf borderId="0" fillId="0" fontId="3" numFmtId="164" xfId="0" applyFont="1" applyNumberFormat="1"/>
    <xf borderId="0" fillId="0" fontId="3" numFmtId="0" xfId="0" applyFont="1"/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Payoff @ Expiration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'Options – Payoff'!$A$7:$A$128</c:f>
            </c:strRef>
          </c:cat>
          <c:val>
            <c:numRef>
              <c:f>'Options – Payoff'!$B$7:$B$128</c:f>
              <c:numCache/>
            </c:numRef>
          </c:val>
          <c:smooth val="0"/>
        </c:ser>
        <c:axId val="1264338464"/>
        <c:axId val="1428472845"/>
      </c:lineChart>
      <c:catAx>
        <c:axId val="126433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 price (S_T)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472845"/>
      </c:catAx>
      <c:valAx>
        <c:axId val="1428472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3384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Payoff @ Expiration (v2)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'Options – Payoff (v2)'!$A$7:$A$128</c:f>
            </c:strRef>
          </c:cat>
          <c:val>
            <c:numRef>
              <c:f>'Options – Payoff (v2)'!$B$7:$B$128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'Options – Payoff (v2)'!$A$7:$A$128</c:f>
            </c:strRef>
          </c:cat>
          <c:val>
            <c:numRef>
              <c:f>'Options – Payoff (v2)'!$C$7:$C$128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'Options – Payoff (v2)'!$A$7:$A$128</c:f>
            </c:strRef>
          </c:cat>
          <c:val>
            <c:numRef>
              <c:f>'Options – Payoff (v2)'!$D$7:$D$128</c:f>
              <c:numCache/>
            </c:numRef>
          </c:val>
          <c:smooth val="0"/>
        </c:ser>
        <c:axId val="1462686723"/>
        <c:axId val="655701490"/>
      </c:lineChart>
      <c:catAx>
        <c:axId val="1462686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 price (S_T)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701490"/>
      </c:catAx>
      <c:valAx>
        <c:axId val="655701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6867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Equity by Bucket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Dashboard!$A$8:$A$11</c:f>
            </c:strRef>
          </c:cat>
          <c:val>
            <c:numRef>
              <c:f>Dashboard!$B$8:$B$11</c:f>
              <c:numCache/>
            </c:numRef>
          </c:val>
        </c:ser>
        <c:axId val="536357934"/>
        <c:axId val="1780251674"/>
      </c:barChart>
      <c:catAx>
        <c:axId val="536357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251674"/>
      </c:catAx>
      <c:valAx>
        <c:axId val="1780251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357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Projected Monthly Income (12 periods)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Dashboard!$D$8:$D$20</c:f>
            </c:strRef>
          </c:cat>
          <c:val>
            <c:numRef>
              <c:f>Dashboard!$E$8:$E$20</c:f>
              <c:numCache/>
            </c:numRef>
          </c:val>
          <c:smooth val="0"/>
        </c:ser>
        <c:axId val="396278117"/>
        <c:axId val="161560402"/>
      </c:lineChart>
      <c:catAx>
        <c:axId val="396278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60402"/>
      </c:catAx>
      <c:valAx>
        <c:axId val="161560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278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23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3" width="40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Z1" s="2">
        <f>SUM(Holdings!K2:K1000)</f>
        <v>133.1158333</v>
      </c>
    </row>
    <row r="2">
      <c r="A2" s="3" t="s">
        <v>3</v>
      </c>
      <c r="B2" s="4">
        <v>45897.0</v>
      </c>
    </row>
    <row r="3">
      <c r="A3" s="3" t="s">
        <v>4</v>
      </c>
      <c r="B3" s="5">
        <v>2200.0</v>
      </c>
    </row>
    <row r="4">
      <c r="A4" s="3" t="s">
        <v>5</v>
      </c>
      <c r="B4" s="6">
        <v>0.65</v>
      </c>
    </row>
    <row r="5">
      <c r="A5" s="3" t="s">
        <v>6</v>
      </c>
      <c r="B5" s="3">
        <v>5.0</v>
      </c>
    </row>
    <row r="6">
      <c r="A6" s="3" t="s">
        <v>7</v>
      </c>
      <c r="B6" s="6">
        <v>0.575</v>
      </c>
    </row>
    <row r="7">
      <c r="A7" s="3" t="s">
        <v>8</v>
      </c>
      <c r="B7" s="7">
        <v>0.15</v>
      </c>
    </row>
    <row r="8">
      <c r="A8" s="3" t="s">
        <v>9</v>
      </c>
      <c r="B8" s="7">
        <v>0.1</v>
      </c>
    </row>
    <row r="9">
      <c r="A9" s="3" t="s">
        <v>10</v>
      </c>
      <c r="B9" s="8">
        <f>B11/52</f>
        <v>5384.615385</v>
      </c>
    </row>
    <row r="10">
      <c r="A10" s="3" t="s">
        <v>11</v>
      </c>
      <c r="B10" s="8">
        <f>B11/12</f>
        <v>23333.33333</v>
      </c>
    </row>
    <row r="11">
      <c r="A11" s="3" t="s">
        <v>12</v>
      </c>
      <c r="B11" s="5">
        <v>280000.0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6.86"/>
    <col customWidth="1" min="3" max="3" width="10.57"/>
    <col customWidth="1" min="4" max="4" width="6.71"/>
    <col customWidth="1" min="5" max="5" width="15.0"/>
    <col customWidth="1" min="6" max="6" width="9.86"/>
    <col customWidth="1" min="7" max="7" width="8.0"/>
    <col customWidth="1" min="8" max="8" width="6.14"/>
    <col customWidth="1" min="9" max="9" width="6.0"/>
    <col customWidth="1" min="10" max="10" width="5.57"/>
    <col customWidth="1" min="11" max="11" width="6.43"/>
    <col customWidth="1" min="12" max="12" width="9.43"/>
    <col customWidth="1" min="13" max="13" width="8.14"/>
    <col customWidth="1" min="14" max="14" width="7.0"/>
  </cols>
  <sheetData>
    <row r="1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</row>
    <row r="2">
      <c r="A2" s="10" t="s">
        <v>27</v>
      </c>
      <c r="B2" s="10" t="s">
        <v>28</v>
      </c>
      <c r="C2" s="11">
        <v>45919.0</v>
      </c>
      <c r="E2" s="10" t="s">
        <v>29</v>
      </c>
      <c r="F2" s="12">
        <v>100.0</v>
      </c>
      <c r="G2" s="12">
        <v>50.0</v>
      </c>
      <c r="H2" s="12">
        <v>1.0</v>
      </c>
      <c r="I2" s="10" t="s">
        <v>30</v>
      </c>
      <c r="J2" s="10" t="s">
        <v>31</v>
      </c>
      <c r="K2" s="12">
        <v>70.0</v>
      </c>
      <c r="L2" s="12">
        <v>0.0</v>
      </c>
      <c r="M2" s="12">
        <v>50.0</v>
      </c>
      <c r="N2" s="10" t="s">
        <v>32</v>
      </c>
    </row>
    <row r="3">
      <c r="A3" s="10" t="s">
        <v>33</v>
      </c>
      <c r="B3" s="10" t="s">
        <v>34</v>
      </c>
      <c r="C3" s="11">
        <v>45926.0</v>
      </c>
      <c r="E3" s="10" t="s">
        <v>35</v>
      </c>
      <c r="F3" s="12">
        <v>100.0</v>
      </c>
      <c r="G3" s="12">
        <v>1.0</v>
      </c>
      <c r="H3" s="12">
        <v>1.0</v>
      </c>
      <c r="I3" s="10" t="s">
        <v>36</v>
      </c>
      <c r="J3" s="10" t="s">
        <v>31</v>
      </c>
      <c r="K3" s="12">
        <v>54.0</v>
      </c>
      <c r="L3" s="12">
        <v>0.0</v>
      </c>
      <c r="M3" s="12">
        <v>1.0</v>
      </c>
      <c r="N3" s="10" t="s">
        <v>32</v>
      </c>
    </row>
    <row r="4">
      <c r="A4" s="10" t="s">
        <v>33</v>
      </c>
      <c r="B4" s="10" t="s">
        <v>34</v>
      </c>
      <c r="C4" s="11">
        <v>45926.0</v>
      </c>
      <c r="E4" s="10" t="s">
        <v>35</v>
      </c>
      <c r="F4" s="12">
        <v>100.0</v>
      </c>
      <c r="G4" s="12">
        <v>1.0</v>
      </c>
      <c r="H4" s="12">
        <v>2.0</v>
      </c>
      <c r="I4" s="10" t="s">
        <v>36</v>
      </c>
      <c r="J4" s="10" t="s">
        <v>37</v>
      </c>
      <c r="K4" s="12">
        <v>53.0</v>
      </c>
      <c r="L4" s="12">
        <v>0.0</v>
      </c>
      <c r="M4" s="12">
        <v>1.0</v>
      </c>
      <c r="N4" s="10" t="s">
        <v>32</v>
      </c>
    </row>
    <row r="5">
      <c r="A5" s="10" t="s">
        <v>38</v>
      </c>
      <c r="B5" s="10" t="s">
        <v>39</v>
      </c>
      <c r="C5" s="11">
        <v>45926.0</v>
      </c>
      <c r="E5" s="10" t="s">
        <v>35</v>
      </c>
      <c r="F5" s="12">
        <v>100.0</v>
      </c>
      <c r="G5" s="12">
        <v>1.0</v>
      </c>
      <c r="H5" s="12">
        <v>1.0</v>
      </c>
      <c r="I5" s="10" t="s">
        <v>36</v>
      </c>
      <c r="J5" s="10" t="s">
        <v>31</v>
      </c>
      <c r="K5" s="12">
        <v>490.0</v>
      </c>
      <c r="L5" s="12">
        <v>0.0</v>
      </c>
      <c r="M5" s="12">
        <v>1.0</v>
      </c>
      <c r="N5" s="10" t="s">
        <v>32</v>
      </c>
    </row>
    <row r="6">
      <c r="A6" s="10" t="s">
        <v>38</v>
      </c>
      <c r="B6" s="10" t="s">
        <v>39</v>
      </c>
      <c r="C6" s="11">
        <v>45926.0</v>
      </c>
      <c r="E6" s="10" t="s">
        <v>35</v>
      </c>
      <c r="F6" s="12">
        <v>100.0</v>
      </c>
      <c r="G6" s="12">
        <v>1.0</v>
      </c>
      <c r="H6" s="12">
        <v>2.0</v>
      </c>
      <c r="I6" s="10" t="s">
        <v>36</v>
      </c>
      <c r="J6" s="10" t="s">
        <v>37</v>
      </c>
      <c r="K6" s="12">
        <v>460.0</v>
      </c>
      <c r="L6" s="12">
        <v>0.0</v>
      </c>
      <c r="M6" s="12">
        <v>1.0</v>
      </c>
      <c r="N6" s="10" t="s">
        <v>32</v>
      </c>
    </row>
    <row r="7">
      <c r="A7" s="10" t="s">
        <v>40</v>
      </c>
      <c r="B7" s="10" t="s">
        <v>41</v>
      </c>
      <c r="C7" s="11">
        <v>45926.0</v>
      </c>
      <c r="E7" s="10" t="s">
        <v>35</v>
      </c>
      <c r="F7" s="12">
        <v>100.0</v>
      </c>
      <c r="G7" s="12">
        <v>1.0</v>
      </c>
      <c r="H7" s="12">
        <v>1.0</v>
      </c>
      <c r="I7" s="10" t="s">
        <v>36</v>
      </c>
      <c r="J7" s="10" t="s">
        <v>31</v>
      </c>
      <c r="K7" s="12">
        <v>580.0</v>
      </c>
      <c r="L7" s="12">
        <v>0.0</v>
      </c>
      <c r="M7" s="12">
        <v>1.0</v>
      </c>
      <c r="N7" s="10" t="s">
        <v>32</v>
      </c>
    </row>
    <row r="8">
      <c r="A8" s="10" t="s">
        <v>40</v>
      </c>
      <c r="B8" s="10" t="s">
        <v>41</v>
      </c>
      <c r="C8" s="11">
        <v>45926.0</v>
      </c>
      <c r="E8" s="10" t="s">
        <v>35</v>
      </c>
      <c r="F8" s="12">
        <v>100.0</v>
      </c>
      <c r="G8" s="12">
        <v>1.0</v>
      </c>
      <c r="H8" s="12">
        <v>2.0</v>
      </c>
      <c r="I8" s="10" t="s">
        <v>36</v>
      </c>
      <c r="J8" s="10" t="s">
        <v>37</v>
      </c>
      <c r="K8" s="12">
        <v>550.0</v>
      </c>
      <c r="L8" s="12">
        <v>0.0</v>
      </c>
      <c r="M8" s="12">
        <v>1.0</v>
      </c>
      <c r="N8" s="10" t="s">
        <v>32</v>
      </c>
    </row>
    <row r="9">
      <c r="A9" s="10" t="s">
        <v>42</v>
      </c>
      <c r="B9" s="10" t="s">
        <v>43</v>
      </c>
      <c r="C9" s="11">
        <v>45926.0</v>
      </c>
      <c r="E9" s="10" t="s">
        <v>44</v>
      </c>
      <c r="F9" s="12">
        <v>100.0</v>
      </c>
      <c r="G9" s="12">
        <v>1.0</v>
      </c>
      <c r="H9" s="12">
        <v>1.0</v>
      </c>
      <c r="I9" s="10" t="s">
        <v>36</v>
      </c>
      <c r="J9" s="10" t="s">
        <v>31</v>
      </c>
      <c r="K9" s="12">
        <v>5.5</v>
      </c>
      <c r="L9" s="12">
        <v>0.0</v>
      </c>
      <c r="M9" s="12">
        <v>1.0</v>
      </c>
      <c r="N9" s="10" t="s">
        <v>32</v>
      </c>
    </row>
    <row r="10">
      <c r="A10" s="10" t="s">
        <v>45</v>
      </c>
      <c r="B10" s="10" t="s">
        <v>46</v>
      </c>
      <c r="C10" s="11">
        <v>45933.0</v>
      </c>
      <c r="E10" s="10" t="s">
        <v>47</v>
      </c>
      <c r="F10" s="12">
        <v>100.0</v>
      </c>
      <c r="G10" s="12">
        <v>1.0</v>
      </c>
      <c r="H10" s="12">
        <v>1.0</v>
      </c>
      <c r="I10" s="10" t="s">
        <v>30</v>
      </c>
      <c r="J10" s="10" t="s">
        <v>37</v>
      </c>
      <c r="K10" s="12">
        <v>175.0</v>
      </c>
      <c r="L10" s="12">
        <v>0.0</v>
      </c>
      <c r="M10" s="12">
        <v>1.0</v>
      </c>
      <c r="N10" s="10" t="s">
        <v>32</v>
      </c>
    </row>
    <row r="11">
      <c r="A11" s="10" t="s">
        <v>45</v>
      </c>
      <c r="B11" s="10" t="s">
        <v>46</v>
      </c>
      <c r="C11" s="11">
        <v>45933.0</v>
      </c>
      <c r="E11" s="10" t="s">
        <v>47</v>
      </c>
      <c r="F11" s="12">
        <v>100.0</v>
      </c>
      <c r="G11" s="12">
        <v>1.0</v>
      </c>
      <c r="H11" s="12">
        <v>2.0</v>
      </c>
      <c r="I11" s="10" t="s">
        <v>30</v>
      </c>
      <c r="J11" s="10" t="s">
        <v>31</v>
      </c>
      <c r="K11" s="12">
        <v>185.0</v>
      </c>
      <c r="L11" s="12">
        <v>0.0</v>
      </c>
      <c r="M11" s="12">
        <v>1.0</v>
      </c>
      <c r="N11" s="10" t="s">
        <v>32</v>
      </c>
    </row>
    <row r="12">
      <c r="A12" s="10" t="s">
        <v>48</v>
      </c>
      <c r="B12" s="10" t="s">
        <v>46</v>
      </c>
      <c r="C12" s="11">
        <v>45933.0</v>
      </c>
      <c r="E12" s="10" t="s">
        <v>35</v>
      </c>
      <c r="F12" s="12">
        <v>100.0</v>
      </c>
      <c r="G12" s="12">
        <v>1.0</v>
      </c>
      <c r="H12" s="12">
        <v>1.0</v>
      </c>
      <c r="I12" s="10" t="s">
        <v>36</v>
      </c>
      <c r="J12" s="10" t="s">
        <v>31</v>
      </c>
      <c r="K12" s="12">
        <v>145.0</v>
      </c>
      <c r="L12" s="12">
        <v>0.0</v>
      </c>
      <c r="M12" s="12">
        <v>1.0</v>
      </c>
      <c r="N12" s="10" t="s">
        <v>32</v>
      </c>
    </row>
    <row r="13">
      <c r="A13" s="10" t="s">
        <v>48</v>
      </c>
      <c r="B13" s="10" t="s">
        <v>46</v>
      </c>
      <c r="C13" s="11">
        <v>45933.0</v>
      </c>
      <c r="E13" s="10" t="s">
        <v>35</v>
      </c>
      <c r="F13" s="12">
        <v>100.0</v>
      </c>
      <c r="G13" s="12">
        <v>1.0</v>
      </c>
      <c r="H13" s="12">
        <v>2.0</v>
      </c>
      <c r="I13" s="10" t="s">
        <v>36</v>
      </c>
      <c r="J13" s="10" t="s">
        <v>37</v>
      </c>
      <c r="K13" s="12">
        <v>140.0</v>
      </c>
      <c r="L13" s="12">
        <v>0.0</v>
      </c>
      <c r="M13" s="12">
        <v>1.0</v>
      </c>
      <c r="N13" s="10" t="s">
        <v>32</v>
      </c>
    </row>
    <row r="14">
      <c r="A14" s="10" t="s">
        <v>49</v>
      </c>
      <c r="B14" s="10" t="s">
        <v>50</v>
      </c>
      <c r="C14" s="11">
        <v>45940.0</v>
      </c>
      <c r="E14" s="10" t="s">
        <v>51</v>
      </c>
      <c r="F14" s="12">
        <v>100.0</v>
      </c>
      <c r="G14" s="12">
        <v>1.0</v>
      </c>
      <c r="H14" s="12">
        <v>1.0</v>
      </c>
      <c r="I14" s="10" t="s">
        <v>36</v>
      </c>
      <c r="J14" s="10" t="s">
        <v>37</v>
      </c>
      <c r="K14" s="12">
        <v>327.0</v>
      </c>
      <c r="L14" s="12">
        <v>0.0</v>
      </c>
      <c r="M14" s="12">
        <v>1.0</v>
      </c>
      <c r="N14" s="10" t="s">
        <v>32</v>
      </c>
    </row>
    <row r="15">
      <c r="A15" s="10" t="s">
        <v>49</v>
      </c>
      <c r="B15" s="10" t="s">
        <v>50</v>
      </c>
      <c r="C15" s="11">
        <v>45940.0</v>
      </c>
      <c r="E15" s="10" t="s">
        <v>51</v>
      </c>
      <c r="F15" s="12">
        <v>100.0</v>
      </c>
      <c r="G15" s="12">
        <v>1.0</v>
      </c>
      <c r="H15" s="12">
        <v>2.0</v>
      </c>
      <c r="I15" s="10" t="s">
        <v>36</v>
      </c>
      <c r="J15" s="10" t="s">
        <v>31</v>
      </c>
      <c r="K15" s="12">
        <v>321.0</v>
      </c>
      <c r="L15" s="12">
        <v>0.0</v>
      </c>
      <c r="M15" s="12">
        <v>1.0</v>
      </c>
      <c r="N15" s="10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6.86"/>
    <col customWidth="1" min="2" max="2" width="14.57"/>
    <col customWidth="1" min="3" max="3" width="10.29"/>
    <col customWidth="1" min="4" max="4" width="9.57"/>
    <col customWidth="1" min="5" max="5" width="5.14"/>
    <col customWidth="1" min="6" max="6" width="9.71"/>
    <col customWidth="1" min="7" max="7" width="6.43"/>
    <col customWidth="1" min="8" max="8" width="10.71"/>
  </cols>
  <sheetData>
    <row r="1">
      <c r="A1" s="10" t="s">
        <v>52</v>
      </c>
      <c r="B1" s="10" t="s">
        <v>38</v>
      </c>
      <c r="F1" s="10" t="s">
        <v>53</v>
      </c>
    </row>
    <row r="2">
      <c r="A2" s="10" t="s">
        <v>54</v>
      </c>
      <c r="B2" s="12">
        <v>50.0</v>
      </c>
    </row>
    <row r="3">
      <c r="A3" s="10" t="s">
        <v>55</v>
      </c>
      <c r="B3" s="12">
        <v>1.0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  <c r="K3" s="9" t="s">
        <v>61</v>
      </c>
    </row>
    <row r="4">
      <c r="A4" s="10" t="s">
        <v>62</v>
      </c>
      <c r="B4" s="12">
        <v>121.0</v>
      </c>
      <c r="F4" s="3" t="str">
        <f t="shared" ref="F4:K4" si="1">OPTIONS_SUMMARY($B$1)</f>
        <v>#NAME?</v>
      </c>
      <c r="G4" s="3" t="str">
        <f t="shared" si="1"/>
        <v>#NAME?</v>
      </c>
      <c r="H4" s="3" t="str">
        <f t="shared" si="1"/>
        <v>#NAME?</v>
      </c>
      <c r="I4" s="3" t="str">
        <f t="shared" si="1"/>
        <v>#NAME?</v>
      </c>
      <c r="J4" s="3" t="str">
        <f t="shared" si="1"/>
        <v>#NAME?</v>
      </c>
      <c r="K4" s="3" t="str">
        <f t="shared" si="1"/>
        <v>#NAME?</v>
      </c>
    </row>
    <row r="7">
      <c r="A7" s="9" t="s">
        <v>63</v>
      </c>
      <c r="B7" s="9" t="s">
        <v>64</v>
      </c>
      <c r="C7" s="9" t="s">
        <v>65</v>
      </c>
      <c r="D7" s="9" t="s">
        <v>66</v>
      </c>
      <c r="E7" s="10" t="s">
        <v>67</v>
      </c>
    </row>
    <row r="8">
      <c r="A8" s="3">
        <f t="array" ref="A8:A128">SEQUENCE($B$4,1,$B$2-INT($B$4/2)*$B$3,$B$3)</f>
        <v>-10</v>
      </c>
      <c r="B8" s="3" t="str">
        <f t="shared" ref="B8:B128" si="2">OPTIONS_PAYOFF($B$1, A8)</f>
        <v>#NAME?</v>
      </c>
      <c r="C8" s="3" t="str">
        <f t="shared" ref="C8:C128" si="3">IF(B8&gt;0, B8, NA())</f>
        <v>#NAME?</v>
      </c>
      <c r="D8" s="3" t="str">
        <f t="shared" ref="D8:D128" si="4">IF(B8&lt;0, B8, NA())</f>
        <v>#NAME?</v>
      </c>
      <c r="E8" s="3">
        <f t="shared" ref="E8:E128" si="5">0</f>
        <v>0</v>
      </c>
    </row>
    <row r="9">
      <c r="A9" s="3">
        <v>-9.0</v>
      </c>
      <c r="B9" s="3" t="str">
        <f t="shared" si="2"/>
        <v>#NAME?</v>
      </c>
      <c r="C9" s="3" t="str">
        <f t="shared" si="3"/>
        <v>#NAME?</v>
      </c>
      <c r="D9" s="3" t="str">
        <f t="shared" si="4"/>
        <v>#NAME?</v>
      </c>
      <c r="E9" s="3">
        <f t="shared" si="5"/>
        <v>0</v>
      </c>
    </row>
    <row r="10">
      <c r="A10" s="3">
        <v>-8.0</v>
      </c>
      <c r="B10" s="3" t="str">
        <f t="shared" si="2"/>
        <v>#NAME?</v>
      </c>
      <c r="C10" s="3" t="str">
        <f t="shared" si="3"/>
        <v>#NAME?</v>
      </c>
      <c r="D10" s="3" t="str">
        <f t="shared" si="4"/>
        <v>#NAME?</v>
      </c>
      <c r="E10" s="3">
        <f t="shared" si="5"/>
        <v>0</v>
      </c>
    </row>
    <row r="11">
      <c r="A11" s="3">
        <v>-7.0</v>
      </c>
      <c r="B11" s="3" t="str">
        <f t="shared" si="2"/>
        <v>#NAME?</v>
      </c>
      <c r="C11" s="3" t="str">
        <f t="shared" si="3"/>
        <v>#NAME?</v>
      </c>
      <c r="D11" s="3" t="str">
        <f t="shared" si="4"/>
        <v>#NAME?</v>
      </c>
      <c r="E11" s="3">
        <f t="shared" si="5"/>
        <v>0</v>
      </c>
    </row>
    <row r="12">
      <c r="A12" s="3">
        <v>-6.0</v>
      </c>
      <c r="B12" s="3" t="str">
        <f t="shared" si="2"/>
        <v>#NAME?</v>
      </c>
      <c r="C12" s="3" t="str">
        <f t="shared" si="3"/>
        <v>#NAME?</v>
      </c>
      <c r="D12" s="3" t="str">
        <f t="shared" si="4"/>
        <v>#NAME?</v>
      </c>
      <c r="E12" s="3">
        <f t="shared" si="5"/>
        <v>0</v>
      </c>
    </row>
    <row r="13">
      <c r="A13" s="3">
        <v>-5.0</v>
      </c>
      <c r="B13" s="3" t="str">
        <f t="shared" si="2"/>
        <v>#NAME?</v>
      </c>
      <c r="C13" s="3" t="str">
        <f t="shared" si="3"/>
        <v>#NAME?</v>
      </c>
      <c r="D13" s="3" t="str">
        <f t="shared" si="4"/>
        <v>#NAME?</v>
      </c>
      <c r="E13" s="3">
        <f t="shared" si="5"/>
        <v>0</v>
      </c>
    </row>
    <row r="14">
      <c r="A14" s="3">
        <v>-4.0</v>
      </c>
      <c r="B14" s="3" t="str">
        <f t="shared" si="2"/>
        <v>#NAME?</v>
      </c>
      <c r="C14" s="3" t="str">
        <f t="shared" si="3"/>
        <v>#NAME?</v>
      </c>
      <c r="D14" s="3" t="str">
        <f t="shared" si="4"/>
        <v>#NAME?</v>
      </c>
      <c r="E14" s="3">
        <f t="shared" si="5"/>
        <v>0</v>
      </c>
    </row>
    <row r="15">
      <c r="A15" s="3">
        <v>-3.0</v>
      </c>
      <c r="B15" s="3" t="str">
        <f t="shared" si="2"/>
        <v>#NAME?</v>
      </c>
      <c r="C15" s="3" t="str">
        <f t="shared" si="3"/>
        <v>#NAME?</v>
      </c>
      <c r="D15" s="3" t="str">
        <f t="shared" si="4"/>
        <v>#NAME?</v>
      </c>
      <c r="E15" s="3">
        <f t="shared" si="5"/>
        <v>0</v>
      </c>
    </row>
    <row r="16">
      <c r="A16" s="3">
        <v>-2.0</v>
      </c>
      <c r="B16" s="3" t="str">
        <f t="shared" si="2"/>
        <v>#NAME?</v>
      </c>
      <c r="C16" s="3" t="str">
        <f t="shared" si="3"/>
        <v>#NAME?</v>
      </c>
      <c r="D16" s="3" t="str">
        <f t="shared" si="4"/>
        <v>#NAME?</v>
      </c>
      <c r="E16" s="3">
        <f t="shared" si="5"/>
        <v>0</v>
      </c>
    </row>
    <row r="17">
      <c r="A17" s="3">
        <v>-1.0</v>
      </c>
      <c r="B17" s="3" t="str">
        <f t="shared" si="2"/>
        <v>#NAME?</v>
      </c>
      <c r="C17" s="3" t="str">
        <f t="shared" si="3"/>
        <v>#NAME?</v>
      </c>
      <c r="D17" s="3" t="str">
        <f t="shared" si="4"/>
        <v>#NAME?</v>
      </c>
      <c r="E17" s="3">
        <f t="shared" si="5"/>
        <v>0</v>
      </c>
    </row>
    <row r="18">
      <c r="A18" s="3">
        <v>0.0</v>
      </c>
      <c r="B18" s="3" t="str">
        <f t="shared" si="2"/>
        <v>#NAME?</v>
      </c>
      <c r="C18" s="3" t="str">
        <f t="shared" si="3"/>
        <v>#NAME?</v>
      </c>
      <c r="D18" s="3" t="str">
        <f t="shared" si="4"/>
        <v>#NAME?</v>
      </c>
      <c r="E18" s="3">
        <f t="shared" si="5"/>
        <v>0</v>
      </c>
    </row>
    <row r="19">
      <c r="A19" s="3">
        <v>1.0</v>
      </c>
      <c r="B19" s="3" t="str">
        <f t="shared" si="2"/>
        <v>#NAME?</v>
      </c>
      <c r="C19" s="3" t="str">
        <f t="shared" si="3"/>
        <v>#NAME?</v>
      </c>
      <c r="D19" s="3" t="str">
        <f t="shared" si="4"/>
        <v>#NAME?</v>
      </c>
      <c r="E19" s="3">
        <f t="shared" si="5"/>
        <v>0</v>
      </c>
    </row>
    <row r="20">
      <c r="A20" s="3">
        <v>2.0</v>
      </c>
      <c r="B20" s="3" t="str">
        <f t="shared" si="2"/>
        <v>#NAME?</v>
      </c>
      <c r="C20" s="3" t="str">
        <f t="shared" si="3"/>
        <v>#NAME?</v>
      </c>
      <c r="D20" s="3" t="str">
        <f t="shared" si="4"/>
        <v>#NAME?</v>
      </c>
      <c r="E20" s="3">
        <f t="shared" si="5"/>
        <v>0</v>
      </c>
    </row>
    <row r="21">
      <c r="A21" s="3">
        <v>3.0</v>
      </c>
      <c r="B21" s="3" t="str">
        <f t="shared" si="2"/>
        <v>#NAME?</v>
      </c>
      <c r="C21" s="3" t="str">
        <f t="shared" si="3"/>
        <v>#NAME?</v>
      </c>
      <c r="D21" s="3" t="str">
        <f t="shared" si="4"/>
        <v>#NAME?</v>
      </c>
      <c r="E21" s="3">
        <f t="shared" si="5"/>
        <v>0</v>
      </c>
    </row>
    <row r="22">
      <c r="A22" s="3">
        <v>4.0</v>
      </c>
      <c r="B22" s="3" t="str">
        <f t="shared" si="2"/>
        <v>#NAME?</v>
      </c>
      <c r="C22" s="3" t="str">
        <f t="shared" si="3"/>
        <v>#NAME?</v>
      </c>
      <c r="D22" s="3" t="str">
        <f t="shared" si="4"/>
        <v>#NAME?</v>
      </c>
      <c r="E22" s="3">
        <f t="shared" si="5"/>
        <v>0</v>
      </c>
    </row>
    <row r="23">
      <c r="A23" s="3">
        <v>5.0</v>
      </c>
      <c r="B23" s="3" t="str">
        <f t="shared" si="2"/>
        <v>#NAME?</v>
      </c>
      <c r="C23" s="3" t="str">
        <f t="shared" si="3"/>
        <v>#NAME?</v>
      </c>
      <c r="D23" s="3" t="str">
        <f t="shared" si="4"/>
        <v>#NAME?</v>
      </c>
      <c r="E23" s="3">
        <f t="shared" si="5"/>
        <v>0</v>
      </c>
    </row>
    <row r="24">
      <c r="A24" s="3">
        <v>6.0</v>
      </c>
      <c r="B24" s="3" t="str">
        <f t="shared" si="2"/>
        <v>#NAME?</v>
      </c>
      <c r="C24" s="3" t="str">
        <f t="shared" si="3"/>
        <v>#NAME?</v>
      </c>
      <c r="D24" s="3" t="str">
        <f t="shared" si="4"/>
        <v>#NAME?</v>
      </c>
      <c r="E24" s="3">
        <f t="shared" si="5"/>
        <v>0</v>
      </c>
    </row>
    <row r="25">
      <c r="A25" s="3">
        <v>7.0</v>
      </c>
      <c r="B25" s="3" t="str">
        <f t="shared" si="2"/>
        <v>#NAME?</v>
      </c>
      <c r="C25" s="3" t="str">
        <f t="shared" si="3"/>
        <v>#NAME?</v>
      </c>
      <c r="D25" s="3" t="str">
        <f t="shared" si="4"/>
        <v>#NAME?</v>
      </c>
      <c r="E25" s="3">
        <f t="shared" si="5"/>
        <v>0</v>
      </c>
    </row>
    <row r="26">
      <c r="A26" s="3">
        <v>8.0</v>
      </c>
      <c r="B26" s="3" t="str">
        <f t="shared" si="2"/>
        <v>#NAME?</v>
      </c>
      <c r="C26" s="3" t="str">
        <f t="shared" si="3"/>
        <v>#NAME?</v>
      </c>
      <c r="D26" s="3" t="str">
        <f t="shared" si="4"/>
        <v>#NAME?</v>
      </c>
      <c r="E26" s="3">
        <f t="shared" si="5"/>
        <v>0</v>
      </c>
    </row>
    <row r="27">
      <c r="A27" s="3">
        <v>9.0</v>
      </c>
      <c r="B27" s="3" t="str">
        <f t="shared" si="2"/>
        <v>#NAME?</v>
      </c>
      <c r="C27" s="3" t="str">
        <f t="shared" si="3"/>
        <v>#NAME?</v>
      </c>
      <c r="D27" s="3" t="str">
        <f t="shared" si="4"/>
        <v>#NAME?</v>
      </c>
      <c r="E27" s="3">
        <f t="shared" si="5"/>
        <v>0</v>
      </c>
    </row>
    <row r="28">
      <c r="A28" s="3">
        <v>10.0</v>
      </c>
      <c r="B28" s="3" t="str">
        <f t="shared" si="2"/>
        <v>#NAME?</v>
      </c>
      <c r="C28" s="3" t="str">
        <f t="shared" si="3"/>
        <v>#NAME?</v>
      </c>
      <c r="D28" s="3" t="str">
        <f t="shared" si="4"/>
        <v>#NAME?</v>
      </c>
      <c r="E28" s="3">
        <f t="shared" si="5"/>
        <v>0</v>
      </c>
    </row>
    <row r="29">
      <c r="A29" s="3">
        <v>11.0</v>
      </c>
      <c r="B29" s="3" t="str">
        <f t="shared" si="2"/>
        <v>#NAME?</v>
      </c>
      <c r="C29" s="3" t="str">
        <f t="shared" si="3"/>
        <v>#NAME?</v>
      </c>
      <c r="D29" s="3" t="str">
        <f t="shared" si="4"/>
        <v>#NAME?</v>
      </c>
      <c r="E29" s="3">
        <f t="shared" si="5"/>
        <v>0</v>
      </c>
    </row>
    <row r="30">
      <c r="A30" s="3">
        <v>12.0</v>
      </c>
      <c r="B30" s="3" t="str">
        <f t="shared" si="2"/>
        <v>#NAME?</v>
      </c>
      <c r="C30" s="3" t="str">
        <f t="shared" si="3"/>
        <v>#NAME?</v>
      </c>
      <c r="D30" s="3" t="str">
        <f t="shared" si="4"/>
        <v>#NAME?</v>
      </c>
      <c r="E30" s="3">
        <f t="shared" si="5"/>
        <v>0</v>
      </c>
    </row>
    <row r="31">
      <c r="A31" s="3">
        <v>13.0</v>
      </c>
      <c r="B31" s="3" t="str">
        <f t="shared" si="2"/>
        <v>#NAME?</v>
      </c>
      <c r="C31" s="3" t="str">
        <f t="shared" si="3"/>
        <v>#NAME?</v>
      </c>
      <c r="D31" s="3" t="str">
        <f t="shared" si="4"/>
        <v>#NAME?</v>
      </c>
      <c r="E31" s="3">
        <f t="shared" si="5"/>
        <v>0</v>
      </c>
    </row>
    <row r="32">
      <c r="A32" s="3">
        <v>14.0</v>
      </c>
      <c r="B32" s="3" t="str">
        <f t="shared" si="2"/>
        <v>#NAME?</v>
      </c>
      <c r="C32" s="3" t="str">
        <f t="shared" si="3"/>
        <v>#NAME?</v>
      </c>
      <c r="D32" s="3" t="str">
        <f t="shared" si="4"/>
        <v>#NAME?</v>
      </c>
      <c r="E32" s="3">
        <f t="shared" si="5"/>
        <v>0</v>
      </c>
    </row>
    <row r="33">
      <c r="A33" s="3">
        <v>15.0</v>
      </c>
      <c r="B33" s="3" t="str">
        <f t="shared" si="2"/>
        <v>#NAME?</v>
      </c>
      <c r="C33" s="3" t="str">
        <f t="shared" si="3"/>
        <v>#NAME?</v>
      </c>
      <c r="D33" s="3" t="str">
        <f t="shared" si="4"/>
        <v>#NAME?</v>
      </c>
      <c r="E33" s="3">
        <f t="shared" si="5"/>
        <v>0</v>
      </c>
    </row>
    <row r="34">
      <c r="A34" s="3">
        <v>16.0</v>
      </c>
      <c r="B34" s="3" t="str">
        <f t="shared" si="2"/>
        <v>#NAME?</v>
      </c>
      <c r="C34" s="3" t="str">
        <f t="shared" si="3"/>
        <v>#NAME?</v>
      </c>
      <c r="D34" s="3" t="str">
        <f t="shared" si="4"/>
        <v>#NAME?</v>
      </c>
      <c r="E34" s="3">
        <f t="shared" si="5"/>
        <v>0</v>
      </c>
    </row>
    <row r="35">
      <c r="A35" s="3">
        <v>17.0</v>
      </c>
      <c r="B35" s="3" t="str">
        <f t="shared" si="2"/>
        <v>#NAME?</v>
      </c>
      <c r="C35" s="3" t="str">
        <f t="shared" si="3"/>
        <v>#NAME?</v>
      </c>
      <c r="D35" s="3" t="str">
        <f t="shared" si="4"/>
        <v>#NAME?</v>
      </c>
      <c r="E35" s="3">
        <f t="shared" si="5"/>
        <v>0</v>
      </c>
    </row>
    <row r="36">
      <c r="A36" s="3">
        <v>18.0</v>
      </c>
      <c r="B36" s="3" t="str">
        <f t="shared" si="2"/>
        <v>#NAME?</v>
      </c>
      <c r="C36" s="3" t="str">
        <f t="shared" si="3"/>
        <v>#NAME?</v>
      </c>
      <c r="D36" s="3" t="str">
        <f t="shared" si="4"/>
        <v>#NAME?</v>
      </c>
      <c r="E36" s="3">
        <f t="shared" si="5"/>
        <v>0</v>
      </c>
    </row>
    <row r="37">
      <c r="A37" s="3">
        <v>19.0</v>
      </c>
      <c r="B37" s="3" t="str">
        <f t="shared" si="2"/>
        <v>#NAME?</v>
      </c>
      <c r="C37" s="3" t="str">
        <f t="shared" si="3"/>
        <v>#NAME?</v>
      </c>
      <c r="D37" s="3" t="str">
        <f t="shared" si="4"/>
        <v>#NAME?</v>
      </c>
      <c r="E37" s="3">
        <f t="shared" si="5"/>
        <v>0</v>
      </c>
    </row>
    <row r="38">
      <c r="A38" s="3">
        <v>20.0</v>
      </c>
      <c r="B38" s="3" t="str">
        <f t="shared" si="2"/>
        <v>#NAME?</v>
      </c>
      <c r="C38" s="3" t="str">
        <f t="shared" si="3"/>
        <v>#NAME?</v>
      </c>
      <c r="D38" s="3" t="str">
        <f t="shared" si="4"/>
        <v>#NAME?</v>
      </c>
      <c r="E38" s="3">
        <f t="shared" si="5"/>
        <v>0</v>
      </c>
    </row>
    <row r="39">
      <c r="A39" s="3">
        <v>21.0</v>
      </c>
      <c r="B39" s="3" t="str">
        <f t="shared" si="2"/>
        <v>#NAME?</v>
      </c>
      <c r="C39" s="3" t="str">
        <f t="shared" si="3"/>
        <v>#NAME?</v>
      </c>
      <c r="D39" s="3" t="str">
        <f t="shared" si="4"/>
        <v>#NAME?</v>
      </c>
      <c r="E39" s="3">
        <f t="shared" si="5"/>
        <v>0</v>
      </c>
    </row>
    <row r="40">
      <c r="A40" s="3">
        <v>22.0</v>
      </c>
      <c r="B40" s="3" t="str">
        <f t="shared" si="2"/>
        <v>#NAME?</v>
      </c>
      <c r="C40" s="3" t="str">
        <f t="shared" si="3"/>
        <v>#NAME?</v>
      </c>
      <c r="D40" s="3" t="str">
        <f t="shared" si="4"/>
        <v>#NAME?</v>
      </c>
      <c r="E40" s="3">
        <f t="shared" si="5"/>
        <v>0</v>
      </c>
    </row>
    <row r="41">
      <c r="A41" s="3">
        <v>23.0</v>
      </c>
      <c r="B41" s="3" t="str">
        <f t="shared" si="2"/>
        <v>#NAME?</v>
      </c>
      <c r="C41" s="3" t="str">
        <f t="shared" si="3"/>
        <v>#NAME?</v>
      </c>
      <c r="D41" s="3" t="str">
        <f t="shared" si="4"/>
        <v>#NAME?</v>
      </c>
      <c r="E41" s="3">
        <f t="shared" si="5"/>
        <v>0</v>
      </c>
    </row>
    <row r="42">
      <c r="A42" s="3">
        <v>24.0</v>
      </c>
      <c r="B42" s="3" t="str">
        <f t="shared" si="2"/>
        <v>#NAME?</v>
      </c>
      <c r="C42" s="3" t="str">
        <f t="shared" si="3"/>
        <v>#NAME?</v>
      </c>
      <c r="D42" s="3" t="str">
        <f t="shared" si="4"/>
        <v>#NAME?</v>
      </c>
      <c r="E42" s="3">
        <f t="shared" si="5"/>
        <v>0</v>
      </c>
    </row>
    <row r="43">
      <c r="A43" s="3">
        <v>25.0</v>
      </c>
      <c r="B43" s="3" t="str">
        <f t="shared" si="2"/>
        <v>#NAME?</v>
      </c>
      <c r="C43" s="3" t="str">
        <f t="shared" si="3"/>
        <v>#NAME?</v>
      </c>
      <c r="D43" s="3" t="str">
        <f t="shared" si="4"/>
        <v>#NAME?</v>
      </c>
      <c r="E43" s="3">
        <f t="shared" si="5"/>
        <v>0</v>
      </c>
    </row>
    <row r="44">
      <c r="A44" s="3">
        <v>26.0</v>
      </c>
      <c r="B44" s="3" t="str">
        <f t="shared" si="2"/>
        <v>#NAME?</v>
      </c>
      <c r="C44" s="3" t="str">
        <f t="shared" si="3"/>
        <v>#NAME?</v>
      </c>
      <c r="D44" s="3" t="str">
        <f t="shared" si="4"/>
        <v>#NAME?</v>
      </c>
      <c r="E44" s="3">
        <f t="shared" si="5"/>
        <v>0</v>
      </c>
    </row>
    <row r="45">
      <c r="A45" s="3">
        <v>27.0</v>
      </c>
      <c r="B45" s="3" t="str">
        <f t="shared" si="2"/>
        <v>#NAME?</v>
      </c>
      <c r="C45" s="3" t="str">
        <f t="shared" si="3"/>
        <v>#NAME?</v>
      </c>
      <c r="D45" s="3" t="str">
        <f t="shared" si="4"/>
        <v>#NAME?</v>
      </c>
      <c r="E45" s="3">
        <f t="shared" si="5"/>
        <v>0</v>
      </c>
    </row>
    <row r="46">
      <c r="A46" s="3">
        <v>28.0</v>
      </c>
      <c r="B46" s="3" t="str">
        <f t="shared" si="2"/>
        <v>#NAME?</v>
      </c>
      <c r="C46" s="3" t="str">
        <f t="shared" si="3"/>
        <v>#NAME?</v>
      </c>
      <c r="D46" s="3" t="str">
        <f t="shared" si="4"/>
        <v>#NAME?</v>
      </c>
      <c r="E46" s="3">
        <f t="shared" si="5"/>
        <v>0</v>
      </c>
    </row>
    <row r="47">
      <c r="A47" s="3">
        <v>29.0</v>
      </c>
      <c r="B47" s="3" t="str">
        <f t="shared" si="2"/>
        <v>#NAME?</v>
      </c>
      <c r="C47" s="3" t="str">
        <f t="shared" si="3"/>
        <v>#NAME?</v>
      </c>
      <c r="D47" s="3" t="str">
        <f t="shared" si="4"/>
        <v>#NAME?</v>
      </c>
      <c r="E47" s="3">
        <f t="shared" si="5"/>
        <v>0</v>
      </c>
    </row>
    <row r="48">
      <c r="A48" s="3">
        <v>30.0</v>
      </c>
      <c r="B48" s="3" t="str">
        <f t="shared" si="2"/>
        <v>#NAME?</v>
      </c>
      <c r="C48" s="3" t="str">
        <f t="shared" si="3"/>
        <v>#NAME?</v>
      </c>
      <c r="D48" s="3" t="str">
        <f t="shared" si="4"/>
        <v>#NAME?</v>
      </c>
      <c r="E48" s="3">
        <f t="shared" si="5"/>
        <v>0</v>
      </c>
    </row>
    <row r="49">
      <c r="A49" s="3">
        <v>31.0</v>
      </c>
      <c r="B49" s="3" t="str">
        <f t="shared" si="2"/>
        <v>#NAME?</v>
      </c>
      <c r="C49" s="3" t="str">
        <f t="shared" si="3"/>
        <v>#NAME?</v>
      </c>
      <c r="D49" s="3" t="str">
        <f t="shared" si="4"/>
        <v>#NAME?</v>
      </c>
      <c r="E49" s="3">
        <f t="shared" si="5"/>
        <v>0</v>
      </c>
    </row>
    <row r="50">
      <c r="A50" s="3">
        <v>32.0</v>
      </c>
      <c r="B50" s="3" t="str">
        <f t="shared" si="2"/>
        <v>#NAME?</v>
      </c>
      <c r="C50" s="3" t="str">
        <f t="shared" si="3"/>
        <v>#NAME?</v>
      </c>
      <c r="D50" s="3" t="str">
        <f t="shared" si="4"/>
        <v>#NAME?</v>
      </c>
      <c r="E50" s="3">
        <f t="shared" si="5"/>
        <v>0</v>
      </c>
    </row>
    <row r="51">
      <c r="A51" s="3">
        <v>33.0</v>
      </c>
      <c r="B51" s="3" t="str">
        <f t="shared" si="2"/>
        <v>#NAME?</v>
      </c>
      <c r="C51" s="3" t="str">
        <f t="shared" si="3"/>
        <v>#NAME?</v>
      </c>
      <c r="D51" s="3" t="str">
        <f t="shared" si="4"/>
        <v>#NAME?</v>
      </c>
      <c r="E51" s="3">
        <f t="shared" si="5"/>
        <v>0</v>
      </c>
    </row>
    <row r="52">
      <c r="A52" s="3">
        <v>34.0</v>
      </c>
      <c r="B52" s="3" t="str">
        <f t="shared" si="2"/>
        <v>#NAME?</v>
      </c>
      <c r="C52" s="3" t="str">
        <f t="shared" si="3"/>
        <v>#NAME?</v>
      </c>
      <c r="D52" s="3" t="str">
        <f t="shared" si="4"/>
        <v>#NAME?</v>
      </c>
      <c r="E52" s="3">
        <f t="shared" si="5"/>
        <v>0</v>
      </c>
    </row>
    <row r="53">
      <c r="A53" s="3">
        <v>35.0</v>
      </c>
      <c r="B53" s="3" t="str">
        <f t="shared" si="2"/>
        <v>#NAME?</v>
      </c>
      <c r="C53" s="3" t="str">
        <f t="shared" si="3"/>
        <v>#NAME?</v>
      </c>
      <c r="D53" s="3" t="str">
        <f t="shared" si="4"/>
        <v>#NAME?</v>
      </c>
      <c r="E53" s="3">
        <f t="shared" si="5"/>
        <v>0</v>
      </c>
    </row>
    <row r="54">
      <c r="A54" s="3">
        <v>36.0</v>
      </c>
      <c r="B54" s="3" t="str">
        <f t="shared" si="2"/>
        <v>#NAME?</v>
      </c>
      <c r="C54" s="3" t="str">
        <f t="shared" si="3"/>
        <v>#NAME?</v>
      </c>
      <c r="D54" s="3" t="str">
        <f t="shared" si="4"/>
        <v>#NAME?</v>
      </c>
      <c r="E54" s="3">
        <f t="shared" si="5"/>
        <v>0</v>
      </c>
    </row>
    <row r="55">
      <c r="A55" s="3">
        <v>37.0</v>
      </c>
      <c r="B55" s="3" t="str">
        <f t="shared" si="2"/>
        <v>#NAME?</v>
      </c>
      <c r="C55" s="3" t="str">
        <f t="shared" si="3"/>
        <v>#NAME?</v>
      </c>
      <c r="D55" s="3" t="str">
        <f t="shared" si="4"/>
        <v>#NAME?</v>
      </c>
      <c r="E55" s="3">
        <f t="shared" si="5"/>
        <v>0</v>
      </c>
    </row>
    <row r="56">
      <c r="A56" s="3">
        <v>38.0</v>
      </c>
      <c r="B56" s="3" t="str">
        <f t="shared" si="2"/>
        <v>#NAME?</v>
      </c>
      <c r="C56" s="3" t="str">
        <f t="shared" si="3"/>
        <v>#NAME?</v>
      </c>
      <c r="D56" s="3" t="str">
        <f t="shared" si="4"/>
        <v>#NAME?</v>
      </c>
      <c r="E56" s="3">
        <f t="shared" si="5"/>
        <v>0</v>
      </c>
    </row>
    <row r="57">
      <c r="A57" s="3">
        <v>39.0</v>
      </c>
      <c r="B57" s="3" t="str">
        <f t="shared" si="2"/>
        <v>#NAME?</v>
      </c>
      <c r="C57" s="3" t="str">
        <f t="shared" si="3"/>
        <v>#NAME?</v>
      </c>
      <c r="D57" s="3" t="str">
        <f t="shared" si="4"/>
        <v>#NAME?</v>
      </c>
      <c r="E57" s="3">
        <f t="shared" si="5"/>
        <v>0</v>
      </c>
    </row>
    <row r="58">
      <c r="A58" s="3">
        <v>40.0</v>
      </c>
      <c r="B58" s="3" t="str">
        <f t="shared" si="2"/>
        <v>#NAME?</v>
      </c>
      <c r="C58" s="3" t="str">
        <f t="shared" si="3"/>
        <v>#NAME?</v>
      </c>
      <c r="D58" s="3" t="str">
        <f t="shared" si="4"/>
        <v>#NAME?</v>
      </c>
      <c r="E58" s="3">
        <f t="shared" si="5"/>
        <v>0</v>
      </c>
    </row>
    <row r="59">
      <c r="A59" s="3">
        <v>41.0</v>
      </c>
      <c r="B59" s="3" t="str">
        <f t="shared" si="2"/>
        <v>#NAME?</v>
      </c>
      <c r="C59" s="3" t="str">
        <f t="shared" si="3"/>
        <v>#NAME?</v>
      </c>
      <c r="D59" s="3" t="str">
        <f t="shared" si="4"/>
        <v>#NAME?</v>
      </c>
      <c r="E59" s="3">
        <f t="shared" si="5"/>
        <v>0</v>
      </c>
    </row>
    <row r="60">
      <c r="A60" s="3">
        <v>42.0</v>
      </c>
      <c r="B60" s="3" t="str">
        <f t="shared" si="2"/>
        <v>#NAME?</v>
      </c>
      <c r="C60" s="3" t="str">
        <f t="shared" si="3"/>
        <v>#NAME?</v>
      </c>
      <c r="D60" s="3" t="str">
        <f t="shared" si="4"/>
        <v>#NAME?</v>
      </c>
      <c r="E60" s="3">
        <f t="shared" si="5"/>
        <v>0</v>
      </c>
    </row>
    <row r="61">
      <c r="A61" s="3">
        <v>43.0</v>
      </c>
      <c r="B61" s="3" t="str">
        <f t="shared" si="2"/>
        <v>#NAME?</v>
      </c>
      <c r="C61" s="3" t="str">
        <f t="shared" si="3"/>
        <v>#NAME?</v>
      </c>
      <c r="D61" s="3" t="str">
        <f t="shared" si="4"/>
        <v>#NAME?</v>
      </c>
      <c r="E61" s="3">
        <f t="shared" si="5"/>
        <v>0</v>
      </c>
    </row>
    <row r="62">
      <c r="A62" s="3">
        <v>44.0</v>
      </c>
      <c r="B62" s="3" t="str">
        <f t="shared" si="2"/>
        <v>#NAME?</v>
      </c>
      <c r="C62" s="3" t="str">
        <f t="shared" si="3"/>
        <v>#NAME?</v>
      </c>
      <c r="D62" s="3" t="str">
        <f t="shared" si="4"/>
        <v>#NAME?</v>
      </c>
      <c r="E62" s="3">
        <f t="shared" si="5"/>
        <v>0</v>
      </c>
    </row>
    <row r="63">
      <c r="A63" s="3">
        <v>45.0</v>
      </c>
      <c r="B63" s="3" t="str">
        <f t="shared" si="2"/>
        <v>#NAME?</v>
      </c>
      <c r="C63" s="3" t="str">
        <f t="shared" si="3"/>
        <v>#NAME?</v>
      </c>
      <c r="D63" s="3" t="str">
        <f t="shared" si="4"/>
        <v>#NAME?</v>
      </c>
      <c r="E63" s="3">
        <f t="shared" si="5"/>
        <v>0</v>
      </c>
    </row>
    <row r="64">
      <c r="A64" s="3">
        <v>46.0</v>
      </c>
      <c r="B64" s="3" t="str">
        <f t="shared" si="2"/>
        <v>#NAME?</v>
      </c>
      <c r="C64" s="3" t="str">
        <f t="shared" si="3"/>
        <v>#NAME?</v>
      </c>
      <c r="D64" s="3" t="str">
        <f t="shared" si="4"/>
        <v>#NAME?</v>
      </c>
      <c r="E64" s="3">
        <f t="shared" si="5"/>
        <v>0</v>
      </c>
    </row>
    <row r="65">
      <c r="A65" s="3">
        <v>47.0</v>
      </c>
      <c r="B65" s="3" t="str">
        <f t="shared" si="2"/>
        <v>#NAME?</v>
      </c>
      <c r="C65" s="3" t="str">
        <f t="shared" si="3"/>
        <v>#NAME?</v>
      </c>
      <c r="D65" s="3" t="str">
        <f t="shared" si="4"/>
        <v>#NAME?</v>
      </c>
      <c r="E65" s="3">
        <f t="shared" si="5"/>
        <v>0</v>
      </c>
    </row>
    <row r="66">
      <c r="A66" s="3">
        <v>48.0</v>
      </c>
      <c r="B66" s="3" t="str">
        <f t="shared" si="2"/>
        <v>#NAME?</v>
      </c>
      <c r="C66" s="3" t="str">
        <f t="shared" si="3"/>
        <v>#NAME?</v>
      </c>
      <c r="D66" s="3" t="str">
        <f t="shared" si="4"/>
        <v>#NAME?</v>
      </c>
      <c r="E66" s="3">
        <f t="shared" si="5"/>
        <v>0</v>
      </c>
    </row>
    <row r="67">
      <c r="A67" s="3">
        <v>49.0</v>
      </c>
      <c r="B67" s="3" t="str">
        <f t="shared" si="2"/>
        <v>#NAME?</v>
      </c>
      <c r="C67" s="3" t="str">
        <f t="shared" si="3"/>
        <v>#NAME?</v>
      </c>
      <c r="D67" s="3" t="str">
        <f t="shared" si="4"/>
        <v>#NAME?</v>
      </c>
      <c r="E67" s="3">
        <f t="shared" si="5"/>
        <v>0</v>
      </c>
    </row>
    <row r="68">
      <c r="A68" s="3">
        <v>50.0</v>
      </c>
      <c r="B68" s="3" t="str">
        <f t="shared" si="2"/>
        <v>#NAME?</v>
      </c>
      <c r="C68" s="3" t="str">
        <f t="shared" si="3"/>
        <v>#NAME?</v>
      </c>
      <c r="D68" s="3" t="str">
        <f t="shared" si="4"/>
        <v>#NAME?</v>
      </c>
      <c r="E68" s="3">
        <f t="shared" si="5"/>
        <v>0</v>
      </c>
    </row>
    <row r="69">
      <c r="A69" s="3">
        <v>51.0</v>
      </c>
      <c r="B69" s="3" t="str">
        <f t="shared" si="2"/>
        <v>#NAME?</v>
      </c>
      <c r="C69" s="3" t="str">
        <f t="shared" si="3"/>
        <v>#NAME?</v>
      </c>
      <c r="D69" s="3" t="str">
        <f t="shared" si="4"/>
        <v>#NAME?</v>
      </c>
      <c r="E69" s="3">
        <f t="shared" si="5"/>
        <v>0</v>
      </c>
    </row>
    <row r="70">
      <c r="A70" s="3">
        <v>52.0</v>
      </c>
      <c r="B70" s="3" t="str">
        <f t="shared" si="2"/>
        <v>#NAME?</v>
      </c>
      <c r="C70" s="3" t="str">
        <f t="shared" si="3"/>
        <v>#NAME?</v>
      </c>
      <c r="D70" s="3" t="str">
        <f t="shared" si="4"/>
        <v>#NAME?</v>
      </c>
      <c r="E70" s="3">
        <f t="shared" si="5"/>
        <v>0</v>
      </c>
    </row>
    <row r="71">
      <c r="A71" s="3">
        <v>53.0</v>
      </c>
      <c r="B71" s="3" t="str">
        <f t="shared" si="2"/>
        <v>#NAME?</v>
      </c>
      <c r="C71" s="3" t="str">
        <f t="shared" si="3"/>
        <v>#NAME?</v>
      </c>
      <c r="D71" s="3" t="str">
        <f t="shared" si="4"/>
        <v>#NAME?</v>
      </c>
      <c r="E71" s="3">
        <f t="shared" si="5"/>
        <v>0</v>
      </c>
    </row>
    <row r="72">
      <c r="A72" s="3">
        <v>54.0</v>
      </c>
      <c r="B72" s="3" t="str">
        <f t="shared" si="2"/>
        <v>#NAME?</v>
      </c>
      <c r="C72" s="3" t="str">
        <f t="shared" si="3"/>
        <v>#NAME?</v>
      </c>
      <c r="D72" s="3" t="str">
        <f t="shared" si="4"/>
        <v>#NAME?</v>
      </c>
      <c r="E72" s="3">
        <f t="shared" si="5"/>
        <v>0</v>
      </c>
    </row>
    <row r="73">
      <c r="A73" s="3">
        <v>55.0</v>
      </c>
      <c r="B73" s="3" t="str">
        <f t="shared" si="2"/>
        <v>#NAME?</v>
      </c>
      <c r="C73" s="3" t="str">
        <f t="shared" si="3"/>
        <v>#NAME?</v>
      </c>
      <c r="D73" s="3" t="str">
        <f t="shared" si="4"/>
        <v>#NAME?</v>
      </c>
      <c r="E73" s="3">
        <f t="shared" si="5"/>
        <v>0</v>
      </c>
    </row>
    <row r="74">
      <c r="A74" s="3">
        <v>56.0</v>
      </c>
      <c r="B74" s="3" t="str">
        <f t="shared" si="2"/>
        <v>#NAME?</v>
      </c>
      <c r="C74" s="3" t="str">
        <f t="shared" si="3"/>
        <v>#NAME?</v>
      </c>
      <c r="D74" s="3" t="str">
        <f t="shared" si="4"/>
        <v>#NAME?</v>
      </c>
      <c r="E74" s="3">
        <f t="shared" si="5"/>
        <v>0</v>
      </c>
    </row>
    <row r="75">
      <c r="A75" s="3">
        <v>57.0</v>
      </c>
      <c r="B75" s="3" t="str">
        <f t="shared" si="2"/>
        <v>#NAME?</v>
      </c>
      <c r="C75" s="3" t="str">
        <f t="shared" si="3"/>
        <v>#NAME?</v>
      </c>
      <c r="D75" s="3" t="str">
        <f t="shared" si="4"/>
        <v>#NAME?</v>
      </c>
      <c r="E75" s="3">
        <f t="shared" si="5"/>
        <v>0</v>
      </c>
    </row>
    <row r="76">
      <c r="A76" s="3">
        <v>58.0</v>
      </c>
      <c r="B76" s="3" t="str">
        <f t="shared" si="2"/>
        <v>#NAME?</v>
      </c>
      <c r="C76" s="3" t="str">
        <f t="shared" si="3"/>
        <v>#NAME?</v>
      </c>
      <c r="D76" s="3" t="str">
        <f t="shared" si="4"/>
        <v>#NAME?</v>
      </c>
      <c r="E76" s="3">
        <f t="shared" si="5"/>
        <v>0</v>
      </c>
    </row>
    <row r="77">
      <c r="A77" s="3">
        <v>59.0</v>
      </c>
      <c r="B77" s="3" t="str">
        <f t="shared" si="2"/>
        <v>#NAME?</v>
      </c>
      <c r="C77" s="3" t="str">
        <f t="shared" si="3"/>
        <v>#NAME?</v>
      </c>
      <c r="D77" s="3" t="str">
        <f t="shared" si="4"/>
        <v>#NAME?</v>
      </c>
      <c r="E77" s="3">
        <f t="shared" si="5"/>
        <v>0</v>
      </c>
    </row>
    <row r="78">
      <c r="A78" s="3">
        <v>60.0</v>
      </c>
      <c r="B78" s="3" t="str">
        <f t="shared" si="2"/>
        <v>#NAME?</v>
      </c>
      <c r="C78" s="3" t="str">
        <f t="shared" si="3"/>
        <v>#NAME?</v>
      </c>
      <c r="D78" s="3" t="str">
        <f t="shared" si="4"/>
        <v>#NAME?</v>
      </c>
      <c r="E78" s="3">
        <f t="shared" si="5"/>
        <v>0</v>
      </c>
    </row>
    <row r="79">
      <c r="A79" s="3">
        <v>61.0</v>
      </c>
      <c r="B79" s="3" t="str">
        <f t="shared" si="2"/>
        <v>#NAME?</v>
      </c>
      <c r="C79" s="3" t="str">
        <f t="shared" si="3"/>
        <v>#NAME?</v>
      </c>
      <c r="D79" s="3" t="str">
        <f t="shared" si="4"/>
        <v>#NAME?</v>
      </c>
      <c r="E79" s="3">
        <f t="shared" si="5"/>
        <v>0</v>
      </c>
    </row>
    <row r="80">
      <c r="A80" s="3">
        <v>62.0</v>
      </c>
      <c r="B80" s="3" t="str">
        <f t="shared" si="2"/>
        <v>#NAME?</v>
      </c>
      <c r="C80" s="3" t="str">
        <f t="shared" si="3"/>
        <v>#NAME?</v>
      </c>
      <c r="D80" s="3" t="str">
        <f t="shared" si="4"/>
        <v>#NAME?</v>
      </c>
      <c r="E80" s="3">
        <f t="shared" si="5"/>
        <v>0</v>
      </c>
    </row>
    <row r="81">
      <c r="A81" s="3">
        <v>63.0</v>
      </c>
      <c r="B81" s="3" t="str">
        <f t="shared" si="2"/>
        <v>#NAME?</v>
      </c>
      <c r="C81" s="3" t="str">
        <f t="shared" si="3"/>
        <v>#NAME?</v>
      </c>
      <c r="D81" s="3" t="str">
        <f t="shared" si="4"/>
        <v>#NAME?</v>
      </c>
      <c r="E81" s="3">
        <f t="shared" si="5"/>
        <v>0</v>
      </c>
    </row>
    <row r="82">
      <c r="A82" s="3">
        <v>64.0</v>
      </c>
      <c r="B82" s="3" t="str">
        <f t="shared" si="2"/>
        <v>#NAME?</v>
      </c>
      <c r="C82" s="3" t="str">
        <f t="shared" si="3"/>
        <v>#NAME?</v>
      </c>
      <c r="D82" s="3" t="str">
        <f t="shared" si="4"/>
        <v>#NAME?</v>
      </c>
      <c r="E82" s="3">
        <f t="shared" si="5"/>
        <v>0</v>
      </c>
    </row>
    <row r="83">
      <c r="A83" s="3">
        <v>65.0</v>
      </c>
      <c r="B83" s="3" t="str">
        <f t="shared" si="2"/>
        <v>#NAME?</v>
      </c>
      <c r="C83" s="3" t="str">
        <f t="shared" si="3"/>
        <v>#NAME?</v>
      </c>
      <c r="D83" s="3" t="str">
        <f t="shared" si="4"/>
        <v>#NAME?</v>
      </c>
      <c r="E83" s="3">
        <f t="shared" si="5"/>
        <v>0</v>
      </c>
    </row>
    <row r="84">
      <c r="A84" s="3">
        <v>66.0</v>
      </c>
      <c r="B84" s="3" t="str">
        <f t="shared" si="2"/>
        <v>#NAME?</v>
      </c>
      <c r="C84" s="3" t="str">
        <f t="shared" si="3"/>
        <v>#NAME?</v>
      </c>
      <c r="D84" s="3" t="str">
        <f t="shared" si="4"/>
        <v>#NAME?</v>
      </c>
      <c r="E84" s="3">
        <f t="shared" si="5"/>
        <v>0</v>
      </c>
    </row>
    <row r="85">
      <c r="A85" s="3">
        <v>67.0</v>
      </c>
      <c r="B85" s="3" t="str">
        <f t="shared" si="2"/>
        <v>#NAME?</v>
      </c>
      <c r="C85" s="3" t="str">
        <f t="shared" si="3"/>
        <v>#NAME?</v>
      </c>
      <c r="D85" s="3" t="str">
        <f t="shared" si="4"/>
        <v>#NAME?</v>
      </c>
      <c r="E85" s="3">
        <f t="shared" si="5"/>
        <v>0</v>
      </c>
    </row>
    <row r="86">
      <c r="A86" s="3">
        <v>68.0</v>
      </c>
      <c r="B86" s="3" t="str">
        <f t="shared" si="2"/>
        <v>#NAME?</v>
      </c>
      <c r="C86" s="3" t="str">
        <f t="shared" si="3"/>
        <v>#NAME?</v>
      </c>
      <c r="D86" s="3" t="str">
        <f t="shared" si="4"/>
        <v>#NAME?</v>
      </c>
      <c r="E86" s="3">
        <f t="shared" si="5"/>
        <v>0</v>
      </c>
    </row>
    <row r="87">
      <c r="A87" s="3">
        <v>69.0</v>
      </c>
      <c r="B87" s="3" t="str">
        <f t="shared" si="2"/>
        <v>#NAME?</v>
      </c>
      <c r="C87" s="3" t="str">
        <f t="shared" si="3"/>
        <v>#NAME?</v>
      </c>
      <c r="D87" s="3" t="str">
        <f t="shared" si="4"/>
        <v>#NAME?</v>
      </c>
      <c r="E87" s="3">
        <f t="shared" si="5"/>
        <v>0</v>
      </c>
    </row>
    <row r="88">
      <c r="A88" s="3">
        <v>70.0</v>
      </c>
      <c r="B88" s="3" t="str">
        <f t="shared" si="2"/>
        <v>#NAME?</v>
      </c>
      <c r="C88" s="3" t="str">
        <f t="shared" si="3"/>
        <v>#NAME?</v>
      </c>
      <c r="D88" s="3" t="str">
        <f t="shared" si="4"/>
        <v>#NAME?</v>
      </c>
      <c r="E88" s="3">
        <f t="shared" si="5"/>
        <v>0</v>
      </c>
    </row>
    <row r="89">
      <c r="A89" s="3">
        <v>71.0</v>
      </c>
      <c r="B89" s="3" t="str">
        <f t="shared" si="2"/>
        <v>#NAME?</v>
      </c>
      <c r="C89" s="3" t="str">
        <f t="shared" si="3"/>
        <v>#NAME?</v>
      </c>
      <c r="D89" s="3" t="str">
        <f t="shared" si="4"/>
        <v>#NAME?</v>
      </c>
      <c r="E89" s="3">
        <f t="shared" si="5"/>
        <v>0</v>
      </c>
    </row>
    <row r="90">
      <c r="A90" s="3">
        <v>72.0</v>
      </c>
      <c r="B90" s="3" t="str">
        <f t="shared" si="2"/>
        <v>#NAME?</v>
      </c>
      <c r="C90" s="3" t="str">
        <f t="shared" si="3"/>
        <v>#NAME?</v>
      </c>
      <c r="D90" s="3" t="str">
        <f t="shared" si="4"/>
        <v>#NAME?</v>
      </c>
      <c r="E90" s="3">
        <f t="shared" si="5"/>
        <v>0</v>
      </c>
    </row>
    <row r="91">
      <c r="A91" s="3">
        <v>73.0</v>
      </c>
      <c r="B91" s="3" t="str">
        <f t="shared" si="2"/>
        <v>#NAME?</v>
      </c>
      <c r="C91" s="3" t="str">
        <f t="shared" si="3"/>
        <v>#NAME?</v>
      </c>
      <c r="D91" s="3" t="str">
        <f t="shared" si="4"/>
        <v>#NAME?</v>
      </c>
      <c r="E91" s="3">
        <f t="shared" si="5"/>
        <v>0</v>
      </c>
    </row>
    <row r="92">
      <c r="A92" s="3">
        <v>74.0</v>
      </c>
      <c r="B92" s="3" t="str">
        <f t="shared" si="2"/>
        <v>#NAME?</v>
      </c>
      <c r="C92" s="3" t="str">
        <f t="shared" si="3"/>
        <v>#NAME?</v>
      </c>
      <c r="D92" s="3" t="str">
        <f t="shared" si="4"/>
        <v>#NAME?</v>
      </c>
      <c r="E92" s="3">
        <f t="shared" si="5"/>
        <v>0</v>
      </c>
    </row>
    <row r="93">
      <c r="A93" s="3">
        <v>75.0</v>
      </c>
      <c r="B93" s="3" t="str">
        <f t="shared" si="2"/>
        <v>#NAME?</v>
      </c>
      <c r="C93" s="3" t="str">
        <f t="shared" si="3"/>
        <v>#NAME?</v>
      </c>
      <c r="D93" s="3" t="str">
        <f t="shared" si="4"/>
        <v>#NAME?</v>
      </c>
      <c r="E93" s="3">
        <f t="shared" si="5"/>
        <v>0</v>
      </c>
    </row>
    <row r="94">
      <c r="A94" s="3">
        <v>76.0</v>
      </c>
      <c r="B94" s="3" t="str">
        <f t="shared" si="2"/>
        <v>#NAME?</v>
      </c>
      <c r="C94" s="3" t="str">
        <f t="shared" si="3"/>
        <v>#NAME?</v>
      </c>
      <c r="D94" s="3" t="str">
        <f t="shared" si="4"/>
        <v>#NAME?</v>
      </c>
      <c r="E94" s="3">
        <f t="shared" si="5"/>
        <v>0</v>
      </c>
    </row>
    <row r="95">
      <c r="A95" s="3">
        <v>77.0</v>
      </c>
      <c r="B95" s="3" t="str">
        <f t="shared" si="2"/>
        <v>#NAME?</v>
      </c>
      <c r="C95" s="3" t="str">
        <f t="shared" si="3"/>
        <v>#NAME?</v>
      </c>
      <c r="D95" s="3" t="str">
        <f t="shared" si="4"/>
        <v>#NAME?</v>
      </c>
      <c r="E95" s="3">
        <f t="shared" si="5"/>
        <v>0</v>
      </c>
    </row>
    <row r="96">
      <c r="A96" s="3">
        <v>78.0</v>
      </c>
      <c r="B96" s="3" t="str">
        <f t="shared" si="2"/>
        <v>#NAME?</v>
      </c>
      <c r="C96" s="3" t="str">
        <f t="shared" si="3"/>
        <v>#NAME?</v>
      </c>
      <c r="D96" s="3" t="str">
        <f t="shared" si="4"/>
        <v>#NAME?</v>
      </c>
      <c r="E96" s="3">
        <f t="shared" si="5"/>
        <v>0</v>
      </c>
    </row>
    <row r="97">
      <c r="A97" s="3">
        <v>79.0</v>
      </c>
      <c r="B97" s="3" t="str">
        <f t="shared" si="2"/>
        <v>#NAME?</v>
      </c>
      <c r="C97" s="3" t="str">
        <f t="shared" si="3"/>
        <v>#NAME?</v>
      </c>
      <c r="D97" s="3" t="str">
        <f t="shared" si="4"/>
        <v>#NAME?</v>
      </c>
      <c r="E97" s="3">
        <f t="shared" si="5"/>
        <v>0</v>
      </c>
    </row>
    <row r="98">
      <c r="A98" s="3">
        <v>80.0</v>
      </c>
      <c r="B98" s="3" t="str">
        <f t="shared" si="2"/>
        <v>#NAME?</v>
      </c>
      <c r="C98" s="3" t="str">
        <f t="shared" si="3"/>
        <v>#NAME?</v>
      </c>
      <c r="D98" s="3" t="str">
        <f t="shared" si="4"/>
        <v>#NAME?</v>
      </c>
      <c r="E98" s="3">
        <f t="shared" si="5"/>
        <v>0</v>
      </c>
    </row>
    <row r="99">
      <c r="A99" s="3">
        <v>81.0</v>
      </c>
      <c r="B99" s="3" t="str">
        <f t="shared" si="2"/>
        <v>#NAME?</v>
      </c>
      <c r="C99" s="3" t="str">
        <f t="shared" si="3"/>
        <v>#NAME?</v>
      </c>
      <c r="D99" s="3" t="str">
        <f t="shared" si="4"/>
        <v>#NAME?</v>
      </c>
      <c r="E99" s="3">
        <f t="shared" si="5"/>
        <v>0</v>
      </c>
    </row>
    <row r="100">
      <c r="A100" s="3">
        <v>82.0</v>
      </c>
      <c r="B100" s="3" t="str">
        <f t="shared" si="2"/>
        <v>#NAME?</v>
      </c>
      <c r="C100" s="3" t="str">
        <f t="shared" si="3"/>
        <v>#NAME?</v>
      </c>
      <c r="D100" s="3" t="str">
        <f t="shared" si="4"/>
        <v>#NAME?</v>
      </c>
      <c r="E100" s="3">
        <f t="shared" si="5"/>
        <v>0</v>
      </c>
    </row>
    <row r="101">
      <c r="A101" s="3">
        <v>83.0</v>
      </c>
      <c r="B101" s="3" t="str">
        <f t="shared" si="2"/>
        <v>#NAME?</v>
      </c>
      <c r="C101" s="3" t="str">
        <f t="shared" si="3"/>
        <v>#NAME?</v>
      </c>
      <c r="D101" s="3" t="str">
        <f t="shared" si="4"/>
        <v>#NAME?</v>
      </c>
      <c r="E101" s="3">
        <f t="shared" si="5"/>
        <v>0</v>
      </c>
    </row>
    <row r="102">
      <c r="A102" s="3">
        <v>84.0</v>
      </c>
      <c r="B102" s="3" t="str">
        <f t="shared" si="2"/>
        <v>#NAME?</v>
      </c>
      <c r="C102" s="3" t="str">
        <f t="shared" si="3"/>
        <v>#NAME?</v>
      </c>
      <c r="D102" s="3" t="str">
        <f t="shared" si="4"/>
        <v>#NAME?</v>
      </c>
      <c r="E102" s="3">
        <f t="shared" si="5"/>
        <v>0</v>
      </c>
    </row>
    <row r="103">
      <c r="A103" s="3">
        <v>85.0</v>
      </c>
      <c r="B103" s="3" t="str">
        <f t="shared" si="2"/>
        <v>#NAME?</v>
      </c>
      <c r="C103" s="3" t="str">
        <f t="shared" si="3"/>
        <v>#NAME?</v>
      </c>
      <c r="D103" s="3" t="str">
        <f t="shared" si="4"/>
        <v>#NAME?</v>
      </c>
      <c r="E103" s="3">
        <f t="shared" si="5"/>
        <v>0</v>
      </c>
    </row>
    <row r="104">
      <c r="A104" s="3">
        <v>86.0</v>
      </c>
      <c r="B104" s="3" t="str">
        <f t="shared" si="2"/>
        <v>#NAME?</v>
      </c>
      <c r="C104" s="3" t="str">
        <f t="shared" si="3"/>
        <v>#NAME?</v>
      </c>
      <c r="D104" s="3" t="str">
        <f t="shared" si="4"/>
        <v>#NAME?</v>
      </c>
      <c r="E104" s="3">
        <f t="shared" si="5"/>
        <v>0</v>
      </c>
    </row>
    <row r="105">
      <c r="A105" s="3">
        <v>87.0</v>
      </c>
      <c r="B105" s="3" t="str">
        <f t="shared" si="2"/>
        <v>#NAME?</v>
      </c>
      <c r="C105" s="3" t="str">
        <f t="shared" si="3"/>
        <v>#NAME?</v>
      </c>
      <c r="D105" s="3" t="str">
        <f t="shared" si="4"/>
        <v>#NAME?</v>
      </c>
      <c r="E105" s="3">
        <f t="shared" si="5"/>
        <v>0</v>
      </c>
    </row>
    <row r="106">
      <c r="A106" s="3">
        <v>88.0</v>
      </c>
      <c r="B106" s="3" t="str">
        <f t="shared" si="2"/>
        <v>#NAME?</v>
      </c>
      <c r="C106" s="3" t="str">
        <f t="shared" si="3"/>
        <v>#NAME?</v>
      </c>
      <c r="D106" s="3" t="str">
        <f t="shared" si="4"/>
        <v>#NAME?</v>
      </c>
      <c r="E106" s="3">
        <f t="shared" si="5"/>
        <v>0</v>
      </c>
    </row>
    <row r="107">
      <c r="A107" s="3">
        <v>89.0</v>
      </c>
      <c r="B107" s="3" t="str">
        <f t="shared" si="2"/>
        <v>#NAME?</v>
      </c>
      <c r="C107" s="3" t="str">
        <f t="shared" si="3"/>
        <v>#NAME?</v>
      </c>
      <c r="D107" s="3" t="str">
        <f t="shared" si="4"/>
        <v>#NAME?</v>
      </c>
      <c r="E107" s="3">
        <f t="shared" si="5"/>
        <v>0</v>
      </c>
    </row>
    <row r="108">
      <c r="A108" s="3">
        <v>90.0</v>
      </c>
      <c r="B108" s="3" t="str">
        <f t="shared" si="2"/>
        <v>#NAME?</v>
      </c>
      <c r="C108" s="3" t="str">
        <f t="shared" si="3"/>
        <v>#NAME?</v>
      </c>
      <c r="D108" s="3" t="str">
        <f t="shared" si="4"/>
        <v>#NAME?</v>
      </c>
      <c r="E108" s="3">
        <f t="shared" si="5"/>
        <v>0</v>
      </c>
    </row>
    <row r="109">
      <c r="A109" s="3">
        <v>91.0</v>
      </c>
      <c r="B109" s="3" t="str">
        <f t="shared" si="2"/>
        <v>#NAME?</v>
      </c>
      <c r="C109" s="3" t="str">
        <f t="shared" si="3"/>
        <v>#NAME?</v>
      </c>
      <c r="D109" s="3" t="str">
        <f t="shared" si="4"/>
        <v>#NAME?</v>
      </c>
      <c r="E109" s="3">
        <f t="shared" si="5"/>
        <v>0</v>
      </c>
    </row>
    <row r="110">
      <c r="A110" s="3">
        <v>92.0</v>
      </c>
      <c r="B110" s="3" t="str">
        <f t="shared" si="2"/>
        <v>#NAME?</v>
      </c>
      <c r="C110" s="3" t="str">
        <f t="shared" si="3"/>
        <v>#NAME?</v>
      </c>
      <c r="D110" s="3" t="str">
        <f t="shared" si="4"/>
        <v>#NAME?</v>
      </c>
      <c r="E110" s="3">
        <f t="shared" si="5"/>
        <v>0</v>
      </c>
    </row>
    <row r="111">
      <c r="A111" s="3">
        <v>93.0</v>
      </c>
      <c r="B111" s="3" t="str">
        <f t="shared" si="2"/>
        <v>#NAME?</v>
      </c>
      <c r="C111" s="3" t="str">
        <f t="shared" si="3"/>
        <v>#NAME?</v>
      </c>
      <c r="D111" s="3" t="str">
        <f t="shared" si="4"/>
        <v>#NAME?</v>
      </c>
      <c r="E111" s="3">
        <f t="shared" si="5"/>
        <v>0</v>
      </c>
    </row>
    <row r="112">
      <c r="A112" s="3">
        <v>94.0</v>
      </c>
      <c r="B112" s="3" t="str">
        <f t="shared" si="2"/>
        <v>#NAME?</v>
      </c>
      <c r="C112" s="3" t="str">
        <f t="shared" si="3"/>
        <v>#NAME?</v>
      </c>
      <c r="D112" s="3" t="str">
        <f t="shared" si="4"/>
        <v>#NAME?</v>
      </c>
      <c r="E112" s="3">
        <f t="shared" si="5"/>
        <v>0</v>
      </c>
    </row>
    <row r="113">
      <c r="A113" s="3">
        <v>95.0</v>
      </c>
      <c r="B113" s="3" t="str">
        <f t="shared" si="2"/>
        <v>#NAME?</v>
      </c>
      <c r="C113" s="3" t="str">
        <f t="shared" si="3"/>
        <v>#NAME?</v>
      </c>
      <c r="D113" s="3" t="str">
        <f t="shared" si="4"/>
        <v>#NAME?</v>
      </c>
      <c r="E113" s="3">
        <f t="shared" si="5"/>
        <v>0</v>
      </c>
    </row>
    <row r="114">
      <c r="A114" s="3">
        <v>96.0</v>
      </c>
      <c r="B114" s="3" t="str">
        <f t="shared" si="2"/>
        <v>#NAME?</v>
      </c>
      <c r="C114" s="3" t="str">
        <f t="shared" si="3"/>
        <v>#NAME?</v>
      </c>
      <c r="D114" s="3" t="str">
        <f t="shared" si="4"/>
        <v>#NAME?</v>
      </c>
      <c r="E114" s="3">
        <f t="shared" si="5"/>
        <v>0</v>
      </c>
    </row>
    <row r="115">
      <c r="A115" s="3">
        <v>97.0</v>
      </c>
      <c r="B115" s="3" t="str">
        <f t="shared" si="2"/>
        <v>#NAME?</v>
      </c>
      <c r="C115" s="3" t="str">
        <f t="shared" si="3"/>
        <v>#NAME?</v>
      </c>
      <c r="D115" s="3" t="str">
        <f t="shared" si="4"/>
        <v>#NAME?</v>
      </c>
      <c r="E115" s="3">
        <f t="shared" si="5"/>
        <v>0</v>
      </c>
    </row>
    <row r="116">
      <c r="A116" s="3">
        <v>98.0</v>
      </c>
      <c r="B116" s="3" t="str">
        <f t="shared" si="2"/>
        <v>#NAME?</v>
      </c>
      <c r="C116" s="3" t="str">
        <f t="shared" si="3"/>
        <v>#NAME?</v>
      </c>
      <c r="D116" s="3" t="str">
        <f t="shared" si="4"/>
        <v>#NAME?</v>
      </c>
      <c r="E116" s="3">
        <f t="shared" si="5"/>
        <v>0</v>
      </c>
    </row>
    <row r="117">
      <c r="A117" s="3">
        <v>99.0</v>
      </c>
      <c r="B117" s="3" t="str">
        <f t="shared" si="2"/>
        <v>#NAME?</v>
      </c>
      <c r="C117" s="3" t="str">
        <f t="shared" si="3"/>
        <v>#NAME?</v>
      </c>
      <c r="D117" s="3" t="str">
        <f t="shared" si="4"/>
        <v>#NAME?</v>
      </c>
      <c r="E117" s="3">
        <f t="shared" si="5"/>
        <v>0</v>
      </c>
    </row>
    <row r="118">
      <c r="A118" s="3">
        <v>100.0</v>
      </c>
      <c r="B118" s="3" t="str">
        <f t="shared" si="2"/>
        <v>#NAME?</v>
      </c>
      <c r="C118" s="3" t="str">
        <f t="shared" si="3"/>
        <v>#NAME?</v>
      </c>
      <c r="D118" s="3" t="str">
        <f t="shared" si="4"/>
        <v>#NAME?</v>
      </c>
      <c r="E118" s="3">
        <f t="shared" si="5"/>
        <v>0</v>
      </c>
    </row>
    <row r="119">
      <c r="A119" s="3">
        <v>101.0</v>
      </c>
      <c r="B119" s="3" t="str">
        <f t="shared" si="2"/>
        <v>#NAME?</v>
      </c>
      <c r="C119" s="3" t="str">
        <f t="shared" si="3"/>
        <v>#NAME?</v>
      </c>
      <c r="D119" s="3" t="str">
        <f t="shared" si="4"/>
        <v>#NAME?</v>
      </c>
      <c r="E119" s="3">
        <f t="shared" si="5"/>
        <v>0</v>
      </c>
    </row>
    <row r="120">
      <c r="A120" s="3">
        <v>102.0</v>
      </c>
      <c r="B120" s="3" t="str">
        <f t="shared" si="2"/>
        <v>#NAME?</v>
      </c>
      <c r="C120" s="3" t="str">
        <f t="shared" si="3"/>
        <v>#NAME?</v>
      </c>
      <c r="D120" s="3" t="str">
        <f t="shared" si="4"/>
        <v>#NAME?</v>
      </c>
      <c r="E120" s="3">
        <f t="shared" si="5"/>
        <v>0</v>
      </c>
    </row>
    <row r="121">
      <c r="A121" s="3">
        <v>103.0</v>
      </c>
      <c r="B121" s="3" t="str">
        <f t="shared" si="2"/>
        <v>#NAME?</v>
      </c>
      <c r="C121" s="3" t="str">
        <f t="shared" si="3"/>
        <v>#NAME?</v>
      </c>
      <c r="D121" s="3" t="str">
        <f t="shared" si="4"/>
        <v>#NAME?</v>
      </c>
      <c r="E121" s="3">
        <f t="shared" si="5"/>
        <v>0</v>
      </c>
    </row>
    <row r="122">
      <c r="A122" s="3">
        <v>104.0</v>
      </c>
      <c r="B122" s="3" t="str">
        <f t="shared" si="2"/>
        <v>#NAME?</v>
      </c>
      <c r="C122" s="3" t="str">
        <f t="shared" si="3"/>
        <v>#NAME?</v>
      </c>
      <c r="D122" s="3" t="str">
        <f t="shared" si="4"/>
        <v>#NAME?</v>
      </c>
      <c r="E122" s="3">
        <f t="shared" si="5"/>
        <v>0</v>
      </c>
    </row>
    <row r="123">
      <c r="A123" s="3">
        <v>105.0</v>
      </c>
      <c r="B123" s="3" t="str">
        <f t="shared" si="2"/>
        <v>#NAME?</v>
      </c>
      <c r="C123" s="3" t="str">
        <f t="shared" si="3"/>
        <v>#NAME?</v>
      </c>
      <c r="D123" s="3" t="str">
        <f t="shared" si="4"/>
        <v>#NAME?</v>
      </c>
      <c r="E123" s="3">
        <f t="shared" si="5"/>
        <v>0</v>
      </c>
    </row>
    <row r="124">
      <c r="A124" s="3">
        <v>106.0</v>
      </c>
      <c r="B124" s="3" t="str">
        <f t="shared" si="2"/>
        <v>#NAME?</v>
      </c>
      <c r="C124" s="3" t="str">
        <f t="shared" si="3"/>
        <v>#NAME?</v>
      </c>
      <c r="D124" s="3" t="str">
        <f t="shared" si="4"/>
        <v>#NAME?</v>
      </c>
      <c r="E124" s="3">
        <f t="shared" si="5"/>
        <v>0</v>
      </c>
    </row>
    <row r="125">
      <c r="A125" s="3">
        <v>107.0</v>
      </c>
      <c r="B125" s="3" t="str">
        <f t="shared" si="2"/>
        <v>#NAME?</v>
      </c>
      <c r="C125" s="3" t="str">
        <f t="shared" si="3"/>
        <v>#NAME?</v>
      </c>
      <c r="D125" s="3" t="str">
        <f t="shared" si="4"/>
        <v>#NAME?</v>
      </c>
      <c r="E125" s="3">
        <f t="shared" si="5"/>
        <v>0</v>
      </c>
    </row>
    <row r="126">
      <c r="A126" s="3">
        <v>108.0</v>
      </c>
      <c r="B126" s="3" t="str">
        <f t="shared" si="2"/>
        <v>#NAME?</v>
      </c>
      <c r="C126" s="3" t="str">
        <f t="shared" si="3"/>
        <v>#NAME?</v>
      </c>
      <c r="D126" s="3" t="str">
        <f t="shared" si="4"/>
        <v>#NAME?</v>
      </c>
      <c r="E126" s="3">
        <f t="shared" si="5"/>
        <v>0</v>
      </c>
    </row>
    <row r="127">
      <c r="A127" s="3">
        <v>109.0</v>
      </c>
      <c r="B127" s="3" t="str">
        <f t="shared" si="2"/>
        <v>#NAME?</v>
      </c>
      <c r="C127" s="3" t="str">
        <f t="shared" si="3"/>
        <v>#NAME?</v>
      </c>
      <c r="D127" s="3" t="str">
        <f t="shared" si="4"/>
        <v>#NAME?</v>
      </c>
      <c r="E127" s="3">
        <f t="shared" si="5"/>
        <v>0</v>
      </c>
    </row>
    <row r="128">
      <c r="A128" s="3">
        <v>110.0</v>
      </c>
      <c r="B128" s="3" t="str">
        <f t="shared" si="2"/>
        <v>#NAME?</v>
      </c>
      <c r="C128" s="3" t="str">
        <f t="shared" si="3"/>
        <v>#NAME?</v>
      </c>
      <c r="D128" s="3" t="str">
        <f t="shared" si="4"/>
        <v>#NAME?</v>
      </c>
      <c r="E128" s="3">
        <f t="shared" si="5"/>
        <v>0</v>
      </c>
    </row>
  </sheetData>
  <dataValidations>
    <dataValidation type="list" allowBlank="1" showErrorMessage="1" sqref="B1">
      <formula1>'Options – Open Positions'!$A$2:$A1000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6.86"/>
    <col customWidth="1" min="2" max="2" width="17.14"/>
    <col customWidth="1" min="3" max="3" width="10.29"/>
    <col customWidth="1" min="4" max="4" width="9.57"/>
    <col customWidth="1" min="5" max="5" width="5.14"/>
    <col customWidth="1" min="6" max="6" width="9.71"/>
    <col customWidth="1" min="7" max="7" width="6.43"/>
    <col customWidth="1" min="8" max="8" width="10.71"/>
    <col customWidth="1" min="9" max="9" width="9.86"/>
    <col customWidth="1" min="10" max="11" width="5.71"/>
  </cols>
  <sheetData>
    <row r="1">
      <c r="A1" s="10" t="s">
        <v>52</v>
      </c>
      <c r="B1" s="10" t="s">
        <v>40</v>
      </c>
      <c r="F1" s="10" t="s">
        <v>53</v>
      </c>
    </row>
    <row r="2">
      <c r="A2" s="10" t="s">
        <v>54</v>
      </c>
      <c r="B2" s="12">
        <v>50.0</v>
      </c>
    </row>
    <row r="3">
      <c r="A3" s="10" t="s">
        <v>55</v>
      </c>
      <c r="B3" s="12">
        <v>1.0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  <c r="K3" s="9" t="s">
        <v>61</v>
      </c>
    </row>
    <row r="4">
      <c r="A4" s="10" t="s">
        <v>62</v>
      </c>
      <c r="B4" s="12">
        <v>121.0</v>
      </c>
      <c r="F4" s="3">
        <f t="shared" ref="F4:K4" si="1">OPTIONS_SUMMARY_V2($B$1)</f>
        <v>0</v>
      </c>
      <c r="G4" s="3">
        <f t="shared" si="1"/>
        <v>0</v>
      </c>
      <c r="H4" s="3">
        <f t="shared" si="1"/>
        <v>0</v>
      </c>
      <c r="I4" s="3" t="str">
        <f t="shared" si="1"/>
        <v>Loading...</v>
      </c>
      <c r="J4" s="3">
        <f t="shared" si="1"/>
        <v>0</v>
      </c>
      <c r="K4" s="3" t="str">
        <f t="shared" si="1"/>
        <v>Loading...</v>
      </c>
    </row>
    <row r="5">
      <c r="F5" s="3">
        <v>3000.0</v>
      </c>
      <c r="G5" s="3">
        <v>3000.0</v>
      </c>
      <c r="H5" s="3">
        <v>3000.0</v>
      </c>
      <c r="J5" s="3">
        <v>3000.0</v>
      </c>
    </row>
    <row r="6">
      <c r="F6" s="3">
        <v>3000.0</v>
      </c>
      <c r="G6" s="3">
        <v>3000.0</v>
      </c>
      <c r="H6" s="3">
        <v>3000.0</v>
      </c>
      <c r="J6" s="3">
        <v>3000.0</v>
      </c>
    </row>
    <row r="7">
      <c r="A7" s="9" t="s">
        <v>63</v>
      </c>
      <c r="B7" s="9" t="s">
        <v>64</v>
      </c>
      <c r="C7" s="9" t="s">
        <v>65</v>
      </c>
      <c r="D7" s="9" t="s">
        <v>66</v>
      </c>
      <c r="E7" s="10" t="s">
        <v>67</v>
      </c>
      <c r="F7" s="3">
        <v>0.0</v>
      </c>
      <c r="G7" s="3">
        <v>0.0</v>
      </c>
      <c r="H7" s="3">
        <v>0.0</v>
      </c>
      <c r="J7" s="3">
        <v>0.0</v>
      </c>
    </row>
    <row r="8">
      <c r="A8" s="3">
        <f t="array" ref="A8:A128">SEQUENCE($B$4,1,$B$2-INT($B$4/2)*$B$3,$B$3)</f>
        <v>-10</v>
      </c>
      <c r="B8" s="3">
        <f t="shared" ref="B8:B128" si="2">OPTIONS_PAYOFF_V2($B$1, A8)</f>
        <v>3000</v>
      </c>
      <c r="C8" s="3">
        <f t="shared" ref="C8:C128" si="3">IF(B8&gt;0, B8, NA())</f>
        <v>3000</v>
      </c>
      <c r="D8" s="3" t="str">
        <f t="shared" ref="D8:D128" si="4">IF(B8&lt;0, B8, NA())</f>
        <v>#N/A</v>
      </c>
      <c r="E8" s="3">
        <f t="shared" ref="E8:E128" si="5">0</f>
        <v>0</v>
      </c>
      <c r="F8" s="3">
        <v>550.0</v>
      </c>
      <c r="G8" s="3">
        <v>550.0</v>
      </c>
      <c r="H8" s="3">
        <v>550.0</v>
      </c>
      <c r="J8" s="3">
        <v>550.0</v>
      </c>
    </row>
    <row r="9">
      <c r="A9" s="3">
        <v>-9.0</v>
      </c>
      <c r="B9" s="3">
        <f t="shared" si="2"/>
        <v>3000</v>
      </c>
      <c r="C9" s="3">
        <f t="shared" si="3"/>
        <v>3000</v>
      </c>
      <c r="D9" s="3" t="str">
        <f t="shared" si="4"/>
        <v>#N/A</v>
      </c>
      <c r="E9" s="3">
        <f t="shared" si="5"/>
        <v>0</v>
      </c>
      <c r="F9" s="3" t="s">
        <v>68</v>
      </c>
      <c r="G9" s="3" t="s">
        <v>68</v>
      </c>
      <c r="H9" s="3" t="s">
        <v>68</v>
      </c>
      <c r="J9" s="3" t="s">
        <v>68</v>
      </c>
    </row>
    <row r="10">
      <c r="A10" s="3">
        <v>-8.0</v>
      </c>
      <c r="B10" s="3" t="str">
        <f t="shared" si="2"/>
        <v>Loading...</v>
      </c>
      <c r="C10" s="3" t="str">
        <f t="shared" si="3"/>
        <v>Loading...</v>
      </c>
      <c r="D10" s="3" t="str">
        <f t="shared" si="4"/>
        <v>Loading...</v>
      </c>
      <c r="E10" s="3">
        <f t="shared" si="5"/>
        <v>0</v>
      </c>
    </row>
    <row r="11">
      <c r="A11" s="3">
        <v>-7.0</v>
      </c>
      <c r="B11" s="3">
        <f t="shared" si="2"/>
        <v>3000</v>
      </c>
      <c r="C11" s="3">
        <f t="shared" si="3"/>
        <v>3000</v>
      </c>
      <c r="D11" s="3" t="str">
        <f t="shared" si="4"/>
        <v>#N/A</v>
      </c>
      <c r="E11" s="3">
        <f t="shared" si="5"/>
        <v>0</v>
      </c>
    </row>
    <row r="12">
      <c r="A12" s="3">
        <v>-6.0</v>
      </c>
      <c r="B12" s="3">
        <f t="shared" si="2"/>
        <v>3000</v>
      </c>
      <c r="C12" s="3">
        <f t="shared" si="3"/>
        <v>3000</v>
      </c>
      <c r="D12" s="3" t="str">
        <f t="shared" si="4"/>
        <v>#N/A</v>
      </c>
      <c r="E12" s="3">
        <f t="shared" si="5"/>
        <v>0</v>
      </c>
    </row>
    <row r="13">
      <c r="A13" s="3">
        <v>-5.0</v>
      </c>
      <c r="B13" s="3">
        <f t="shared" si="2"/>
        <v>3000</v>
      </c>
      <c r="C13" s="3">
        <f t="shared" si="3"/>
        <v>3000</v>
      </c>
      <c r="D13" s="3" t="str">
        <f t="shared" si="4"/>
        <v>#N/A</v>
      </c>
      <c r="E13" s="3">
        <f t="shared" si="5"/>
        <v>0</v>
      </c>
    </row>
    <row r="14">
      <c r="A14" s="3">
        <v>-4.0</v>
      </c>
      <c r="B14" s="3" t="str">
        <f t="shared" si="2"/>
        <v>Loading...</v>
      </c>
      <c r="C14" s="3" t="str">
        <f t="shared" si="3"/>
        <v>Loading...</v>
      </c>
      <c r="D14" s="3" t="str">
        <f t="shared" si="4"/>
        <v>Loading...</v>
      </c>
      <c r="E14" s="3">
        <f t="shared" si="5"/>
        <v>0</v>
      </c>
    </row>
    <row r="15">
      <c r="A15" s="3">
        <v>-3.0</v>
      </c>
      <c r="B15" s="3" t="str">
        <f t="shared" si="2"/>
        <v>Loading...</v>
      </c>
      <c r="C15" s="3" t="str">
        <f t="shared" si="3"/>
        <v>Loading...</v>
      </c>
      <c r="D15" s="3" t="str">
        <f t="shared" si="4"/>
        <v>Loading...</v>
      </c>
      <c r="E15" s="3">
        <f t="shared" si="5"/>
        <v>0</v>
      </c>
    </row>
    <row r="16">
      <c r="A16" s="3">
        <v>-2.0</v>
      </c>
      <c r="B16" s="3">
        <f t="shared" si="2"/>
        <v>3000</v>
      </c>
      <c r="C16" s="3">
        <f t="shared" si="3"/>
        <v>3000</v>
      </c>
      <c r="D16" s="3" t="str">
        <f t="shared" si="4"/>
        <v>#N/A</v>
      </c>
      <c r="E16" s="3">
        <f t="shared" si="5"/>
        <v>0</v>
      </c>
    </row>
    <row r="17">
      <c r="A17" s="3">
        <v>-1.0</v>
      </c>
      <c r="B17" s="3">
        <f t="shared" si="2"/>
        <v>3000</v>
      </c>
      <c r="C17" s="3">
        <f t="shared" si="3"/>
        <v>3000</v>
      </c>
      <c r="D17" s="3" t="str">
        <f t="shared" si="4"/>
        <v>#N/A</v>
      </c>
      <c r="E17" s="3">
        <f t="shared" si="5"/>
        <v>0</v>
      </c>
    </row>
    <row r="18">
      <c r="A18" s="3">
        <v>0.0</v>
      </c>
      <c r="B18" s="3">
        <f t="shared" si="2"/>
        <v>3000</v>
      </c>
      <c r="C18" s="3">
        <f t="shared" si="3"/>
        <v>3000</v>
      </c>
      <c r="D18" s="3" t="str">
        <f t="shared" si="4"/>
        <v>#N/A</v>
      </c>
      <c r="E18" s="3">
        <f t="shared" si="5"/>
        <v>0</v>
      </c>
    </row>
    <row r="19">
      <c r="A19" s="3">
        <v>1.0</v>
      </c>
      <c r="B19" s="3">
        <f t="shared" si="2"/>
        <v>3000</v>
      </c>
      <c r="C19" s="3">
        <f t="shared" si="3"/>
        <v>3000</v>
      </c>
      <c r="D19" s="3" t="str">
        <f t="shared" si="4"/>
        <v>#N/A</v>
      </c>
      <c r="E19" s="3">
        <f t="shared" si="5"/>
        <v>0</v>
      </c>
    </row>
    <row r="20">
      <c r="A20" s="3">
        <v>2.0</v>
      </c>
      <c r="B20" s="3">
        <f t="shared" si="2"/>
        <v>3000</v>
      </c>
      <c r="C20" s="3">
        <f t="shared" si="3"/>
        <v>3000</v>
      </c>
      <c r="D20" s="3" t="str">
        <f t="shared" si="4"/>
        <v>#N/A</v>
      </c>
      <c r="E20" s="3">
        <f t="shared" si="5"/>
        <v>0</v>
      </c>
    </row>
    <row r="21">
      <c r="A21" s="3">
        <v>3.0</v>
      </c>
      <c r="B21" s="3">
        <f t="shared" si="2"/>
        <v>3000</v>
      </c>
      <c r="C21" s="3">
        <f t="shared" si="3"/>
        <v>3000</v>
      </c>
      <c r="D21" s="3" t="str">
        <f t="shared" si="4"/>
        <v>#N/A</v>
      </c>
      <c r="E21" s="3">
        <f t="shared" si="5"/>
        <v>0</v>
      </c>
    </row>
    <row r="22">
      <c r="A22" s="3">
        <v>4.0</v>
      </c>
      <c r="B22" s="3">
        <f t="shared" si="2"/>
        <v>3000</v>
      </c>
      <c r="C22" s="3">
        <f t="shared" si="3"/>
        <v>3000</v>
      </c>
      <c r="D22" s="3" t="str">
        <f t="shared" si="4"/>
        <v>#N/A</v>
      </c>
      <c r="E22" s="3">
        <f t="shared" si="5"/>
        <v>0</v>
      </c>
    </row>
    <row r="23">
      <c r="A23" s="3">
        <v>5.0</v>
      </c>
      <c r="B23" s="3">
        <f t="shared" si="2"/>
        <v>3000</v>
      </c>
      <c r="C23" s="3">
        <f t="shared" si="3"/>
        <v>3000</v>
      </c>
      <c r="D23" s="3" t="str">
        <f t="shared" si="4"/>
        <v>#N/A</v>
      </c>
      <c r="E23" s="3">
        <f t="shared" si="5"/>
        <v>0</v>
      </c>
    </row>
    <row r="24">
      <c r="A24" s="3">
        <v>6.0</v>
      </c>
      <c r="B24" s="3">
        <f t="shared" si="2"/>
        <v>3000</v>
      </c>
      <c r="C24" s="3">
        <f t="shared" si="3"/>
        <v>3000</v>
      </c>
      <c r="D24" s="3" t="str">
        <f t="shared" si="4"/>
        <v>#N/A</v>
      </c>
      <c r="E24" s="3">
        <f t="shared" si="5"/>
        <v>0</v>
      </c>
    </row>
    <row r="25">
      <c r="A25" s="3">
        <v>7.0</v>
      </c>
      <c r="B25" s="3" t="str">
        <f t="shared" si="2"/>
        <v>Loading...</v>
      </c>
      <c r="C25" s="3" t="str">
        <f t="shared" si="3"/>
        <v>Loading...</v>
      </c>
      <c r="D25" s="3" t="str">
        <f t="shared" si="4"/>
        <v>Loading...</v>
      </c>
      <c r="E25" s="3">
        <f t="shared" si="5"/>
        <v>0</v>
      </c>
    </row>
    <row r="26">
      <c r="A26" s="3">
        <v>8.0</v>
      </c>
      <c r="B26" s="3">
        <f t="shared" si="2"/>
        <v>3000</v>
      </c>
      <c r="C26" s="3">
        <f t="shared" si="3"/>
        <v>3000</v>
      </c>
      <c r="D26" s="3" t="str">
        <f t="shared" si="4"/>
        <v>#N/A</v>
      </c>
      <c r="E26" s="3">
        <f t="shared" si="5"/>
        <v>0</v>
      </c>
    </row>
    <row r="27">
      <c r="A27" s="3">
        <v>9.0</v>
      </c>
      <c r="B27" s="3">
        <f t="shared" si="2"/>
        <v>3000</v>
      </c>
      <c r="C27" s="3">
        <f t="shared" si="3"/>
        <v>3000</v>
      </c>
      <c r="D27" s="3" t="str">
        <f t="shared" si="4"/>
        <v>#N/A</v>
      </c>
      <c r="E27" s="3">
        <f t="shared" si="5"/>
        <v>0</v>
      </c>
    </row>
    <row r="28">
      <c r="A28" s="3">
        <v>10.0</v>
      </c>
      <c r="B28" s="3" t="str">
        <f t="shared" si="2"/>
        <v>Loading...</v>
      </c>
      <c r="C28" s="3" t="str">
        <f t="shared" si="3"/>
        <v>Loading...</v>
      </c>
      <c r="D28" s="3" t="str">
        <f t="shared" si="4"/>
        <v>Loading...</v>
      </c>
      <c r="E28" s="3">
        <f t="shared" si="5"/>
        <v>0</v>
      </c>
    </row>
    <row r="29">
      <c r="A29" s="3">
        <v>11.0</v>
      </c>
      <c r="B29" s="3" t="str">
        <f t="shared" si="2"/>
        <v>Loading...</v>
      </c>
      <c r="C29" s="3" t="str">
        <f t="shared" si="3"/>
        <v>Loading...</v>
      </c>
      <c r="D29" s="3" t="str">
        <f t="shared" si="4"/>
        <v>Loading...</v>
      </c>
      <c r="E29" s="3">
        <f t="shared" si="5"/>
        <v>0</v>
      </c>
    </row>
    <row r="30">
      <c r="A30" s="3">
        <v>12.0</v>
      </c>
      <c r="B30" s="3">
        <f t="shared" si="2"/>
        <v>3000</v>
      </c>
      <c r="C30" s="3">
        <f t="shared" si="3"/>
        <v>3000</v>
      </c>
      <c r="D30" s="3" t="str">
        <f t="shared" si="4"/>
        <v>#N/A</v>
      </c>
      <c r="E30" s="3">
        <f t="shared" si="5"/>
        <v>0</v>
      </c>
    </row>
    <row r="31">
      <c r="A31" s="3">
        <v>13.0</v>
      </c>
      <c r="B31" s="3">
        <f t="shared" si="2"/>
        <v>3000</v>
      </c>
      <c r="C31" s="3">
        <f t="shared" si="3"/>
        <v>3000</v>
      </c>
      <c r="D31" s="3" t="str">
        <f t="shared" si="4"/>
        <v>#N/A</v>
      </c>
      <c r="E31" s="3">
        <f t="shared" si="5"/>
        <v>0</v>
      </c>
    </row>
    <row r="32">
      <c r="A32" s="3">
        <v>14.0</v>
      </c>
      <c r="B32" s="3" t="str">
        <f t="shared" si="2"/>
        <v>Loading...</v>
      </c>
      <c r="C32" s="3" t="str">
        <f t="shared" si="3"/>
        <v>Loading...</v>
      </c>
      <c r="D32" s="3" t="str">
        <f t="shared" si="4"/>
        <v>Loading...</v>
      </c>
      <c r="E32" s="3">
        <f t="shared" si="5"/>
        <v>0</v>
      </c>
    </row>
    <row r="33">
      <c r="A33" s="3">
        <v>15.0</v>
      </c>
      <c r="B33" s="3">
        <f t="shared" si="2"/>
        <v>3000</v>
      </c>
      <c r="C33" s="3">
        <f t="shared" si="3"/>
        <v>3000</v>
      </c>
      <c r="D33" s="3" t="str">
        <f t="shared" si="4"/>
        <v>#N/A</v>
      </c>
      <c r="E33" s="3">
        <f t="shared" si="5"/>
        <v>0</v>
      </c>
    </row>
    <row r="34">
      <c r="A34" s="3">
        <v>16.0</v>
      </c>
      <c r="B34" s="3">
        <f t="shared" si="2"/>
        <v>3000</v>
      </c>
      <c r="C34" s="3">
        <f t="shared" si="3"/>
        <v>3000</v>
      </c>
      <c r="D34" s="3" t="str">
        <f t="shared" si="4"/>
        <v>#N/A</v>
      </c>
      <c r="E34" s="3">
        <f t="shared" si="5"/>
        <v>0</v>
      </c>
    </row>
    <row r="35">
      <c r="A35" s="3">
        <v>17.0</v>
      </c>
      <c r="B35" s="3">
        <f t="shared" si="2"/>
        <v>3000</v>
      </c>
      <c r="C35" s="3">
        <f t="shared" si="3"/>
        <v>3000</v>
      </c>
      <c r="D35" s="3" t="str">
        <f t="shared" si="4"/>
        <v>#N/A</v>
      </c>
      <c r="E35" s="3">
        <f t="shared" si="5"/>
        <v>0</v>
      </c>
    </row>
    <row r="36">
      <c r="A36" s="3">
        <v>18.0</v>
      </c>
      <c r="B36" s="3">
        <f t="shared" si="2"/>
        <v>3000</v>
      </c>
      <c r="C36" s="3">
        <f t="shared" si="3"/>
        <v>3000</v>
      </c>
      <c r="D36" s="3" t="str">
        <f t="shared" si="4"/>
        <v>#N/A</v>
      </c>
      <c r="E36" s="3">
        <f t="shared" si="5"/>
        <v>0</v>
      </c>
    </row>
    <row r="37">
      <c r="A37" s="3">
        <v>19.0</v>
      </c>
      <c r="B37" s="3" t="str">
        <f t="shared" si="2"/>
        <v>Loading...</v>
      </c>
      <c r="C37" s="3" t="str">
        <f t="shared" si="3"/>
        <v>Loading...</v>
      </c>
      <c r="D37" s="3" t="str">
        <f t="shared" si="4"/>
        <v>Loading...</v>
      </c>
      <c r="E37" s="3">
        <f t="shared" si="5"/>
        <v>0</v>
      </c>
    </row>
    <row r="38">
      <c r="A38" s="3">
        <v>20.0</v>
      </c>
      <c r="B38" s="3" t="str">
        <f t="shared" si="2"/>
        <v>Loading...</v>
      </c>
      <c r="C38" s="3" t="str">
        <f t="shared" si="3"/>
        <v>Loading...</v>
      </c>
      <c r="D38" s="3" t="str">
        <f t="shared" si="4"/>
        <v>Loading...</v>
      </c>
      <c r="E38" s="3">
        <f t="shared" si="5"/>
        <v>0</v>
      </c>
    </row>
    <row r="39">
      <c r="A39" s="3">
        <v>21.0</v>
      </c>
      <c r="B39" s="3" t="str">
        <f t="shared" si="2"/>
        <v>Loading...</v>
      </c>
      <c r="C39" s="3" t="str">
        <f t="shared" si="3"/>
        <v>Loading...</v>
      </c>
      <c r="D39" s="3" t="str">
        <f t="shared" si="4"/>
        <v>Loading...</v>
      </c>
      <c r="E39" s="3">
        <f t="shared" si="5"/>
        <v>0</v>
      </c>
    </row>
    <row r="40">
      <c r="A40" s="3">
        <v>22.0</v>
      </c>
      <c r="B40" s="3">
        <f t="shared" si="2"/>
        <v>3000</v>
      </c>
      <c r="C40" s="3">
        <f t="shared" si="3"/>
        <v>3000</v>
      </c>
      <c r="D40" s="3" t="str">
        <f t="shared" si="4"/>
        <v>#N/A</v>
      </c>
      <c r="E40" s="3">
        <f t="shared" si="5"/>
        <v>0</v>
      </c>
    </row>
    <row r="41">
      <c r="A41" s="3">
        <v>23.0</v>
      </c>
      <c r="B41" s="3">
        <f t="shared" si="2"/>
        <v>3000</v>
      </c>
      <c r="C41" s="3">
        <f t="shared" si="3"/>
        <v>3000</v>
      </c>
      <c r="D41" s="3" t="str">
        <f t="shared" si="4"/>
        <v>#N/A</v>
      </c>
      <c r="E41" s="3">
        <f t="shared" si="5"/>
        <v>0</v>
      </c>
    </row>
    <row r="42">
      <c r="A42" s="3">
        <v>24.0</v>
      </c>
      <c r="B42" s="3">
        <f t="shared" si="2"/>
        <v>3000</v>
      </c>
      <c r="C42" s="3">
        <f t="shared" si="3"/>
        <v>3000</v>
      </c>
      <c r="D42" s="3" t="str">
        <f t="shared" si="4"/>
        <v>#N/A</v>
      </c>
      <c r="E42" s="3">
        <f t="shared" si="5"/>
        <v>0</v>
      </c>
    </row>
    <row r="43">
      <c r="A43" s="3">
        <v>25.0</v>
      </c>
      <c r="B43" s="3" t="str">
        <f t="shared" si="2"/>
        <v>Loading...</v>
      </c>
      <c r="C43" s="3" t="str">
        <f t="shared" si="3"/>
        <v>Loading...</v>
      </c>
      <c r="D43" s="3" t="str">
        <f t="shared" si="4"/>
        <v>Loading...</v>
      </c>
      <c r="E43" s="3">
        <f t="shared" si="5"/>
        <v>0</v>
      </c>
    </row>
    <row r="44">
      <c r="A44" s="3">
        <v>26.0</v>
      </c>
      <c r="B44" s="3">
        <f t="shared" si="2"/>
        <v>3000</v>
      </c>
      <c r="C44" s="3">
        <f t="shared" si="3"/>
        <v>3000</v>
      </c>
      <c r="D44" s="3" t="str">
        <f t="shared" si="4"/>
        <v>#N/A</v>
      </c>
      <c r="E44" s="3">
        <f t="shared" si="5"/>
        <v>0</v>
      </c>
    </row>
    <row r="45">
      <c r="A45" s="3">
        <v>27.0</v>
      </c>
      <c r="B45" s="3">
        <f t="shared" si="2"/>
        <v>3000</v>
      </c>
      <c r="C45" s="3">
        <f t="shared" si="3"/>
        <v>3000</v>
      </c>
      <c r="D45" s="3" t="str">
        <f t="shared" si="4"/>
        <v>#N/A</v>
      </c>
      <c r="E45" s="3">
        <f t="shared" si="5"/>
        <v>0</v>
      </c>
    </row>
    <row r="46">
      <c r="A46" s="3">
        <v>28.0</v>
      </c>
      <c r="B46" s="3">
        <f t="shared" si="2"/>
        <v>3000</v>
      </c>
      <c r="C46" s="3">
        <f t="shared" si="3"/>
        <v>3000</v>
      </c>
      <c r="D46" s="3" t="str">
        <f t="shared" si="4"/>
        <v>#N/A</v>
      </c>
      <c r="E46" s="3">
        <f t="shared" si="5"/>
        <v>0</v>
      </c>
    </row>
    <row r="47">
      <c r="A47" s="3">
        <v>29.0</v>
      </c>
      <c r="B47" s="3" t="str">
        <f t="shared" si="2"/>
        <v>Loading...</v>
      </c>
      <c r="C47" s="3" t="str">
        <f t="shared" si="3"/>
        <v>Loading...</v>
      </c>
      <c r="D47" s="3" t="str">
        <f t="shared" si="4"/>
        <v>Loading...</v>
      </c>
      <c r="E47" s="3">
        <f t="shared" si="5"/>
        <v>0</v>
      </c>
    </row>
    <row r="48">
      <c r="A48" s="3">
        <v>30.0</v>
      </c>
      <c r="B48" s="3" t="str">
        <f t="shared" si="2"/>
        <v>Loading...</v>
      </c>
      <c r="C48" s="3" t="str">
        <f t="shared" si="3"/>
        <v>Loading...</v>
      </c>
      <c r="D48" s="3" t="str">
        <f t="shared" si="4"/>
        <v>Loading...</v>
      </c>
      <c r="E48" s="3">
        <f t="shared" si="5"/>
        <v>0</v>
      </c>
    </row>
    <row r="49">
      <c r="A49" s="3">
        <v>31.0</v>
      </c>
      <c r="B49" s="3">
        <f t="shared" si="2"/>
        <v>3000</v>
      </c>
      <c r="C49" s="3">
        <f t="shared" si="3"/>
        <v>3000</v>
      </c>
      <c r="D49" s="3" t="str">
        <f t="shared" si="4"/>
        <v>#N/A</v>
      </c>
      <c r="E49" s="3">
        <f t="shared" si="5"/>
        <v>0</v>
      </c>
    </row>
    <row r="50">
      <c r="A50" s="3">
        <v>32.0</v>
      </c>
      <c r="B50" s="3" t="str">
        <f t="shared" si="2"/>
        <v>Loading...</v>
      </c>
      <c r="C50" s="3" t="str">
        <f t="shared" si="3"/>
        <v>Loading...</v>
      </c>
      <c r="D50" s="3" t="str">
        <f t="shared" si="4"/>
        <v>Loading...</v>
      </c>
      <c r="E50" s="3">
        <f t="shared" si="5"/>
        <v>0</v>
      </c>
    </row>
    <row r="51">
      <c r="A51" s="3">
        <v>33.0</v>
      </c>
      <c r="B51" s="3">
        <f t="shared" si="2"/>
        <v>3000</v>
      </c>
      <c r="C51" s="3">
        <f t="shared" si="3"/>
        <v>3000</v>
      </c>
      <c r="D51" s="3" t="str">
        <f t="shared" si="4"/>
        <v>#N/A</v>
      </c>
      <c r="E51" s="3">
        <f t="shared" si="5"/>
        <v>0</v>
      </c>
    </row>
    <row r="52">
      <c r="A52" s="3">
        <v>34.0</v>
      </c>
      <c r="B52" s="3" t="str">
        <f t="shared" si="2"/>
        <v>Loading...</v>
      </c>
      <c r="C52" s="3" t="str">
        <f t="shared" si="3"/>
        <v>Loading...</v>
      </c>
      <c r="D52" s="3" t="str">
        <f t="shared" si="4"/>
        <v>Loading...</v>
      </c>
      <c r="E52" s="3">
        <f t="shared" si="5"/>
        <v>0</v>
      </c>
    </row>
    <row r="53">
      <c r="A53" s="3">
        <v>35.0</v>
      </c>
      <c r="B53" s="3" t="str">
        <f t="shared" si="2"/>
        <v>Loading...</v>
      </c>
      <c r="C53" s="3" t="str">
        <f t="shared" si="3"/>
        <v>Loading...</v>
      </c>
      <c r="D53" s="3" t="str">
        <f t="shared" si="4"/>
        <v>Loading...</v>
      </c>
      <c r="E53" s="3">
        <f t="shared" si="5"/>
        <v>0</v>
      </c>
    </row>
    <row r="54">
      <c r="A54" s="3">
        <v>36.0</v>
      </c>
      <c r="B54" s="3" t="str">
        <f t="shared" si="2"/>
        <v>Loading...</v>
      </c>
      <c r="C54" s="3" t="str">
        <f t="shared" si="3"/>
        <v>Loading...</v>
      </c>
      <c r="D54" s="3" t="str">
        <f t="shared" si="4"/>
        <v>Loading...</v>
      </c>
      <c r="E54" s="3">
        <f t="shared" si="5"/>
        <v>0</v>
      </c>
    </row>
    <row r="55">
      <c r="A55" s="3">
        <v>37.0</v>
      </c>
      <c r="B55" s="3" t="str">
        <f t="shared" si="2"/>
        <v>Loading...</v>
      </c>
      <c r="C55" s="3" t="str">
        <f t="shared" si="3"/>
        <v>Loading...</v>
      </c>
      <c r="D55" s="3" t="str">
        <f t="shared" si="4"/>
        <v>Loading...</v>
      </c>
      <c r="E55" s="3">
        <f t="shared" si="5"/>
        <v>0</v>
      </c>
    </row>
    <row r="56">
      <c r="A56" s="3">
        <v>38.0</v>
      </c>
      <c r="B56" s="3" t="str">
        <f t="shared" si="2"/>
        <v>Loading...</v>
      </c>
      <c r="C56" s="3" t="str">
        <f t="shared" si="3"/>
        <v>Loading...</v>
      </c>
      <c r="D56" s="3" t="str">
        <f t="shared" si="4"/>
        <v>Loading...</v>
      </c>
      <c r="E56" s="3">
        <f t="shared" si="5"/>
        <v>0</v>
      </c>
    </row>
    <row r="57">
      <c r="A57" s="3">
        <v>39.0</v>
      </c>
      <c r="B57" s="3">
        <f t="shared" si="2"/>
        <v>3000</v>
      </c>
      <c r="C57" s="3">
        <f t="shared" si="3"/>
        <v>3000</v>
      </c>
      <c r="D57" s="3" t="str">
        <f t="shared" si="4"/>
        <v>#N/A</v>
      </c>
      <c r="E57" s="3">
        <f t="shared" si="5"/>
        <v>0</v>
      </c>
    </row>
    <row r="58">
      <c r="A58" s="3">
        <v>40.0</v>
      </c>
      <c r="B58" s="3" t="str">
        <f t="shared" si="2"/>
        <v>Loading...</v>
      </c>
      <c r="C58" s="3" t="str">
        <f t="shared" si="3"/>
        <v>Loading...</v>
      </c>
      <c r="D58" s="3" t="str">
        <f t="shared" si="4"/>
        <v>Loading...</v>
      </c>
      <c r="E58" s="3">
        <f t="shared" si="5"/>
        <v>0</v>
      </c>
    </row>
    <row r="59">
      <c r="A59" s="3">
        <v>41.0</v>
      </c>
      <c r="B59" s="3" t="str">
        <f t="shared" si="2"/>
        <v>Loading...</v>
      </c>
      <c r="C59" s="3" t="str">
        <f t="shared" si="3"/>
        <v>Loading...</v>
      </c>
      <c r="D59" s="3" t="str">
        <f t="shared" si="4"/>
        <v>Loading...</v>
      </c>
      <c r="E59" s="3">
        <f t="shared" si="5"/>
        <v>0</v>
      </c>
    </row>
    <row r="60">
      <c r="A60" s="3">
        <v>42.0</v>
      </c>
      <c r="B60" s="3">
        <f t="shared" si="2"/>
        <v>3000</v>
      </c>
      <c r="C60" s="3">
        <f t="shared" si="3"/>
        <v>3000</v>
      </c>
      <c r="D60" s="3" t="str">
        <f t="shared" si="4"/>
        <v>#N/A</v>
      </c>
      <c r="E60" s="3">
        <f t="shared" si="5"/>
        <v>0</v>
      </c>
    </row>
    <row r="61">
      <c r="A61" s="3">
        <v>43.0</v>
      </c>
      <c r="B61" s="3">
        <f t="shared" si="2"/>
        <v>3000</v>
      </c>
      <c r="C61" s="3">
        <f t="shared" si="3"/>
        <v>3000</v>
      </c>
      <c r="D61" s="3" t="str">
        <f t="shared" si="4"/>
        <v>#N/A</v>
      </c>
      <c r="E61" s="3">
        <f t="shared" si="5"/>
        <v>0</v>
      </c>
    </row>
    <row r="62">
      <c r="A62" s="3">
        <v>44.0</v>
      </c>
      <c r="B62" s="3">
        <f t="shared" si="2"/>
        <v>3000</v>
      </c>
      <c r="C62" s="3">
        <f t="shared" si="3"/>
        <v>3000</v>
      </c>
      <c r="D62" s="3" t="str">
        <f t="shared" si="4"/>
        <v>#N/A</v>
      </c>
      <c r="E62" s="3">
        <f t="shared" si="5"/>
        <v>0</v>
      </c>
    </row>
    <row r="63">
      <c r="A63" s="3">
        <v>45.0</v>
      </c>
      <c r="B63" s="3" t="str">
        <f t="shared" si="2"/>
        <v>Loading...</v>
      </c>
      <c r="C63" s="3" t="str">
        <f t="shared" si="3"/>
        <v>Loading...</v>
      </c>
      <c r="D63" s="3" t="str">
        <f t="shared" si="4"/>
        <v>Loading...</v>
      </c>
      <c r="E63" s="3">
        <f t="shared" si="5"/>
        <v>0</v>
      </c>
    </row>
    <row r="64">
      <c r="A64" s="3">
        <v>46.0</v>
      </c>
      <c r="B64" s="3" t="str">
        <f t="shared" si="2"/>
        <v>Loading...</v>
      </c>
      <c r="C64" s="3" t="str">
        <f t="shared" si="3"/>
        <v>Loading...</v>
      </c>
      <c r="D64" s="3" t="str">
        <f t="shared" si="4"/>
        <v>Loading...</v>
      </c>
      <c r="E64" s="3">
        <f t="shared" si="5"/>
        <v>0</v>
      </c>
    </row>
    <row r="65">
      <c r="A65" s="3">
        <v>47.0</v>
      </c>
      <c r="B65" s="3">
        <f t="shared" si="2"/>
        <v>3000</v>
      </c>
      <c r="C65" s="3">
        <f t="shared" si="3"/>
        <v>3000</v>
      </c>
      <c r="D65" s="3" t="str">
        <f t="shared" si="4"/>
        <v>#N/A</v>
      </c>
      <c r="E65" s="3">
        <f t="shared" si="5"/>
        <v>0</v>
      </c>
    </row>
    <row r="66">
      <c r="A66" s="3">
        <v>48.0</v>
      </c>
      <c r="B66" s="3">
        <f t="shared" si="2"/>
        <v>3000</v>
      </c>
      <c r="C66" s="3">
        <f t="shared" si="3"/>
        <v>3000</v>
      </c>
      <c r="D66" s="3" t="str">
        <f t="shared" si="4"/>
        <v>#N/A</v>
      </c>
      <c r="E66" s="3">
        <f t="shared" si="5"/>
        <v>0</v>
      </c>
    </row>
    <row r="67">
      <c r="A67" s="3">
        <v>49.0</v>
      </c>
      <c r="B67" s="3" t="str">
        <f t="shared" si="2"/>
        <v>Loading...</v>
      </c>
      <c r="C67" s="3" t="str">
        <f t="shared" si="3"/>
        <v>Loading...</v>
      </c>
      <c r="D67" s="3" t="str">
        <f t="shared" si="4"/>
        <v>Loading...</v>
      </c>
      <c r="E67" s="3">
        <f t="shared" si="5"/>
        <v>0</v>
      </c>
    </row>
    <row r="68">
      <c r="A68" s="3">
        <v>50.0</v>
      </c>
      <c r="B68" s="3" t="str">
        <f t="shared" si="2"/>
        <v>Loading...</v>
      </c>
      <c r="C68" s="3" t="str">
        <f t="shared" si="3"/>
        <v>Loading...</v>
      </c>
      <c r="D68" s="3" t="str">
        <f t="shared" si="4"/>
        <v>Loading...</v>
      </c>
      <c r="E68" s="3">
        <f t="shared" si="5"/>
        <v>0</v>
      </c>
    </row>
    <row r="69">
      <c r="A69" s="3">
        <v>51.0</v>
      </c>
      <c r="B69" s="3" t="str">
        <f t="shared" si="2"/>
        <v>Loading...</v>
      </c>
      <c r="C69" s="3" t="str">
        <f t="shared" si="3"/>
        <v>Loading...</v>
      </c>
      <c r="D69" s="3" t="str">
        <f t="shared" si="4"/>
        <v>Loading...</v>
      </c>
      <c r="E69" s="3">
        <f t="shared" si="5"/>
        <v>0</v>
      </c>
    </row>
    <row r="70">
      <c r="A70" s="3">
        <v>52.0</v>
      </c>
      <c r="B70" s="3">
        <f t="shared" si="2"/>
        <v>3000</v>
      </c>
      <c r="C70" s="3">
        <f t="shared" si="3"/>
        <v>3000</v>
      </c>
      <c r="D70" s="3" t="str">
        <f t="shared" si="4"/>
        <v>#N/A</v>
      </c>
      <c r="E70" s="3">
        <f t="shared" si="5"/>
        <v>0</v>
      </c>
    </row>
    <row r="71">
      <c r="A71" s="3">
        <v>53.0</v>
      </c>
      <c r="B71" s="3">
        <f t="shared" si="2"/>
        <v>3000</v>
      </c>
      <c r="C71" s="3">
        <f t="shared" si="3"/>
        <v>3000</v>
      </c>
      <c r="D71" s="3" t="str">
        <f t="shared" si="4"/>
        <v>#N/A</v>
      </c>
      <c r="E71" s="3">
        <f t="shared" si="5"/>
        <v>0</v>
      </c>
    </row>
    <row r="72">
      <c r="A72" s="3">
        <v>54.0</v>
      </c>
      <c r="B72" s="3" t="str">
        <f t="shared" si="2"/>
        <v>Loading...</v>
      </c>
      <c r="C72" s="3" t="str">
        <f t="shared" si="3"/>
        <v>Loading...</v>
      </c>
      <c r="D72" s="3" t="str">
        <f t="shared" si="4"/>
        <v>Loading...</v>
      </c>
      <c r="E72" s="3">
        <f t="shared" si="5"/>
        <v>0</v>
      </c>
    </row>
    <row r="73">
      <c r="A73" s="3">
        <v>55.0</v>
      </c>
      <c r="B73" s="3" t="str">
        <f t="shared" si="2"/>
        <v>Loading...</v>
      </c>
      <c r="C73" s="3" t="str">
        <f t="shared" si="3"/>
        <v>Loading...</v>
      </c>
      <c r="D73" s="3" t="str">
        <f t="shared" si="4"/>
        <v>Loading...</v>
      </c>
      <c r="E73" s="3">
        <f t="shared" si="5"/>
        <v>0</v>
      </c>
    </row>
    <row r="74">
      <c r="A74" s="3">
        <v>56.0</v>
      </c>
      <c r="B74" s="3" t="str">
        <f t="shared" si="2"/>
        <v>Loading...</v>
      </c>
      <c r="C74" s="3" t="str">
        <f t="shared" si="3"/>
        <v>Loading...</v>
      </c>
      <c r="D74" s="3" t="str">
        <f t="shared" si="4"/>
        <v>Loading...</v>
      </c>
      <c r="E74" s="3">
        <f t="shared" si="5"/>
        <v>0</v>
      </c>
    </row>
    <row r="75">
      <c r="A75" s="3">
        <v>57.0</v>
      </c>
      <c r="B75" s="3" t="str">
        <f t="shared" si="2"/>
        <v>Loading...</v>
      </c>
      <c r="C75" s="3" t="str">
        <f t="shared" si="3"/>
        <v>Loading...</v>
      </c>
      <c r="D75" s="3" t="str">
        <f t="shared" si="4"/>
        <v>Loading...</v>
      </c>
      <c r="E75" s="3">
        <f t="shared" si="5"/>
        <v>0</v>
      </c>
    </row>
    <row r="76">
      <c r="A76" s="3">
        <v>58.0</v>
      </c>
      <c r="B76" s="3" t="str">
        <f t="shared" si="2"/>
        <v>Loading...</v>
      </c>
      <c r="C76" s="3" t="str">
        <f t="shared" si="3"/>
        <v>Loading...</v>
      </c>
      <c r="D76" s="3" t="str">
        <f t="shared" si="4"/>
        <v>Loading...</v>
      </c>
      <c r="E76" s="3">
        <f t="shared" si="5"/>
        <v>0</v>
      </c>
    </row>
    <row r="77">
      <c r="A77" s="3">
        <v>59.0</v>
      </c>
      <c r="B77" s="3" t="str">
        <f t="shared" si="2"/>
        <v>Loading...</v>
      </c>
      <c r="C77" s="3" t="str">
        <f t="shared" si="3"/>
        <v>Loading...</v>
      </c>
      <c r="D77" s="3" t="str">
        <f t="shared" si="4"/>
        <v>Loading...</v>
      </c>
      <c r="E77" s="3">
        <f t="shared" si="5"/>
        <v>0</v>
      </c>
    </row>
    <row r="78">
      <c r="A78" s="3">
        <v>60.0</v>
      </c>
      <c r="B78" s="3">
        <f t="shared" si="2"/>
        <v>3000</v>
      </c>
      <c r="C78" s="3">
        <f t="shared" si="3"/>
        <v>3000</v>
      </c>
      <c r="D78" s="3" t="str">
        <f t="shared" si="4"/>
        <v>#N/A</v>
      </c>
      <c r="E78" s="3">
        <f t="shared" si="5"/>
        <v>0</v>
      </c>
    </row>
    <row r="79">
      <c r="A79" s="3">
        <v>61.0</v>
      </c>
      <c r="B79" s="3" t="str">
        <f t="shared" si="2"/>
        <v>Loading...</v>
      </c>
      <c r="C79" s="3" t="str">
        <f t="shared" si="3"/>
        <v>Loading...</v>
      </c>
      <c r="D79" s="3" t="str">
        <f t="shared" si="4"/>
        <v>Loading...</v>
      </c>
      <c r="E79" s="3">
        <f t="shared" si="5"/>
        <v>0</v>
      </c>
    </row>
    <row r="80">
      <c r="A80" s="3">
        <v>62.0</v>
      </c>
      <c r="B80" s="3">
        <f t="shared" si="2"/>
        <v>3000</v>
      </c>
      <c r="C80" s="3">
        <f t="shared" si="3"/>
        <v>3000</v>
      </c>
      <c r="D80" s="3" t="str">
        <f t="shared" si="4"/>
        <v>#N/A</v>
      </c>
      <c r="E80" s="3">
        <f t="shared" si="5"/>
        <v>0</v>
      </c>
    </row>
    <row r="81">
      <c r="A81" s="3">
        <v>63.0</v>
      </c>
      <c r="B81" s="3">
        <f t="shared" si="2"/>
        <v>3000</v>
      </c>
      <c r="C81" s="3">
        <f t="shared" si="3"/>
        <v>3000</v>
      </c>
      <c r="D81" s="3" t="str">
        <f t="shared" si="4"/>
        <v>#N/A</v>
      </c>
      <c r="E81" s="3">
        <f t="shared" si="5"/>
        <v>0</v>
      </c>
    </row>
    <row r="82">
      <c r="A82" s="3">
        <v>64.0</v>
      </c>
      <c r="B82" s="3">
        <f t="shared" si="2"/>
        <v>3000</v>
      </c>
      <c r="C82" s="3">
        <f t="shared" si="3"/>
        <v>3000</v>
      </c>
      <c r="D82" s="3" t="str">
        <f t="shared" si="4"/>
        <v>#N/A</v>
      </c>
      <c r="E82" s="3">
        <f t="shared" si="5"/>
        <v>0</v>
      </c>
    </row>
    <row r="83">
      <c r="A83" s="3">
        <v>65.0</v>
      </c>
      <c r="B83" s="3">
        <f t="shared" si="2"/>
        <v>3000</v>
      </c>
      <c r="C83" s="3">
        <f t="shared" si="3"/>
        <v>3000</v>
      </c>
      <c r="D83" s="3" t="str">
        <f t="shared" si="4"/>
        <v>#N/A</v>
      </c>
      <c r="E83" s="3">
        <f t="shared" si="5"/>
        <v>0</v>
      </c>
    </row>
    <row r="84">
      <c r="A84" s="3">
        <v>66.0</v>
      </c>
      <c r="B84" s="3" t="str">
        <f t="shared" si="2"/>
        <v>Loading...</v>
      </c>
      <c r="C84" s="3" t="str">
        <f t="shared" si="3"/>
        <v>Loading...</v>
      </c>
      <c r="D84" s="3" t="str">
        <f t="shared" si="4"/>
        <v>Loading...</v>
      </c>
      <c r="E84" s="3">
        <f t="shared" si="5"/>
        <v>0</v>
      </c>
    </row>
    <row r="85">
      <c r="A85" s="3">
        <v>67.0</v>
      </c>
      <c r="B85" s="3">
        <f t="shared" si="2"/>
        <v>3000</v>
      </c>
      <c r="C85" s="3">
        <f t="shared" si="3"/>
        <v>3000</v>
      </c>
      <c r="D85" s="3" t="str">
        <f t="shared" si="4"/>
        <v>#N/A</v>
      </c>
      <c r="E85" s="3">
        <f t="shared" si="5"/>
        <v>0</v>
      </c>
    </row>
    <row r="86">
      <c r="A86" s="3">
        <v>68.0</v>
      </c>
      <c r="B86" s="3" t="str">
        <f t="shared" si="2"/>
        <v>Loading...</v>
      </c>
      <c r="C86" s="3" t="str">
        <f t="shared" si="3"/>
        <v>Loading...</v>
      </c>
      <c r="D86" s="3" t="str">
        <f t="shared" si="4"/>
        <v>Loading...</v>
      </c>
      <c r="E86" s="3">
        <f t="shared" si="5"/>
        <v>0</v>
      </c>
    </row>
    <row r="87">
      <c r="A87" s="3">
        <v>69.0</v>
      </c>
      <c r="B87" s="3" t="str">
        <f t="shared" si="2"/>
        <v>Loading...</v>
      </c>
      <c r="C87" s="3" t="str">
        <f t="shared" si="3"/>
        <v>Loading...</v>
      </c>
      <c r="D87" s="3" t="str">
        <f t="shared" si="4"/>
        <v>Loading...</v>
      </c>
      <c r="E87" s="3">
        <f t="shared" si="5"/>
        <v>0</v>
      </c>
    </row>
    <row r="88">
      <c r="A88" s="3">
        <v>70.0</v>
      </c>
      <c r="B88" s="3" t="str">
        <f t="shared" si="2"/>
        <v>Loading...</v>
      </c>
      <c r="C88" s="3" t="str">
        <f t="shared" si="3"/>
        <v>Loading...</v>
      </c>
      <c r="D88" s="3" t="str">
        <f t="shared" si="4"/>
        <v>Loading...</v>
      </c>
      <c r="E88" s="3">
        <f t="shared" si="5"/>
        <v>0</v>
      </c>
    </row>
    <row r="89">
      <c r="A89" s="3">
        <v>71.0</v>
      </c>
      <c r="B89" s="3" t="str">
        <f t="shared" si="2"/>
        <v>Loading...</v>
      </c>
      <c r="C89" s="3" t="str">
        <f t="shared" si="3"/>
        <v>Loading...</v>
      </c>
      <c r="D89" s="3" t="str">
        <f t="shared" si="4"/>
        <v>Loading...</v>
      </c>
      <c r="E89" s="3">
        <f t="shared" si="5"/>
        <v>0</v>
      </c>
    </row>
    <row r="90">
      <c r="A90" s="3">
        <v>72.0</v>
      </c>
      <c r="B90" s="3" t="str">
        <f t="shared" si="2"/>
        <v>Loading...</v>
      </c>
      <c r="C90" s="3" t="str">
        <f t="shared" si="3"/>
        <v>Loading...</v>
      </c>
      <c r="D90" s="3" t="str">
        <f t="shared" si="4"/>
        <v>Loading...</v>
      </c>
      <c r="E90" s="3">
        <f t="shared" si="5"/>
        <v>0</v>
      </c>
    </row>
    <row r="91">
      <c r="A91" s="3">
        <v>73.0</v>
      </c>
      <c r="B91" s="3">
        <f t="shared" si="2"/>
        <v>3000</v>
      </c>
      <c r="C91" s="3">
        <f t="shared" si="3"/>
        <v>3000</v>
      </c>
      <c r="D91" s="3" t="str">
        <f t="shared" si="4"/>
        <v>#N/A</v>
      </c>
      <c r="E91" s="3">
        <f t="shared" si="5"/>
        <v>0</v>
      </c>
    </row>
    <row r="92">
      <c r="A92" s="3">
        <v>74.0</v>
      </c>
      <c r="B92" s="3">
        <f t="shared" si="2"/>
        <v>3000</v>
      </c>
      <c r="C92" s="3">
        <f t="shared" si="3"/>
        <v>3000</v>
      </c>
      <c r="D92" s="3" t="str">
        <f t="shared" si="4"/>
        <v>#N/A</v>
      </c>
      <c r="E92" s="3">
        <f t="shared" si="5"/>
        <v>0</v>
      </c>
    </row>
    <row r="93">
      <c r="A93" s="3">
        <v>75.0</v>
      </c>
      <c r="B93" s="3">
        <f t="shared" si="2"/>
        <v>3000</v>
      </c>
      <c r="C93" s="3">
        <f t="shared" si="3"/>
        <v>3000</v>
      </c>
      <c r="D93" s="3" t="str">
        <f t="shared" si="4"/>
        <v>#N/A</v>
      </c>
      <c r="E93" s="3">
        <f t="shared" si="5"/>
        <v>0</v>
      </c>
    </row>
    <row r="94">
      <c r="A94" s="3">
        <v>76.0</v>
      </c>
      <c r="B94" s="3" t="str">
        <f t="shared" si="2"/>
        <v>Loading...</v>
      </c>
      <c r="C94" s="3" t="str">
        <f t="shared" si="3"/>
        <v>Loading...</v>
      </c>
      <c r="D94" s="3" t="str">
        <f t="shared" si="4"/>
        <v>Loading...</v>
      </c>
      <c r="E94" s="3">
        <f t="shared" si="5"/>
        <v>0</v>
      </c>
    </row>
    <row r="95">
      <c r="A95" s="3">
        <v>77.0</v>
      </c>
      <c r="B95" s="3" t="str">
        <f t="shared" si="2"/>
        <v>Loading...</v>
      </c>
      <c r="C95" s="3" t="str">
        <f t="shared" si="3"/>
        <v>Loading...</v>
      </c>
      <c r="D95" s="3" t="str">
        <f t="shared" si="4"/>
        <v>Loading...</v>
      </c>
      <c r="E95" s="3">
        <f t="shared" si="5"/>
        <v>0</v>
      </c>
    </row>
    <row r="96">
      <c r="A96" s="3">
        <v>78.0</v>
      </c>
      <c r="B96" s="3" t="str">
        <f t="shared" si="2"/>
        <v>Loading...</v>
      </c>
      <c r="C96" s="3" t="str">
        <f t="shared" si="3"/>
        <v>Loading...</v>
      </c>
      <c r="D96" s="3" t="str">
        <f t="shared" si="4"/>
        <v>Loading...</v>
      </c>
      <c r="E96" s="3">
        <f t="shared" si="5"/>
        <v>0</v>
      </c>
    </row>
    <row r="97">
      <c r="A97" s="3">
        <v>79.0</v>
      </c>
      <c r="B97" s="3">
        <f t="shared" si="2"/>
        <v>3000</v>
      </c>
      <c r="C97" s="3">
        <f t="shared" si="3"/>
        <v>3000</v>
      </c>
      <c r="D97" s="3" t="str">
        <f t="shared" si="4"/>
        <v>#N/A</v>
      </c>
      <c r="E97" s="3">
        <f t="shared" si="5"/>
        <v>0</v>
      </c>
    </row>
    <row r="98">
      <c r="A98" s="3">
        <v>80.0</v>
      </c>
      <c r="B98" s="3" t="str">
        <f t="shared" si="2"/>
        <v>Loading...</v>
      </c>
      <c r="C98" s="3" t="str">
        <f t="shared" si="3"/>
        <v>Loading...</v>
      </c>
      <c r="D98" s="3" t="str">
        <f t="shared" si="4"/>
        <v>Loading...</v>
      </c>
      <c r="E98" s="3">
        <f t="shared" si="5"/>
        <v>0</v>
      </c>
    </row>
    <row r="99">
      <c r="A99" s="3">
        <v>81.0</v>
      </c>
      <c r="B99" s="3" t="str">
        <f t="shared" si="2"/>
        <v>Loading...</v>
      </c>
      <c r="C99" s="3" t="str">
        <f t="shared" si="3"/>
        <v>Loading...</v>
      </c>
      <c r="D99" s="3" t="str">
        <f t="shared" si="4"/>
        <v>Loading...</v>
      </c>
      <c r="E99" s="3">
        <f t="shared" si="5"/>
        <v>0</v>
      </c>
    </row>
    <row r="100">
      <c r="A100" s="3">
        <v>82.0</v>
      </c>
      <c r="B100" s="3">
        <f t="shared" si="2"/>
        <v>3000</v>
      </c>
      <c r="C100" s="3">
        <f t="shared" si="3"/>
        <v>3000</v>
      </c>
      <c r="D100" s="3" t="str">
        <f t="shared" si="4"/>
        <v>#N/A</v>
      </c>
      <c r="E100" s="3">
        <f t="shared" si="5"/>
        <v>0</v>
      </c>
    </row>
    <row r="101">
      <c r="A101" s="3">
        <v>83.0</v>
      </c>
      <c r="B101" s="3" t="str">
        <f t="shared" si="2"/>
        <v>Loading...</v>
      </c>
      <c r="C101" s="3" t="str">
        <f t="shared" si="3"/>
        <v>Loading...</v>
      </c>
      <c r="D101" s="3" t="str">
        <f t="shared" si="4"/>
        <v>Loading...</v>
      </c>
      <c r="E101" s="3">
        <f t="shared" si="5"/>
        <v>0</v>
      </c>
    </row>
    <row r="102">
      <c r="A102" s="3">
        <v>84.0</v>
      </c>
      <c r="B102" s="3" t="str">
        <f t="shared" si="2"/>
        <v>Loading...</v>
      </c>
      <c r="C102" s="3" t="str">
        <f t="shared" si="3"/>
        <v>Loading...</v>
      </c>
      <c r="D102" s="3" t="str">
        <f t="shared" si="4"/>
        <v>Loading...</v>
      </c>
      <c r="E102" s="3">
        <f t="shared" si="5"/>
        <v>0</v>
      </c>
    </row>
    <row r="103">
      <c r="A103" s="3">
        <v>85.0</v>
      </c>
      <c r="B103" s="3" t="str">
        <f t="shared" si="2"/>
        <v>Loading...</v>
      </c>
      <c r="C103" s="3" t="str">
        <f t="shared" si="3"/>
        <v>Loading...</v>
      </c>
      <c r="D103" s="3" t="str">
        <f t="shared" si="4"/>
        <v>Loading...</v>
      </c>
      <c r="E103" s="3">
        <f t="shared" si="5"/>
        <v>0</v>
      </c>
    </row>
    <row r="104">
      <c r="A104" s="3">
        <v>86.0</v>
      </c>
      <c r="B104" s="3" t="str">
        <f t="shared" si="2"/>
        <v>Loading...</v>
      </c>
      <c r="C104" s="3" t="str">
        <f t="shared" si="3"/>
        <v>Loading...</v>
      </c>
      <c r="D104" s="3" t="str">
        <f t="shared" si="4"/>
        <v>Loading...</v>
      </c>
      <c r="E104" s="3">
        <f t="shared" si="5"/>
        <v>0</v>
      </c>
    </row>
    <row r="105">
      <c r="A105" s="3">
        <v>87.0</v>
      </c>
      <c r="B105" s="3">
        <f t="shared" si="2"/>
        <v>3000</v>
      </c>
      <c r="C105" s="3">
        <f t="shared" si="3"/>
        <v>3000</v>
      </c>
      <c r="D105" s="3" t="str">
        <f t="shared" si="4"/>
        <v>#N/A</v>
      </c>
      <c r="E105" s="3">
        <f t="shared" si="5"/>
        <v>0</v>
      </c>
    </row>
    <row r="106">
      <c r="A106" s="3">
        <v>88.0</v>
      </c>
      <c r="B106" s="3">
        <f t="shared" si="2"/>
        <v>3000</v>
      </c>
      <c r="C106" s="3">
        <f t="shared" si="3"/>
        <v>3000</v>
      </c>
      <c r="D106" s="3" t="str">
        <f t="shared" si="4"/>
        <v>#N/A</v>
      </c>
      <c r="E106" s="3">
        <f t="shared" si="5"/>
        <v>0</v>
      </c>
    </row>
    <row r="107">
      <c r="A107" s="3">
        <v>89.0</v>
      </c>
      <c r="B107" s="3" t="str">
        <f t="shared" si="2"/>
        <v>Loading...</v>
      </c>
      <c r="C107" s="3" t="str">
        <f t="shared" si="3"/>
        <v>Loading...</v>
      </c>
      <c r="D107" s="3" t="str">
        <f t="shared" si="4"/>
        <v>Loading...</v>
      </c>
      <c r="E107" s="3">
        <f t="shared" si="5"/>
        <v>0</v>
      </c>
    </row>
    <row r="108">
      <c r="A108" s="3">
        <v>90.0</v>
      </c>
      <c r="B108" s="3" t="str">
        <f t="shared" si="2"/>
        <v>Loading...</v>
      </c>
      <c r="C108" s="3" t="str">
        <f t="shared" si="3"/>
        <v>Loading...</v>
      </c>
      <c r="D108" s="3" t="str">
        <f t="shared" si="4"/>
        <v>Loading...</v>
      </c>
      <c r="E108" s="3">
        <f t="shared" si="5"/>
        <v>0</v>
      </c>
    </row>
    <row r="109">
      <c r="A109" s="3">
        <v>91.0</v>
      </c>
      <c r="B109" s="3" t="str">
        <f t="shared" si="2"/>
        <v>Loading...</v>
      </c>
      <c r="C109" s="3" t="str">
        <f t="shared" si="3"/>
        <v>Loading...</v>
      </c>
      <c r="D109" s="3" t="str">
        <f t="shared" si="4"/>
        <v>Loading...</v>
      </c>
      <c r="E109" s="3">
        <f t="shared" si="5"/>
        <v>0</v>
      </c>
    </row>
    <row r="110">
      <c r="A110" s="3">
        <v>92.0</v>
      </c>
      <c r="B110" s="3">
        <f t="shared" si="2"/>
        <v>3000</v>
      </c>
      <c r="C110" s="3">
        <f t="shared" si="3"/>
        <v>3000</v>
      </c>
      <c r="D110" s="3" t="str">
        <f t="shared" si="4"/>
        <v>#N/A</v>
      </c>
      <c r="E110" s="3">
        <f t="shared" si="5"/>
        <v>0</v>
      </c>
    </row>
    <row r="111">
      <c r="A111" s="3">
        <v>93.0</v>
      </c>
      <c r="B111" s="3">
        <f t="shared" si="2"/>
        <v>3000</v>
      </c>
      <c r="C111" s="3">
        <f t="shared" si="3"/>
        <v>3000</v>
      </c>
      <c r="D111" s="3" t="str">
        <f t="shared" si="4"/>
        <v>#N/A</v>
      </c>
      <c r="E111" s="3">
        <f t="shared" si="5"/>
        <v>0</v>
      </c>
    </row>
    <row r="112">
      <c r="A112" s="3">
        <v>94.0</v>
      </c>
      <c r="B112" s="3">
        <f t="shared" si="2"/>
        <v>3000</v>
      </c>
      <c r="C112" s="3">
        <f t="shared" si="3"/>
        <v>3000</v>
      </c>
      <c r="D112" s="3" t="str">
        <f t="shared" si="4"/>
        <v>#N/A</v>
      </c>
      <c r="E112" s="3">
        <f t="shared" si="5"/>
        <v>0</v>
      </c>
    </row>
    <row r="113">
      <c r="A113" s="3">
        <v>95.0</v>
      </c>
      <c r="B113" s="3">
        <f t="shared" si="2"/>
        <v>3000</v>
      </c>
      <c r="C113" s="3">
        <f t="shared" si="3"/>
        <v>3000</v>
      </c>
      <c r="D113" s="3" t="str">
        <f t="shared" si="4"/>
        <v>#N/A</v>
      </c>
      <c r="E113" s="3">
        <f t="shared" si="5"/>
        <v>0</v>
      </c>
    </row>
    <row r="114">
      <c r="A114" s="3">
        <v>96.0</v>
      </c>
      <c r="B114" s="3">
        <f t="shared" si="2"/>
        <v>3000</v>
      </c>
      <c r="C114" s="3">
        <f t="shared" si="3"/>
        <v>3000</v>
      </c>
      <c r="D114" s="3" t="str">
        <f t="shared" si="4"/>
        <v>#N/A</v>
      </c>
      <c r="E114" s="3">
        <f t="shared" si="5"/>
        <v>0</v>
      </c>
    </row>
    <row r="115">
      <c r="A115" s="3">
        <v>97.0</v>
      </c>
      <c r="B115" s="3" t="str">
        <f t="shared" si="2"/>
        <v>Loading...</v>
      </c>
      <c r="C115" s="3" t="str">
        <f t="shared" si="3"/>
        <v>Loading...</v>
      </c>
      <c r="D115" s="3" t="str">
        <f t="shared" si="4"/>
        <v>Loading...</v>
      </c>
      <c r="E115" s="3">
        <f t="shared" si="5"/>
        <v>0</v>
      </c>
    </row>
    <row r="116">
      <c r="A116" s="3">
        <v>98.0</v>
      </c>
      <c r="B116" s="3">
        <f t="shared" si="2"/>
        <v>3000</v>
      </c>
      <c r="C116" s="3">
        <f t="shared" si="3"/>
        <v>3000</v>
      </c>
      <c r="D116" s="3" t="str">
        <f t="shared" si="4"/>
        <v>#N/A</v>
      </c>
      <c r="E116" s="3">
        <f t="shared" si="5"/>
        <v>0</v>
      </c>
    </row>
    <row r="117">
      <c r="A117" s="3">
        <v>99.0</v>
      </c>
      <c r="B117" s="3" t="str">
        <f t="shared" si="2"/>
        <v>Loading...</v>
      </c>
      <c r="C117" s="3" t="str">
        <f t="shared" si="3"/>
        <v>Loading...</v>
      </c>
      <c r="D117" s="3" t="str">
        <f t="shared" si="4"/>
        <v>Loading...</v>
      </c>
      <c r="E117" s="3">
        <f t="shared" si="5"/>
        <v>0</v>
      </c>
    </row>
    <row r="118">
      <c r="A118" s="3">
        <v>100.0</v>
      </c>
      <c r="B118" s="3" t="str">
        <f t="shared" si="2"/>
        <v>Loading...</v>
      </c>
      <c r="C118" s="3" t="str">
        <f t="shared" si="3"/>
        <v>Loading...</v>
      </c>
      <c r="D118" s="3" t="str">
        <f t="shared" si="4"/>
        <v>Loading...</v>
      </c>
      <c r="E118" s="3">
        <f t="shared" si="5"/>
        <v>0</v>
      </c>
    </row>
    <row r="119">
      <c r="A119" s="3">
        <v>101.0</v>
      </c>
      <c r="B119" s="3">
        <f t="shared" si="2"/>
        <v>3000</v>
      </c>
      <c r="C119" s="3">
        <f t="shared" si="3"/>
        <v>3000</v>
      </c>
      <c r="D119" s="3" t="str">
        <f t="shared" si="4"/>
        <v>#N/A</v>
      </c>
      <c r="E119" s="3">
        <f t="shared" si="5"/>
        <v>0</v>
      </c>
    </row>
    <row r="120">
      <c r="A120" s="3">
        <v>102.0</v>
      </c>
      <c r="B120" s="3" t="str">
        <f t="shared" si="2"/>
        <v>Loading...</v>
      </c>
      <c r="C120" s="3" t="str">
        <f t="shared" si="3"/>
        <v>Loading...</v>
      </c>
      <c r="D120" s="3" t="str">
        <f t="shared" si="4"/>
        <v>Loading...</v>
      </c>
      <c r="E120" s="3">
        <f t="shared" si="5"/>
        <v>0</v>
      </c>
    </row>
    <row r="121">
      <c r="A121" s="3">
        <v>103.0</v>
      </c>
      <c r="B121" s="3">
        <f t="shared" si="2"/>
        <v>3000</v>
      </c>
      <c r="C121" s="3">
        <f t="shared" si="3"/>
        <v>3000</v>
      </c>
      <c r="D121" s="3" t="str">
        <f t="shared" si="4"/>
        <v>#N/A</v>
      </c>
      <c r="E121" s="3">
        <f t="shared" si="5"/>
        <v>0</v>
      </c>
    </row>
    <row r="122">
      <c r="A122" s="3">
        <v>104.0</v>
      </c>
      <c r="B122" s="3">
        <f t="shared" si="2"/>
        <v>3000</v>
      </c>
      <c r="C122" s="3">
        <f t="shared" si="3"/>
        <v>3000</v>
      </c>
      <c r="D122" s="3" t="str">
        <f t="shared" si="4"/>
        <v>#N/A</v>
      </c>
      <c r="E122" s="3">
        <f t="shared" si="5"/>
        <v>0</v>
      </c>
    </row>
    <row r="123">
      <c r="A123" s="3">
        <v>105.0</v>
      </c>
      <c r="B123" s="3" t="str">
        <f t="shared" si="2"/>
        <v>Loading...</v>
      </c>
      <c r="C123" s="3" t="str">
        <f t="shared" si="3"/>
        <v>Loading...</v>
      </c>
      <c r="D123" s="3" t="str">
        <f t="shared" si="4"/>
        <v>Loading...</v>
      </c>
      <c r="E123" s="3">
        <f t="shared" si="5"/>
        <v>0</v>
      </c>
    </row>
    <row r="124">
      <c r="A124" s="3">
        <v>106.0</v>
      </c>
      <c r="B124" s="3" t="str">
        <f t="shared" si="2"/>
        <v>Loading...</v>
      </c>
      <c r="C124" s="3" t="str">
        <f t="shared" si="3"/>
        <v>Loading...</v>
      </c>
      <c r="D124" s="3" t="str">
        <f t="shared" si="4"/>
        <v>Loading...</v>
      </c>
      <c r="E124" s="3">
        <f t="shared" si="5"/>
        <v>0</v>
      </c>
    </row>
    <row r="125">
      <c r="A125" s="3">
        <v>107.0</v>
      </c>
      <c r="B125" s="3" t="str">
        <f t="shared" si="2"/>
        <v>Loading...</v>
      </c>
      <c r="C125" s="3" t="str">
        <f t="shared" si="3"/>
        <v>Loading...</v>
      </c>
      <c r="D125" s="3" t="str">
        <f t="shared" si="4"/>
        <v>Loading...</v>
      </c>
      <c r="E125" s="3">
        <f t="shared" si="5"/>
        <v>0</v>
      </c>
    </row>
    <row r="126">
      <c r="A126" s="3">
        <v>108.0</v>
      </c>
      <c r="B126" s="3" t="str">
        <f t="shared" si="2"/>
        <v>Loading...</v>
      </c>
      <c r="C126" s="3" t="str">
        <f t="shared" si="3"/>
        <v>Loading...</v>
      </c>
      <c r="D126" s="3" t="str">
        <f t="shared" si="4"/>
        <v>Loading...</v>
      </c>
      <c r="E126" s="3">
        <f t="shared" si="5"/>
        <v>0</v>
      </c>
    </row>
    <row r="127">
      <c r="A127" s="3">
        <v>109.0</v>
      </c>
      <c r="B127" s="3" t="str">
        <f t="shared" si="2"/>
        <v>Loading...</v>
      </c>
      <c r="C127" s="3" t="str">
        <f t="shared" si="3"/>
        <v>Loading...</v>
      </c>
      <c r="D127" s="3" t="str">
        <f t="shared" si="4"/>
        <v>Loading...</v>
      </c>
      <c r="E127" s="3">
        <f t="shared" si="5"/>
        <v>0</v>
      </c>
    </row>
    <row r="128">
      <c r="A128" s="3">
        <v>110.0</v>
      </c>
      <c r="B128" s="3" t="str">
        <f t="shared" si="2"/>
        <v>Loading...</v>
      </c>
      <c r="C128" s="3" t="str">
        <f t="shared" si="3"/>
        <v>Loading...</v>
      </c>
      <c r="D128" s="3" t="str">
        <f t="shared" si="4"/>
        <v>Loading...</v>
      </c>
      <c r="E128" s="3">
        <f t="shared" si="5"/>
        <v>0</v>
      </c>
    </row>
  </sheetData>
  <dataValidations>
    <dataValidation type="list" allowBlank="1" sqref="B1">
      <formula1>'Options – Open Positions'!$A$2:$A1000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0.0"/>
    <col customWidth="1" min="4" max="26" width="8.71"/>
  </cols>
  <sheetData>
    <row r="1">
      <c r="A1" s="1" t="s">
        <v>69</v>
      </c>
      <c r="B1" s="1" t="s">
        <v>70</v>
      </c>
      <c r="C1" s="1" t="s">
        <v>71</v>
      </c>
    </row>
    <row r="2">
      <c r="A2" s="3" t="s">
        <v>72</v>
      </c>
      <c r="B2" s="13">
        <f>IFERROR(__xludf.DUMMYFUNCTION("IFERROR(GOOGLEFINANCE(A2,""price""),"""")"),19.95)</f>
        <v>19.95</v>
      </c>
      <c r="C2" s="14">
        <f t="shared" ref="C2:C1000" si="1">IF(B2&lt;&gt;"", NOW(), "")</f>
        <v>45909.3943</v>
      </c>
    </row>
    <row r="3">
      <c r="A3" s="3" t="s">
        <v>73</v>
      </c>
      <c r="B3" s="13">
        <f>IFERROR(__xludf.DUMMYFUNCTION("IFERROR(GOOGLEFINANCE(A3,""price""),"""")"),23.14)</f>
        <v>23.14</v>
      </c>
      <c r="C3" s="14">
        <f t="shared" si="1"/>
        <v>45909.3943</v>
      </c>
    </row>
    <row r="4">
      <c r="A4" s="3" t="s">
        <v>43</v>
      </c>
      <c r="B4" s="13">
        <f>IFERROR(__xludf.DUMMYFUNCTION("IFERROR(GOOGLEFINANCE(A4,""price""),"""")"),5.55)</f>
        <v>5.55</v>
      </c>
      <c r="C4" s="14">
        <f t="shared" si="1"/>
        <v>45909.3943</v>
      </c>
    </row>
    <row r="5">
      <c r="A5" s="3" t="s">
        <v>74</v>
      </c>
      <c r="B5" s="13">
        <f>IFERROR(__xludf.DUMMYFUNCTION("IFERROR(GOOGLEFINANCE(A5,""price""),"""")"),18.75)</f>
        <v>18.75</v>
      </c>
      <c r="C5" s="14">
        <f t="shared" si="1"/>
        <v>45909.3943</v>
      </c>
    </row>
    <row r="6">
      <c r="A6" s="3" t="s">
        <v>75</v>
      </c>
      <c r="B6" s="13">
        <f>IFERROR(__xludf.DUMMYFUNCTION("IFERROR(GOOGLEFINANCE(A6,""price""),"""")"),62.2)</f>
        <v>62.2</v>
      </c>
      <c r="C6" s="14">
        <f t="shared" si="1"/>
        <v>45909.3943</v>
      </c>
    </row>
    <row r="7">
      <c r="A7" s="3" t="s">
        <v>76</v>
      </c>
      <c r="B7" s="13">
        <f>IFERROR(__xludf.DUMMYFUNCTION("IFERROR(GOOGLEFINANCE(A7,""price""),"""")"),39.51)</f>
        <v>39.51</v>
      </c>
      <c r="C7" s="14">
        <f t="shared" si="1"/>
        <v>45909.3943</v>
      </c>
    </row>
    <row r="8">
      <c r="B8" s="3" t="str">
        <f>IFERROR(__xludf.DUMMYFUNCTION("IFERROR(GOOGLEFINANCE(A8,""price""),"""")"),"")</f>
        <v/>
      </c>
      <c r="C8" s="3" t="str">
        <f t="shared" si="1"/>
        <v/>
      </c>
    </row>
    <row r="9">
      <c r="B9" s="3" t="str">
        <f>IFERROR(__xludf.DUMMYFUNCTION("IFERROR(GOOGLEFINANCE(A9,""price""),"""")"),"")</f>
        <v/>
      </c>
      <c r="C9" s="3" t="str">
        <f t="shared" si="1"/>
        <v/>
      </c>
    </row>
    <row r="10">
      <c r="B10" s="3" t="str">
        <f>IFERROR(__xludf.DUMMYFUNCTION("IFERROR(GOOGLEFINANCE(A10,""price""),"""")"),"")</f>
        <v/>
      </c>
      <c r="C10" s="3" t="str">
        <f t="shared" si="1"/>
        <v/>
      </c>
    </row>
    <row r="11">
      <c r="B11" s="3" t="str">
        <f>IFERROR(__xludf.DUMMYFUNCTION("IFERROR(GOOGLEFINANCE(A11,""price""),"""")"),"")</f>
        <v/>
      </c>
      <c r="C11" s="3" t="str">
        <f t="shared" si="1"/>
        <v/>
      </c>
    </row>
    <row r="12">
      <c r="B12" s="3" t="str">
        <f>IFERROR(__xludf.DUMMYFUNCTION("IFERROR(GOOGLEFINANCE(A12,""price""),"""")"),"")</f>
        <v/>
      </c>
      <c r="C12" s="3" t="str">
        <f t="shared" si="1"/>
        <v/>
      </c>
    </row>
    <row r="13">
      <c r="B13" s="3" t="str">
        <f>IFERROR(__xludf.DUMMYFUNCTION("IFERROR(GOOGLEFINANCE(A13,""price""),"""")"),"")</f>
        <v/>
      </c>
      <c r="C13" s="3" t="str">
        <f t="shared" si="1"/>
        <v/>
      </c>
    </row>
    <row r="14">
      <c r="B14" s="3" t="str">
        <f>IFERROR(__xludf.DUMMYFUNCTION("IFERROR(GOOGLEFINANCE(A14,""price""),"""")"),"")</f>
        <v/>
      </c>
      <c r="C14" s="3" t="str">
        <f t="shared" si="1"/>
        <v/>
      </c>
    </row>
    <row r="15">
      <c r="B15" s="3" t="str">
        <f>IFERROR(__xludf.DUMMYFUNCTION("IFERROR(GOOGLEFINANCE(A15,""price""),"""")"),"")</f>
        <v/>
      </c>
      <c r="C15" s="3" t="str">
        <f t="shared" si="1"/>
        <v/>
      </c>
    </row>
    <row r="16">
      <c r="B16" s="3" t="str">
        <f>IFERROR(__xludf.DUMMYFUNCTION("IFERROR(GOOGLEFINANCE(A16,""price""),"""")"),"")</f>
        <v/>
      </c>
      <c r="C16" s="3" t="str">
        <f t="shared" si="1"/>
        <v/>
      </c>
    </row>
    <row r="17">
      <c r="B17" s="3" t="str">
        <f>IFERROR(__xludf.DUMMYFUNCTION("IFERROR(GOOGLEFINANCE(A17,""price""),"""")"),"")</f>
        <v/>
      </c>
      <c r="C17" s="3" t="str">
        <f t="shared" si="1"/>
        <v/>
      </c>
    </row>
    <row r="18">
      <c r="B18" s="3" t="str">
        <f>IFERROR(__xludf.DUMMYFUNCTION("IFERROR(GOOGLEFINANCE(A18,""price""),"""")"),"")</f>
        <v/>
      </c>
      <c r="C18" s="3" t="str">
        <f t="shared" si="1"/>
        <v/>
      </c>
    </row>
    <row r="19">
      <c r="B19" s="3" t="str">
        <f>IFERROR(__xludf.DUMMYFUNCTION("IFERROR(GOOGLEFINANCE(A19,""price""),"""")"),"")</f>
        <v/>
      </c>
      <c r="C19" s="3" t="str">
        <f t="shared" si="1"/>
        <v/>
      </c>
    </row>
    <row r="20">
      <c r="B20" s="3" t="str">
        <f>IFERROR(__xludf.DUMMYFUNCTION("IFERROR(GOOGLEFINANCE(A20,""price""),"""")"),"")</f>
        <v/>
      </c>
      <c r="C20" s="3" t="str">
        <f t="shared" si="1"/>
        <v/>
      </c>
    </row>
    <row r="21" ht="15.75" customHeight="1">
      <c r="B21" s="3" t="str">
        <f>IFERROR(__xludf.DUMMYFUNCTION("IFERROR(GOOGLEFINANCE(A21,""price""),"""")"),"")</f>
        <v/>
      </c>
      <c r="C21" s="3" t="str">
        <f t="shared" si="1"/>
        <v/>
      </c>
    </row>
    <row r="22" ht="15.75" customHeight="1">
      <c r="B22" s="3" t="str">
        <f>IFERROR(__xludf.DUMMYFUNCTION("IFERROR(GOOGLEFINANCE(A22,""price""),"""")"),"")</f>
        <v/>
      </c>
      <c r="C22" s="3" t="str">
        <f t="shared" si="1"/>
        <v/>
      </c>
    </row>
    <row r="23" ht="15.75" customHeight="1">
      <c r="B23" s="3" t="str">
        <f>IFERROR(__xludf.DUMMYFUNCTION("IFERROR(GOOGLEFINANCE(A23,""price""),"""")"),"")</f>
        <v/>
      </c>
      <c r="C23" s="3" t="str">
        <f t="shared" si="1"/>
        <v/>
      </c>
    </row>
    <row r="24" ht="15.75" customHeight="1">
      <c r="B24" s="3" t="str">
        <f>IFERROR(__xludf.DUMMYFUNCTION("IFERROR(GOOGLEFINANCE(A24,""price""),"""")"),"")</f>
        <v/>
      </c>
      <c r="C24" s="3" t="str">
        <f t="shared" si="1"/>
        <v/>
      </c>
    </row>
    <row r="25" ht="15.75" customHeight="1">
      <c r="B25" s="3" t="str">
        <f>IFERROR(__xludf.DUMMYFUNCTION("IFERROR(GOOGLEFINANCE(A25,""price""),"""")"),"")</f>
        <v/>
      </c>
      <c r="C25" s="3" t="str">
        <f t="shared" si="1"/>
        <v/>
      </c>
    </row>
    <row r="26" ht="15.75" customHeight="1">
      <c r="B26" s="3" t="str">
        <f>IFERROR(__xludf.DUMMYFUNCTION("IFERROR(GOOGLEFINANCE(A26,""price""),"""")"),"")</f>
        <v/>
      </c>
      <c r="C26" s="3" t="str">
        <f t="shared" si="1"/>
        <v/>
      </c>
    </row>
    <row r="27" ht="15.75" customHeight="1">
      <c r="B27" s="3" t="str">
        <f>IFERROR(__xludf.DUMMYFUNCTION("IFERROR(GOOGLEFINANCE(A27,""price""),"""")"),"")</f>
        <v/>
      </c>
      <c r="C27" s="3" t="str">
        <f t="shared" si="1"/>
        <v/>
      </c>
    </row>
    <row r="28" ht="15.75" customHeight="1">
      <c r="B28" s="3" t="str">
        <f>IFERROR(__xludf.DUMMYFUNCTION("IFERROR(GOOGLEFINANCE(A28,""price""),"""")"),"")</f>
        <v/>
      </c>
      <c r="C28" s="3" t="str">
        <f t="shared" si="1"/>
        <v/>
      </c>
    </row>
    <row r="29" ht="15.75" customHeight="1">
      <c r="B29" s="3" t="str">
        <f>IFERROR(__xludf.DUMMYFUNCTION("IFERROR(GOOGLEFINANCE(A29,""price""),"""")"),"")</f>
        <v/>
      </c>
      <c r="C29" s="3" t="str">
        <f t="shared" si="1"/>
        <v/>
      </c>
    </row>
    <row r="30" ht="15.75" customHeight="1">
      <c r="B30" s="3" t="str">
        <f>IFERROR(__xludf.DUMMYFUNCTION("IFERROR(GOOGLEFINANCE(A30,""price""),"""")"),"")</f>
        <v/>
      </c>
      <c r="C30" s="3" t="str">
        <f t="shared" si="1"/>
        <v/>
      </c>
    </row>
    <row r="31" ht="15.75" customHeight="1">
      <c r="B31" s="3" t="str">
        <f>IFERROR(__xludf.DUMMYFUNCTION("IFERROR(GOOGLEFINANCE(A31,""price""),"""")"),"")</f>
        <v/>
      </c>
      <c r="C31" s="3" t="str">
        <f t="shared" si="1"/>
        <v/>
      </c>
    </row>
    <row r="32" ht="15.75" customHeight="1">
      <c r="B32" s="3" t="str">
        <f>IFERROR(__xludf.DUMMYFUNCTION("IFERROR(GOOGLEFINANCE(A32,""price""),"""")"),"")</f>
        <v/>
      </c>
      <c r="C32" s="3" t="str">
        <f t="shared" si="1"/>
        <v/>
      </c>
    </row>
    <row r="33" ht="15.75" customHeight="1">
      <c r="B33" s="3" t="str">
        <f>IFERROR(__xludf.DUMMYFUNCTION("IFERROR(GOOGLEFINANCE(A33,""price""),"""")"),"")</f>
        <v/>
      </c>
      <c r="C33" s="3" t="str">
        <f t="shared" si="1"/>
        <v/>
      </c>
    </row>
    <row r="34" ht="15.75" customHeight="1">
      <c r="B34" s="3" t="str">
        <f>IFERROR(__xludf.DUMMYFUNCTION("IFERROR(GOOGLEFINANCE(A34,""price""),"""")"),"")</f>
        <v/>
      </c>
      <c r="C34" s="3" t="str">
        <f t="shared" si="1"/>
        <v/>
      </c>
    </row>
    <row r="35" ht="15.75" customHeight="1">
      <c r="B35" s="3" t="str">
        <f>IFERROR(__xludf.DUMMYFUNCTION("IFERROR(GOOGLEFINANCE(A35,""price""),"""")"),"")</f>
        <v/>
      </c>
      <c r="C35" s="3" t="str">
        <f t="shared" si="1"/>
        <v/>
      </c>
    </row>
    <row r="36" ht="15.75" customHeight="1">
      <c r="B36" s="3" t="str">
        <f>IFERROR(__xludf.DUMMYFUNCTION("IFERROR(GOOGLEFINANCE(A36,""price""),"""")"),"")</f>
        <v/>
      </c>
      <c r="C36" s="3" t="str">
        <f t="shared" si="1"/>
        <v/>
      </c>
    </row>
    <row r="37" ht="15.75" customHeight="1">
      <c r="B37" s="3" t="str">
        <f>IFERROR(__xludf.DUMMYFUNCTION("IFERROR(GOOGLEFINANCE(A37,""price""),"""")"),"")</f>
        <v/>
      </c>
      <c r="C37" s="3" t="str">
        <f t="shared" si="1"/>
        <v/>
      </c>
    </row>
    <row r="38" ht="15.75" customHeight="1">
      <c r="B38" s="3" t="str">
        <f>IFERROR(__xludf.DUMMYFUNCTION("IFERROR(GOOGLEFINANCE(A38,""price""),"""")"),"")</f>
        <v/>
      </c>
      <c r="C38" s="3" t="str">
        <f t="shared" si="1"/>
        <v/>
      </c>
    </row>
    <row r="39" ht="15.75" customHeight="1">
      <c r="B39" s="3" t="str">
        <f>IFERROR(__xludf.DUMMYFUNCTION("IFERROR(GOOGLEFINANCE(A39,""price""),"""")"),"")</f>
        <v/>
      </c>
      <c r="C39" s="3" t="str">
        <f t="shared" si="1"/>
        <v/>
      </c>
    </row>
    <row r="40" ht="15.75" customHeight="1">
      <c r="B40" s="3" t="str">
        <f>IFERROR(__xludf.DUMMYFUNCTION("IFERROR(GOOGLEFINANCE(A40,""price""),"""")"),"")</f>
        <v/>
      </c>
      <c r="C40" s="3" t="str">
        <f t="shared" si="1"/>
        <v/>
      </c>
    </row>
    <row r="41" ht="15.75" customHeight="1">
      <c r="B41" s="3" t="str">
        <f>IFERROR(__xludf.DUMMYFUNCTION("IFERROR(GOOGLEFINANCE(A41,""price""),"""")"),"")</f>
        <v/>
      </c>
      <c r="C41" s="3" t="str">
        <f t="shared" si="1"/>
        <v/>
      </c>
    </row>
    <row r="42" ht="15.75" customHeight="1">
      <c r="B42" s="3" t="str">
        <f>IFERROR(__xludf.DUMMYFUNCTION("IFERROR(GOOGLEFINANCE(A42,""price""),"""")"),"")</f>
        <v/>
      </c>
      <c r="C42" s="3" t="str">
        <f t="shared" si="1"/>
        <v/>
      </c>
    </row>
    <row r="43" ht="15.75" customHeight="1">
      <c r="B43" s="3" t="str">
        <f>IFERROR(__xludf.DUMMYFUNCTION("IFERROR(GOOGLEFINANCE(A43,""price""),"""")"),"")</f>
        <v/>
      </c>
      <c r="C43" s="3" t="str">
        <f t="shared" si="1"/>
        <v/>
      </c>
    </row>
    <row r="44" ht="15.75" customHeight="1">
      <c r="B44" s="3" t="str">
        <f>IFERROR(__xludf.DUMMYFUNCTION("IFERROR(GOOGLEFINANCE(A44,""price""),"""")"),"")</f>
        <v/>
      </c>
      <c r="C44" s="3" t="str">
        <f t="shared" si="1"/>
        <v/>
      </c>
    </row>
    <row r="45" ht="15.75" customHeight="1">
      <c r="B45" s="3" t="str">
        <f>IFERROR(__xludf.DUMMYFUNCTION("IFERROR(GOOGLEFINANCE(A45,""price""),"""")"),"")</f>
        <v/>
      </c>
      <c r="C45" s="3" t="str">
        <f t="shared" si="1"/>
        <v/>
      </c>
    </row>
    <row r="46" ht="15.75" customHeight="1">
      <c r="B46" s="3" t="str">
        <f>IFERROR(__xludf.DUMMYFUNCTION("IFERROR(GOOGLEFINANCE(A46,""price""),"""")"),"")</f>
        <v/>
      </c>
      <c r="C46" s="3" t="str">
        <f t="shared" si="1"/>
        <v/>
      </c>
    </row>
    <row r="47" ht="15.75" customHeight="1">
      <c r="B47" s="3" t="str">
        <f>IFERROR(__xludf.DUMMYFUNCTION("IFERROR(GOOGLEFINANCE(A47,""price""),"""")"),"")</f>
        <v/>
      </c>
      <c r="C47" s="3" t="str">
        <f t="shared" si="1"/>
        <v/>
      </c>
    </row>
    <row r="48" ht="15.75" customHeight="1">
      <c r="B48" s="3" t="str">
        <f>IFERROR(__xludf.DUMMYFUNCTION("IFERROR(GOOGLEFINANCE(A48,""price""),"""")"),"")</f>
        <v/>
      </c>
      <c r="C48" s="3" t="str">
        <f t="shared" si="1"/>
        <v/>
      </c>
    </row>
    <row r="49" ht="15.75" customHeight="1">
      <c r="B49" s="3" t="str">
        <f>IFERROR(__xludf.DUMMYFUNCTION("IFERROR(GOOGLEFINANCE(A49,""price""),"""")"),"")</f>
        <v/>
      </c>
      <c r="C49" s="3" t="str">
        <f t="shared" si="1"/>
        <v/>
      </c>
    </row>
    <row r="50" ht="15.75" customHeight="1">
      <c r="B50" s="3" t="str">
        <f>IFERROR(__xludf.DUMMYFUNCTION("IFERROR(GOOGLEFINANCE(A50,""price""),"""")"),"")</f>
        <v/>
      </c>
      <c r="C50" s="3" t="str">
        <f t="shared" si="1"/>
        <v/>
      </c>
    </row>
    <row r="51" ht="15.75" customHeight="1">
      <c r="B51" s="3" t="str">
        <f>IFERROR(__xludf.DUMMYFUNCTION("IFERROR(GOOGLEFINANCE(A51,""price""),"""")"),"")</f>
        <v/>
      </c>
      <c r="C51" s="3" t="str">
        <f t="shared" si="1"/>
        <v/>
      </c>
    </row>
    <row r="52" ht="15.75" customHeight="1">
      <c r="B52" s="3" t="str">
        <f>IFERROR(__xludf.DUMMYFUNCTION("IFERROR(GOOGLEFINANCE(A52,""price""),"""")"),"")</f>
        <v/>
      </c>
      <c r="C52" s="3" t="str">
        <f t="shared" si="1"/>
        <v/>
      </c>
    </row>
    <row r="53" ht="15.75" customHeight="1">
      <c r="B53" s="3" t="str">
        <f>IFERROR(__xludf.DUMMYFUNCTION("IFERROR(GOOGLEFINANCE(A53,""price""),"""")"),"")</f>
        <v/>
      </c>
      <c r="C53" s="3" t="str">
        <f t="shared" si="1"/>
        <v/>
      </c>
    </row>
    <row r="54" ht="15.75" customHeight="1">
      <c r="B54" s="3" t="str">
        <f>IFERROR(__xludf.DUMMYFUNCTION("IFERROR(GOOGLEFINANCE(A54,""price""),"""")"),"")</f>
        <v/>
      </c>
      <c r="C54" s="3" t="str">
        <f t="shared" si="1"/>
        <v/>
      </c>
    </row>
    <row r="55" ht="15.75" customHeight="1">
      <c r="B55" s="3" t="str">
        <f>IFERROR(__xludf.DUMMYFUNCTION("IFERROR(GOOGLEFINANCE(A55,""price""),"""")"),"")</f>
        <v/>
      </c>
      <c r="C55" s="3" t="str">
        <f t="shared" si="1"/>
        <v/>
      </c>
    </row>
    <row r="56" ht="15.75" customHeight="1">
      <c r="B56" s="3" t="str">
        <f>IFERROR(__xludf.DUMMYFUNCTION("IFERROR(GOOGLEFINANCE(A56,""price""),"""")"),"")</f>
        <v/>
      </c>
      <c r="C56" s="3" t="str">
        <f t="shared" si="1"/>
        <v/>
      </c>
    </row>
    <row r="57" ht="15.75" customHeight="1">
      <c r="B57" s="3" t="str">
        <f>IFERROR(__xludf.DUMMYFUNCTION("IFERROR(GOOGLEFINANCE(A57,""price""),"""")"),"")</f>
        <v/>
      </c>
      <c r="C57" s="3" t="str">
        <f t="shared" si="1"/>
        <v/>
      </c>
    </row>
    <row r="58" ht="15.75" customHeight="1">
      <c r="B58" s="3" t="str">
        <f>IFERROR(__xludf.DUMMYFUNCTION("IFERROR(GOOGLEFINANCE(A58,""price""),"""")"),"")</f>
        <v/>
      </c>
      <c r="C58" s="3" t="str">
        <f t="shared" si="1"/>
        <v/>
      </c>
    </row>
    <row r="59" ht="15.75" customHeight="1">
      <c r="B59" s="3" t="str">
        <f>IFERROR(__xludf.DUMMYFUNCTION("IFERROR(GOOGLEFINANCE(A59,""price""),"""")"),"")</f>
        <v/>
      </c>
      <c r="C59" s="3" t="str">
        <f t="shared" si="1"/>
        <v/>
      </c>
    </row>
    <row r="60" ht="15.75" customHeight="1">
      <c r="B60" s="3" t="str">
        <f>IFERROR(__xludf.DUMMYFUNCTION("IFERROR(GOOGLEFINANCE(A60,""price""),"""")"),"")</f>
        <v/>
      </c>
      <c r="C60" s="3" t="str">
        <f t="shared" si="1"/>
        <v/>
      </c>
    </row>
    <row r="61" ht="15.75" customHeight="1">
      <c r="B61" s="3" t="str">
        <f>IFERROR(__xludf.DUMMYFUNCTION("IFERROR(GOOGLEFINANCE(A61,""price""),"""")"),"")</f>
        <v/>
      </c>
      <c r="C61" s="3" t="str">
        <f t="shared" si="1"/>
        <v/>
      </c>
    </row>
    <row r="62" ht="15.75" customHeight="1">
      <c r="B62" s="3" t="str">
        <f>IFERROR(__xludf.DUMMYFUNCTION("IFERROR(GOOGLEFINANCE(A62,""price""),"""")"),"")</f>
        <v/>
      </c>
      <c r="C62" s="3" t="str">
        <f t="shared" si="1"/>
        <v/>
      </c>
    </row>
    <row r="63" ht="15.75" customHeight="1">
      <c r="B63" s="3" t="str">
        <f>IFERROR(__xludf.DUMMYFUNCTION("IFERROR(GOOGLEFINANCE(A63,""price""),"""")"),"")</f>
        <v/>
      </c>
      <c r="C63" s="3" t="str">
        <f t="shared" si="1"/>
        <v/>
      </c>
    </row>
    <row r="64" ht="15.75" customHeight="1">
      <c r="B64" s="3" t="str">
        <f>IFERROR(__xludf.DUMMYFUNCTION("IFERROR(GOOGLEFINANCE(A64,""price""),"""")"),"")</f>
        <v/>
      </c>
      <c r="C64" s="3" t="str">
        <f t="shared" si="1"/>
        <v/>
      </c>
    </row>
    <row r="65" ht="15.75" customHeight="1">
      <c r="B65" s="3" t="str">
        <f>IFERROR(__xludf.DUMMYFUNCTION("IFERROR(GOOGLEFINANCE(A65,""price""),"""")"),"")</f>
        <v/>
      </c>
      <c r="C65" s="3" t="str">
        <f t="shared" si="1"/>
        <v/>
      </c>
    </row>
    <row r="66" ht="15.75" customHeight="1">
      <c r="B66" s="3" t="str">
        <f>IFERROR(__xludf.DUMMYFUNCTION("IFERROR(GOOGLEFINANCE(A66,""price""),"""")"),"")</f>
        <v/>
      </c>
      <c r="C66" s="3" t="str">
        <f t="shared" si="1"/>
        <v/>
      </c>
    </row>
    <row r="67" ht="15.75" customHeight="1">
      <c r="B67" s="3" t="str">
        <f>IFERROR(__xludf.DUMMYFUNCTION("IFERROR(GOOGLEFINANCE(A67,""price""),"""")"),"")</f>
        <v/>
      </c>
      <c r="C67" s="3" t="str">
        <f t="shared" si="1"/>
        <v/>
      </c>
    </row>
    <row r="68" ht="15.75" customHeight="1">
      <c r="B68" s="3" t="str">
        <f>IFERROR(__xludf.DUMMYFUNCTION("IFERROR(GOOGLEFINANCE(A68,""price""),"""")"),"")</f>
        <v/>
      </c>
      <c r="C68" s="3" t="str">
        <f t="shared" si="1"/>
        <v/>
      </c>
    </row>
    <row r="69" ht="15.75" customHeight="1">
      <c r="B69" s="3" t="str">
        <f>IFERROR(__xludf.DUMMYFUNCTION("IFERROR(GOOGLEFINANCE(A69,""price""),"""")"),"")</f>
        <v/>
      </c>
      <c r="C69" s="3" t="str">
        <f t="shared" si="1"/>
        <v/>
      </c>
    </row>
    <row r="70" ht="15.75" customHeight="1">
      <c r="B70" s="3" t="str">
        <f>IFERROR(__xludf.DUMMYFUNCTION("IFERROR(GOOGLEFINANCE(A70,""price""),"""")"),"")</f>
        <v/>
      </c>
      <c r="C70" s="3" t="str">
        <f t="shared" si="1"/>
        <v/>
      </c>
    </row>
    <row r="71" ht="15.75" customHeight="1">
      <c r="B71" s="3" t="str">
        <f>IFERROR(__xludf.DUMMYFUNCTION("IFERROR(GOOGLEFINANCE(A71,""price""),"""")"),"")</f>
        <v/>
      </c>
      <c r="C71" s="3" t="str">
        <f t="shared" si="1"/>
        <v/>
      </c>
    </row>
    <row r="72" ht="15.75" customHeight="1">
      <c r="B72" s="3" t="str">
        <f>IFERROR(__xludf.DUMMYFUNCTION("IFERROR(GOOGLEFINANCE(A72,""price""),"""")"),"")</f>
        <v/>
      </c>
      <c r="C72" s="3" t="str">
        <f t="shared" si="1"/>
        <v/>
      </c>
    </row>
    <row r="73" ht="15.75" customHeight="1">
      <c r="B73" s="3" t="str">
        <f>IFERROR(__xludf.DUMMYFUNCTION("IFERROR(GOOGLEFINANCE(A73,""price""),"""")"),"")</f>
        <v/>
      </c>
      <c r="C73" s="3" t="str">
        <f t="shared" si="1"/>
        <v/>
      </c>
    </row>
    <row r="74" ht="15.75" customHeight="1">
      <c r="B74" s="3" t="str">
        <f>IFERROR(__xludf.DUMMYFUNCTION("IFERROR(GOOGLEFINANCE(A74,""price""),"""")"),"")</f>
        <v/>
      </c>
      <c r="C74" s="3" t="str">
        <f t="shared" si="1"/>
        <v/>
      </c>
    </row>
    <row r="75" ht="15.75" customHeight="1">
      <c r="B75" s="3" t="str">
        <f>IFERROR(__xludf.DUMMYFUNCTION("IFERROR(GOOGLEFINANCE(A75,""price""),"""")"),"")</f>
        <v/>
      </c>
      <c r="C75" s="3" t="str">
        <f t="shared" si="1"/>
        <v/>
      </c>
    </row>
    <row r="76" ht="15.75" customHeight="1">
      <c r="B76" s="3" t="str">
        <f>IFERROR(__xludf.DUMMYFUNCTION("IFERROR(GOOGLEFINANCE(A76,""price""),"""")"),"")</f>
        <v/>
      </c>
      <c r="C76" s="3" t="str">
        <f t="shared" si="1"/>
        <v/>
      </c>
    </row>
    <row r="77" ht="15.75" customHeight="1">
      <c r="B77" s="3" t="str">
        <f>IFERROR(__xludf.DUMMYFUNCTION("IFERROR(GOOGLEFINANCE(A77,""price""),"""")"),"")</f>
        <v/>
      </c>
      <c r="C77" s="3" t="str">
        <f t="shared" si="1"/>
        <v/>
      </c>
    </row>
    <row r="78" ht="15.75" customHeight="1">
      <c r="B78" s="3" t="str">
        <f>IFERROR(__xludf.DUMMYFUNCTION("IFERROR(GOOGLEFINANCE(A78,""price""),"""")"),"")</f>
        <v/>
      </c>
      <c r="C78" s="3" t="str">
        <f t="shared" si="1"/>
        <v/>
      </c>
    </row>
    <row r="79" ht="15.75" customHeight="1">
      <c r="B79" s="3" t="str">
        <f>IFERROR(__xludf.DUMMYFUNCTION("IFERROR(GOOGLEFINANCE(A79,""price""),"""")"),"")</f>
        <v/>
      </c>
      <c r="C79" s="3" t="str">
        <f t="shared" si="1"/>
        <v/>
      </c>
    </row>
    <row r="80" ht="15.75" customHeight="1">
      <c r="B80" s="3" t="str">
        <f>IFERROR(__xludf.DUMMYFUNCTION("IFERROR(GOOGLEFINANCE(A80,""price""),"""")"),"")</f>
        <v/>
      </c>
      <c r="C80" s="3" t="str">
        <f t="shared" si="1"/>
        <v/>
      </c>
    </row>
    <row r="81" ht="15.75" customHeight="1">
      <c r="B81" s="3" t="str">
        <f>IFERROR(__xludf.DUMMYFUNCTION("IFERROR(GOOGLEFINANCE(A81,""price""),"""")"),"")</f>
        <v/>
      </c>
      <c r="C81" s="3" t="str">
        <f t="shared" si="1"/>
        <v/>
      </c>
    </row>
    <row r="82" ht="15.75" customHeight="1">
      <c r="B82" s="3" t="str">
        <f>IFERROR(__xludf.DUMMYFUNCTION("IFERROR(GOOGLEFINANCE(A82,""price""),"""")"),"")</f>
        <v/>
      </c>
      <c r="C82" s="3" t="str">
        <f t="shared" si="1"/>
        <v/>
      </c>
    </row>
    <row r="83" ht="15.75" customHeight="1">
      <c r="B83" s="3" t="str">
        <f>IFERROR(__xludf.DUMMYFUNCTION("IFERROR(GOOGLEFINANCE(A83,""price""),"""")"),"")</f>
        <v/>
      </c>
      <c r="C83" s="3" t="str">
        <f t="shared" si="1"/>
        <v/>
      </c>
    </row>
    <row r="84" ht="15.75" customHeight="1">
      <c r="B84" s="3" t="str">
        <f>IFERROR(__xludf.DUMMYFUNCTION("IFERROR(GOOGLEFINANCE(A84,""price""),"""")"),"")</f>
        <v/>
      </c>
      <c r="C84" s="3" t="str">
        <f t="shared" si="1"/>
        <v/>
      </c>
    </row>
    <row r="85" ht="15.75" customHeight="1">
      <c r="B85" s="3" t="str">
        <f>IFERROR(__xludf.DUMMYFUNCTION("IFERROR(GOOGLEFINANCE(A85,""price""),"""")"),"")</f>
        <v/>
      </c>
      <c r="C85" s="3" t="str">
        <f t="shared" si="1"/>
        <v/>
      </c>
    </row>
    <row r="86" ht="15.75" customHeight="1">
      <c r="B86" s="3" t="str">
        <f>IFERROR(__xludf.DUMMYFUNCTION("IFERROR(GOOGLEFINANCE(A86,""price""),"""")"),"")</f>
        <v/>
      </c>
      <c r="C86" s="3" t="str">
        <f t="shared" si="1"/>
        <v/>
      </c>
    </row>
    <row r="87" ht="15.75" customHeight="1">
      <c r="B87" s="3" t="str">
        <f>IFERROR(__xludf.DUMMYFUNCTION("IFERROR(GOOGLEFINANCE(A87,""price""),"""")"),"")</f>
        <v/>
      </c>
      <c r="C87" s="3" t="str">
        <f t="shared" si="1"/>
        <v/>
      </c>
    </row>
    <row r="88" ht="15.75" customHeight="1">
      <c r="B88" s="3" t="str">
        <f>IFERROR(__xludf.DUMMYFUNCTION("IFERROR(GOOGLEFINANCE(A88,""price""),"""")"),"")</f>
        <v/>
      </c>
      <c r="C88" s="3" t="str">
        <f t="shared" si="1"/>
        <v/>
      </c>
    </row>
    <row r="89" ht="15.75" customHeight="1">
      <c r="B89" s="3" t="str">
        <f>IFERROR(__xludf.DUMMYFUNCTION("IFERROR(GOOGLEFINANCE(A89,""price""),"""")"),"")</f>
        <v/>
      </c>
      <c r="C89" s="3" t="str">
        <f t="shared" si="1"/>
        <v/>
      </c>
    </row>
    <row r="90" ht="15.75" customHeight="1">
      <c r="B90" s="3" t="str">
        <f>IFERROR(__xludf.DUMMYFUNCTION("IFERROR(GOOGLEFINANCE(A90,""price""),"""")"),"")</f>
        <v/>
      </c>
      <c r="C90" s="3" t="str">
        <f t="shared" si="1"/>
        <v/>
      </c>
    </row>
    <row r="91" ht="15.75" customHeight="1">
      <c r="B91" s="3" t="str">
        <f>IFERROR(__xludf.DUMMYFUNCTION("IFERROR(GOOGLEFINANCE(A91,""price""),"""")"),"")</f>
        <v/>
      </c>
      <c r="C91" s="3" t="str">
        <f t="shared" si="1"/>
        <v/>
      </c>
    </row>
    <row r="92" ht="15.75" customHeight="1">
      <c r="B92" s="3" t="str">
        <f>IFERROR(__xludf.DUMMYFUNCTION("IFERROR(GOOGLEFINANCE(A92,""price""),"""")"),"")</f>
        <v/>
      </c>
      <c r="C92" s="3" t="str">
        <f t="shared" si="1"/>
        <v/>
      </c>
    </row>
    <row r="93" ht="15.75" customHeight="1">
      <c r="B93" s="3" t="str">
        <f>IFERROR(__xludf.DUMMYFUNCTION("IFERROR(GOOGLEFINANCE(A93,""price""),"""")"),"")</f>
        <v/>
      </c>
      <c r="C93" s="3" t="str">
        <f t="shared" si="1"/>
        <v/>
      </c>
    </row>
    <row r="94" ht="15.75" customHeight="1">
      <c r="B94" s="3" t="str">
        <f>IFERROR(__xludf.DUMMYFUNCTION("IFERROR(GOOGLEFINANCE(A94,""price""),"""")"),"")</f>
        <v/>
      </c>
      <c r="C94" s="3" t="str">
        <f t="shared" si="1"/>
        <v/>
      </c>
    </row>
    <row r="95" ht="15.75" customHeight="1">
      <c r="B95" s="3" t="str">
        <f>IFERROR(__xludf.DUMMYFUNCTION("IFERROR(GOOGLEFINANCE(A95,""price""),"""")"),"")</f>
        <v/>
      </c>
      <c r="C95" s="3" t="str">
        <f t="shared" si="1"/>
        <v/>
      </c>
    </row>
    <row r="96" ht="15.75" customHeight="1">
      <c r="B96" s="3" t="str">
        <f>IFERROR(__xludf.DUMMYFUNCTION("IFERROR(GOOGLEFINANCE(A96,""price""),"""")"),"")</f>
        <v/>
      </c>
      <c r="C96" s="3" t="str">
        <f t="shared" si="1"/>
        <v/>
      </c>
    </row>
    <row r="97" ht="15.75" customHeight="1">
      <c r="B97" s="3" t="str">
        <f>IFERROR(__xludf.DUMMYFUNCTION("IFERROR(GOOGLEFINANCE(A97,""price""),"""")"),"")</f>
        <v/>
      </c>
      <c r="C97" s="3" t="str">
        <f t="shared" si="1"/>
        <v/>
      </c>
    </row>
    <row r="98" ht="15.75" customHeight="1">
      <c r="B98" s="3" t="str">
        <f>IFERROR(__xludf.DUMMYFUNCTION("IFERROR(GOOGLEFINANCE(A98,""price""),"""")"),"")</f>
        <v/>
      </c>
      <c r="C98" s="3" t="str">
        <f t="shared" si="1"/>
        <v/>
      </c>
    </row>
    <row r="99" ht="15.75" customHeight="1">
      <c r="B99" s="3" t="str">
        <f>IFERROR(__xludf.DUMMYFUNCTION("IFERROR(GOOGLEFINANCE(A99,""price""),"""")"),"")</f>
        <v/>
      </c>
      <c r="C99" s="3" t="str">
        <f t="shared" si="1"/>
        <v/>
      </c>
    </row>
    <row r="100" ht="15.75" customHeight="1">
      <c r="B100" s="3" t="str">
        <f>IFERROR(__xludf.DUMMYFUNCTION("IFERROR(GOOGLEFINANCE(A100,""price""),"""")"),"")</f>
        <v/>
      </c>
      <c r="C100" s="3" t="str">
        <f t="shared" si="1"/>
        <v/>
      </c>
    </row>
    <row r="101" ht="15.75" customHeight="1">
      <c r="B101" s="3" t="str">
        <f>IFERROR(__xludf.DUMMYFUNCTION("IFERROR(GOOGLEFINANCE(A101,""price""),"""")"),"")</f>
        <v/>
      </c>
      <c r="C101" s="3" t="str">
        <f t="shared" si="1"/>
        <v/>
      </c>
    </row>
    <row r="102" ht="15.75" customHeight="1">
      <c r="B102" s="3" t="str">
        <f>IFERROR(__xludf.DUMMYFUNCTION("IFERROR(GOOGLEFINANCE(A102,""price""),"""")"),"")</f>
        <v/>
      </c>
      <c r="C102" s="3" t="str">
        <f t="shared" si="1"/>
        <v/>
      </c>
    </row>
    <row r="103" ht="15.75" customHeight="1">
      <c r="B103" s="3" t="str">
        <f>IFERROR(__xludf.DUMMYFUNCTION("IFERROR(GOOGLEFINANCE(A103,""price""),"""")"),"")</f>
        <v/>
      </c>
      <c r="C103" s="3" t="str">
        <f t="shared" si="1"/>
        <v/>
      </c>
    </row>
    <row r="104" ht="15.75" customHeight="1">
      <c r="B104" s="3" t="str">
        <f>IFERROR(__xludf.DUMMYFUNCTION("IFERROR(GOOGLEFINANCE(A104,""price""),"""")"),"")</f>
        <v/>
      </c>
      <c r="C104" s="3" t="str">
        <f t="shared" si="1"/>
        <v/>
      </c>
    </row>
    <row r="105" ht="15.75" customHeight="1">
      <c r="B105" s="3" t="str">
        <f>IFERROR(__xludf.DUMMYFUNCTION("IFERROR(GOOGLEFINANCE(A105,""price""),"""")"),"")</f>
        <v/>
      </c>
      <c r="C105" s="3" t="str">
        <f t="shared" si="1"/>
        <v/>
      </c>
    </row>
    <row r="106" ht="15.75" customHeight="1">
      <c r="B106" s="3" t="str">
        <f>IFERROR(__xludf.DUMMYFUNCTION("IFERROR(GOOGLEFINANCE(A106,""price""),"""")"),"")</f>
        <v/>
      </c>
      <c r="C106" s="3" t="str">
        <f t="shared" si="1"/>
        <v/>
      </c>
    </row>
    <row r="107" ht="15.75" customHeight="1">
      <c r="B107" s="3" t="str">
        <f>IFERROR(__xludf.DUMMYFUNCTION("IFERROR(GOOGLEFINANCE(A107,""price""),"""")"),"")</f>
        <v/>
      </c>
      <c r="C107" s="3" t="str">
        <f t="shared" si="1"/>
        <v/>
      </c>
    </row>
    <row r="108" ht="15.75" customHeight="1">
      <c r="B108" s="3" t="str">
        <f>IFERROR(__xludf.DUMMYFUNCTION("IFERROR(GOOGLEFINANCE(A108,""price""),"""")"),"")</f>
        <v/>
      </c>
      <c r="C108" s="3" t="str">
        <f t="shared" si="1"/>
        <v/>
      </c>
    </row>
    <row r="109" ht="15.75" customHeight="1">
      <c r="B109" s="3" t="str">
        <f>IFERROR(__xludf.DUMMYFUNCTION("IFERROR(GOOGLEFINANCE(A109,""price""),"""")"),"")</f>
        <v/>
      </c>
      <c r="C109" s="3" t="str">
        <f t="shared" si="1"/>
        <v/>
      </c>
    </row>
    <row r="110" ht="15.75" customHeight="1">
      <c r="B110" s="3" t="str">
        <f>IFERROR(__xludf.DUMMYFUNCTION("IFERROR(GOOGLEFINANCE(A110,""price""),"""")"),"")</f>
        <v/>
      </c>
      <c r="C110" s="3" t="str">
        <f t="shared" si="1"/>
        <v/>
      </c>
    </row>
    <row r="111" ht="15.75" customHeight="1">
      <c r="B111" s="3" t="str">
        <f>IFERROR(__xludf.DUMMYFUNCTION("IFERROR(GOOGLEFINANCE(A111,""price""),"""")"),"")</f>
        <v/>
      </c>
      <c r="C111" s="3" t="str">
        <f t="shared" si="1"/>
        <v/>
      </c>
    </row>
    <row r="112" ht="15.75" customHeight="1">
      <c r="B112" s="3" t="str">
        <f>IFERROR(__xludf.DUMMYFUNCTION("IFERROR(GOOGLEFINANCE(A112,""price""),"""")"),"")</f>
        <v/>
      </c>
      <c r="C112" s="3" t="str">
        <f t="shared" si="1"/>
        <v/>
      </c>
    </row>
    <row r="113" ht="15.75" customHeight="1">
      <c r="B113" s="3" t="str">
        <f>IFERROR(__xludf.DUMMYFUNCTION("IFERROR(GOOGLEFINANCE(A113,""price""),"""")"),"")</f>
        <v/>
      </c>
      <c r="C113" s="3" t="str">
        <f t="shared" si="1"/>
        <v/>
      </c>
    </row>
    <row r="114" ht="15.75" customHeight="1">
      <c r="B114" s="3" t="str">
        <f>IFERROR(__xludf.DUMMYFUNCTION("IFERROR(GOOGLEFINANCE(A114,""price""),"""")"),"")</f>
        <v/>
      </c>
      <c r="C114" s="3" t="str">
        <f t="shared" si="1"/>
        <v/>
      </c>
    </row>
    <row r="115" ht="15.75" customHeight="1">
      <c r="B115" s="3" t="str">
        <f>IFERROR(__xludf.DUMMYFUNCTION("IFERROR(GOOGLEFINANCE(A115,""price""),"""")"),"")</f>
        <v/>
      </c>
      <c r="C115" s="3" t="str">
        <f t="shared" si="1"/>
        <v/>
      </c>
    </row>
    <row r="116" ht="15.75" customHeight="1">
      <c r="B116" s="3" t="str">
        <f>IFERROR(__xludf.DUMMYFUNCTION("IFERROR(GOOGLEFINANCE(A116,""price""),"""")"),"")</f>
        <v/>
      </c>
      <c r="C116" s="3" t="str">
        <f t="shared" si="1"/>
        <v/>
      </c>
    </row>
    <row r="117" ht="15.75" customHeight="1">
      <c r="B117" s="3" t="str">
        <f>IFERROR(__xludf.DUMMYFUNCTION("IFERROR(GOOGLEFINANCE(A117,""price""),"""")"),"")</f>
        <v/>
      </c>
      <c r="C117" s="3" t="str">
        <f t="shared" si="1"/>
        <v/>
      </c>
    </row>
    <row r="118" ht="15.75" customHeight="1">
      <c r="B118" s="3" t="str">
        <f>IFERROR(__xludf.DUMMYFUNCTION("IFERROR(GOOGLEFINANCE(A118,""price""),"""")"),"")</f>
        <v/>
      </c>
      <c r="C118" s="3" t="str">
        <f t="shared" si="1"/>
        <v/>
      </c>
    </row>
    <row r="119" ht="15.75" customHeight="1">
      <c r="B119" s="3" t="str">
        <f>IFERROR(__xludf.DUMMYFUNCTION("IFERROR(GOOGLEFINANCE(A119,""price""),"""")"),"")</f>
        <v/>
      </c>
      <c r="C119" s="3" t="str">
        <f t="shared" si="1"/>
        <v/>
      </c>
    </row>
    <row r="120" ht="15.75" customHeight="1">
      <c r="B120" s="3" t="str">
        <f>IFERROR(__xludf.DUMMYFUNCTION("IFERROR(GOOGLEFINANCE(A120,""price""),"""")"),"")</f>
        <v/>
      </c>
      <c r="C120" s="3" t="str">
        <f t="shared" si="1"/>
        <v/>
      </c>
    </row>
    <row r="121" ht="15.75" customHeight="1">
      <c r="B121" s="3" t="str">
        <f>IFERROR(__xludf.DUMMYFUNCTION("IFERROR(GOOGLEFINANCE(A121,""price""),"""")"),"")</f>
        <v/>
      </c>
      <c r="C121" s="3" t="str">
        <f t="shared" si="1"/>
        <v/>
      </c>
    </row>
    <row r="122" ht="15.75" customHeight="1">
      <c r="B122" s="3" t="str">
        <f>IFERROR(__xludf.DUMMYFUNCTION("IFERROR(GOOGLEFINANCE(A122,""price""),"""")"),"")</f>
        <v/>
      </c>
      <c r="C122" s="3" t="str">
        <f t="shared" si="1"/>
        <v/>
      </c>
    </row>
    <row r="123" ht="15.75" customHeight="1">
      <c r="B123" s="3" t="str">
        <f>IFERROR(__xludf.DUMMYFUNCTION("IFERROR(GOOGLEFINANCE(A123,""price""),"""")"),"")</f>
        <v/>
      </c>
      <c r="C123" s="3" t="str">
        <f t="shared" si="1"/>
        <v/>
      </c>
    </row>
    <row r="124" ht="15.75" customHeight="1">
      <c r="B124" s="3" t="str">
        <f>IFERROR(__xludf.DUMMYFUNCTION("IFERROR(GOOGLEFINANCE(A124,""price""),"""")"),"")</f>
        <v/>
      </c>
      <c r="C124" s="3" t="str">
        <f t="shared" si="1"/>
        <v/>
      </c>
    </row>
    <row r="125" ht="15.75" customHeight="1">
      <c r="B125" s="3" t="str">
        <f>IFERROR(__xludf.DUMMYFUNCTION("IFERROR(GOOGLEFINANCE(A125,""price""),"""")"),"")</f>
        <v/>
      </c>
      <c r="C125" s="3" t="str">
        <f t="shared" si="1"/>
        <v/>
      </c>
    </row>
    <row r="126" ht="15.75" customHeight="1">
      <c r="B126" s="3" t="str">
        <f>IFERROR(__xludf.DUMMYFUNCTION("IFERROR(GOOGLEFINANCE(A126,""price""),"""")"),"")</f>
        <v/>
      </c>
      <c r="C126" s="3" t="str">
        <f t="shared" si="1"/>
        <v/>
      </c>
    </row>
    <row r="127" ht="15.75" customHeight="1">
      <c r="B127" s="3" t="str">
        <f>IFERROR(__xludf.DUMMYFUNCTION("IFERROR(GOOGLEFINANCE(A127,""price""),"""")"),"")</f>
        <v/>
      </c>
      <c r="C127" s="3" t="str">
        <f t="shared" si="1"/>
        <v/>
      </c>
    </row>
    <row r="128" ht="15.75" customHeight="1">
      <c r="B128" s="3" t="str">
        <f>IFERROR(__xludf.DUMMYFUNCTION("IFERROR(GOOGLEFINANCE(A128,""price""),"""")"),"")</f>
        <v/>
      </c>
      <c r="C128" s="3" t="str">
        <f t="shared" si="1"/>
        <v/>
      </c>
    </row>
    <row r="129" ht="15.75" customHeight="1">
      <c r="B129" s="3" t="str">
        <f>IFERROR(__xludf.DUMMYFUNCTION("IFERROR(GOOGLEFINANCE(A129,""price""),"""")"),"")</f>
        <v/>
      </c>
      <c r="C129" s="3" t="str">
        <f t="shared" si="1"/>
        <v/>
      </c>
    </row>
    <row r="130" ht="15.75" customHeight="1">
      <c r="B130" s="3" t="str">
        <f>IFERROR(__xludf.DUMMYFUNCTION("IFERROR(GOOGLEFINANCE(A130,""price""),"""")"),"")</f>
        <v/>
      </c>
      <c r="C130" s="3" t="str">
        <f t="shared" si="1"/>
        <v/>
      </c>
    </row>
    <row r="131" ht="15.75" customHeight="1">
      <c r="B131" s="3" t="str">
        <f>IFERROR(__xludf.DUMMYFUNCTION("IFERROR(GOOGLEFINANCE(A131,""price""),"""")"),"")</f>
        <v/>
      </c>
      <c r="C131" s="3" t="str">
        <f t="shared" si="1"/>
        <v/>
      </c>
    </row>
    <row r="132" ht="15.75" customHeight="1">
      <c r="B132" s="3" t="str">
        <f>IFERROR(__xludf.DUMMYFUNCTION("IFERROR(GOOGLEFINANCE(A132,""price""),"""")"),"")</f>
        <v/>
      </c>
      <c r="C132" s="3" t="str">
        <f t="shared" si="1"/>
        <v/>
      </c>
    </row>
    <row r="133" ht="15.75" customHeight="1">
      <c r="B133" s="3" t="str">
        <f>IFERROR(__xludf.DUMMYFUNCTION("IFERROR(GOOGLEFINANCE(A133,""price""),"""")"),"")</f>
        <v/>
      </c>
      <c r="C133" s="3" t="str">
        <f t="shared" si="1"/>
        <v/>
      </c>
    </row>
    <row r="134" ht="15.75" customHeight="1">
      <c r="B134" s="3" t="str">
        <f>IFERROR(__xludf.DUMMYFUNCTION("IFERROR(GOOGLEFINANCE(A134,""price""),"""")"),"")</f>
        <v/>
      </c>
      <c r="C134" s="3" t="str">
        <f t="shared" si="1"/>
        <v/>
      </c>
    </row>
    <row r="135" ht="15.75" customHeight="1">
      <c r="B135" s="3" t="str">
        <f>IFERROR(__xludf.DUMMYFUNCTION("IFERROR(GOOGLEFINANCE(A135,""price""),"""")"),"")</f>
        <v/>
      </c>
      <c r="C135" s="3" t="str">
        <f t="shared" si="1"/>
        <v/>
      </c>
    </row>
    <row r="136" ht="15.75" customHeight="1">
      <c r="B136" s="3" t="str">
        <f>IFERROR(__xludf.DUMMYFUNCTION("IFERROR(GOOGLEFINANCE(A136,""price""),"""")"),"")</f>
        <v/>
      </c>
      <c r="C136" s="3" t="str">
        <f t="shared" si="1"/>
        <v/>
      </c>
    </row>
    <row r="137" ht="15.75" customHeight="1">
      <c r="B137" s="3" t="str">
        <f>IFERROR(__xludf.DUMMYFUNCTION("IFERROR(GOOGLEFINANCE(A137,""price""),"""")"),"")</f>
        <v/>
      </c>
      <c r="C137" s="3" t="str">
        <f t="shared" si="1"/>
        <v/>
      </c>
    </row>
    <row r="138" ht="15.75" customHeight="1">
      <c r="B138" s="3" t="str">
        <f>IFERROR(__xludf.DUMMYFUNCTION("IFERROR(GOOGLEFINANCE(A138,""price""),"""")"),"")</f>
        <v/>
      </c>
      <c r="C138" s="3" t="str">
        <f t="shared" si="1"/>
        <v/>
      </c>
    </row>
    <row r="139" ht="15.75" customHeight="1">
      <c r="B139" s="3" t="str">
        <f>IFERROR(__xludf.DUMMYFUNCTION("IFERROR(GOOGLEFINANCE(A139,""price""),"""")"),"")</f>
        <v/>
      </c>
      <c r="C139" s="3" t="str">
        <f t="shared" si="1"/>
        <v/>
      </c>
    </row>
    <row r="140" ht="15.75" customHeight="1">
      <c r="B140" s="3" t="str">
        <f>IFERROR(__xludf.DUMMYFUNCTION("IFERROR(GOOGLEFINANCE(A140,""price""),"""")"),"")</f>
        <v/>
      </c>
      <c r="C140" s="3" t="str">
        <f t="shared" si="1"/>
        <v/>
      </c>
    </row>
    <row r="141" ht="15.75" customHeight="1">
      <c r="B141" s="3" t="str">
        <f>IFERROR(__xludf.DUMMYFUNCTION("IFERROR(GOOGLEFINANCE(A141,""price""),"""")"),"")</f>
        <v/>
      </c>
      <c r="C141" s="3" t="str">
        <f t="shared" si="1"/>
        <v/>
      </c>
    </row>
    <row r="142" ht="15.75" customHeight="1">
      <c r="B142" s="3" t="str">
        <f>IFERROR(__xludf.DUMMYFUNCTION("IFERROR(GOOGLEFINANCE(A142,""price""),"""")"),"")</f>
        <v/>
      </c>
      <c r="C142" s="3" t="str">
        <f t="shared" si="1"/>
        <v/>
      </c>
    </row>
    <row r="143" ht="15.75" customHeight="1">
      <c r="B143" s="3" t="str">
        <f>IFERROR(__xludf.DUMMYFUNCTION("IFERROR(GOOGLEFINANCE(A143,""price""),"""")"),"")</f>
        <v/>
      </c>
      <c r="C143" s="3" t="str">
        <f t="shared" si="1"/>
        <v/>
      </c>
    </row>
    <row r="144" ht="15.75" customHeight="1">
      <c r="B144" s="3" t="str">
        <f>IFERROR(__xludf.DUMMYFUNCTION("IFERROR(GOOGLEFINANCE(A144,""price""),"""")"),"")</f>
        <v/>
      </c>
      <c r="C144" s="3" t="str">
        <f t="shared" si="1"/>
        <v/>
      </c>
    </row>
    <row r="145" ht="15.75" customHeight="1">
      <c r="B145" s="3" t="str">
        <f>IFERROR(__xludf.DUMMYFUNCTION("IFERROR(GOOGLEFINANCE(A145,""price""),"""")"),"")</f>
        <v/>
      </c>
      <c r="C145" s="3" t="str">
        <f t="shared" si="1"/>
        <v/>
      </c>
    </row>
    <row r="146" ht="15.75" customHeight="1">
      <c r="B146" s="3" t="str">
        <f>IFERROR(__xludf.DUMMYFUNCTION("IFERROR(GOOGLEFINANCE(A146,""price""),"""")"),"")</f>
        <v/>
      </c>
      <c r="C146" s="3" t="str">
        <f t="shared" si="1"/>
        <v/>
      </c>
    </row>
    <row r="147" ht="15.75" customHeight="1">
      <c r="B147" s="3" t="str">
        <f>IFERROR(__xludf.DUMMYFUNCTION("IFERROR(GOOGLEFINANCE(A147,""price""),"""")"),"")</f>
        <v/>
      </c>
      <c r="C147" s="3" t="str">
        <f t="shared" si="1"/>
        <v/>
      </c>
    </row>
    <row r="148" ht="15.75" customHeight="1">
      <c r="B148" s="3" t="str">
        <f>IFERROR(__xludf.DUMMYFUNCTION("IFERROR(GOOGLEFINANCE(A148,""price""),"""")"),"")</f>
        <v/>
      </c>
      <c r="C148" s="3" t="str">
        <f t="shared" si="1"/>
        <v/>
      </c>
    </row>
    <row r="149" ht="15.75" customHeight="1">
      <c r="B149" s="3" t="str">
        <f>IFERROR(__xludf.DUMMYFUNCTION("IFERROR(GOOGLEFINANCE(A149,""price""),"""")"),"")</f>
        <v/>
      </c>
      <c r="C149" s="3" t="str">
        <f t="shared" si="1"/>
        <v/>
      </c>
    </row>
    <row r="150" ht="15.75" customHeight="1">
      <c r="B150" s="3" t="str">
        <f>IFERROR(__xludf.DUMMYFUNCTION("IFERROR(GOOGLEFINANCE(A150,""price""),"""")"),"")</f>
        <v/>
      </c>
      <c r="C150" s="3" t="str">
        <f t="shared" si="1"/>
        <v/>
      </c>
    </row>
    <row r="151" ht="15.75" customHeight="1">
      <c r="B151" s="3" t="str">
        <f>IFERROR(__xludf.DUMMYFUNCTION("IFERROR(GOOGLEFINANCE(A151,""price""),"""")"),"")</f>
        <v/>
      </c>
      <c r="C151" s="3" t="str">
        <f t="shared" si="1"/>
        <v/>
      </c>
    </row>
    <row r="152" ht="15.75" customHeight="1">
      <c r="B152" s="3" t="str">
        <f>IFERROR(__xludf.DUMMYFUNCTION("IFERROR(GOOGLEFINANCE(A152,""price""),"""")"),"")</f>
        <v/>
      </c>
      <c r="C152" s="3" t="str">
        <f t="shared" si="1"/>
        <v/>
      </c>
    </row>
    <row r="153" ht="15.75" customHeight="1">
      <c r="B153" s="3" t="str">
        <f>IFERROR(__xludf.DUMMYFUNCTION("IFERROR(GOOGLEFINANCE(A153,""price""),"""")"),"")</f>
        <v/>
      </c>
      <c r="C153" s="3" t="str">
        <f t="shared" si="1"/>
        <v/>
      </c>
    </row>
    <row r="154" ht="15.75" customHeight="1">
      <c r="B154" s="3" t="str">
        <f>IFERROR(__xludf.DUMMYFUNCTION("IFERROR(GOOGLEFINANCE(A154,""price""),"""")"),"")</f>
        <v/>
      </c>
      <c r="C154" s="3" t="str">
        <f t="shared" si="1"/>
        <v/>
      </c>
    </row>
    <row r="155" ht="15.75" customHeight="1">
      <c r="B155" s="3" t="str">
        <f>IFERROR(__xludf.DUMMYFUNCTION("IFERROR(GOOGLEFINANCE(A155,""price""),"""")"),"")</f>
        <v/>
      </c>
      <c r="C155" s="3" t="str">
        <f t="shared" si="1"/>
        <v/>
      </c>
    </row>
    <row r="156" ht="15.75" customHeight="1">
      <c r="B156" s="3" t="str">
        <f>IFERROR(__xludf.DUMMYFUNCTION("IFERROR(GOOGLEFINANCE(A156,""price""),"""")"),"")</f>
        <v/>
      </c>
      <c r="C156" s="3" t="str">
        <f t="shared" si="1"/>
        <v/>
      </c>
    </row>
    <row r="157" ht="15.75" customHeight="1">
      <c r="B157" s="3" t="str">
        <f>IFERROR(__xludf.DUMMYFUNCTION("IFERROR(GOOGLEFINANCE(A157,""price""),"""")"),"")</f>
        <v/>
      </c>
      <c r="C157" s="3" t="str">
        <f t="shared" si="1"/>
        <v/>
      </c>
    </row>
    <row r="158" ht="15.75" customHeight="1">
      <c r="B158" s="3" t="str">
        <f>IFERROR(__xludf.DUMMYFUNCTION("IFERROR(GOOGLEFINANCE(A158,""price""),"""")"),"")</f>
        <v/>
      </c>
      <c r="C158" s="3" t="str">
        <f t="shared" si="1"/>
        <v/>
      </c>
    </row>
    <row r="159" ht="15.75" customHeight="1">
      <c r="B159" s="3" t="str">
        <f>IFERROR(__xludf.DUMMYFUNCTION("IFERROR(GOOGLEFINANCE(A159,""price""),"""")"),"")</f>
        <v/>
      </c>
      <c r="C159" s="3" t="str">
        <f t="shared" si="1"/>
        <v/>
      </c>
    </row>
    <row r="160" ht="15.75" customHeight="1">
      <c r="B160" s="3" t="str">
        <f>IFERROR(__xludf.DUMMYFUNCTION("IFERROR(GOOGLEFINANCE(A160,""price""),"""")"),"")</f>
        <v/>
      </c>
      <c r="C160" s="3" t="str">
        <f t="shared" si="1"/>
        <v/>
      </c>
    </row>
    <row r="161" ht="15.75" customHeight="1">
      <c r="B161" s="3" t="str">
        <f>IFERROR(__xludf.DUMMYFUNCTION("IFERROR(GOOGLEFINANCE(A161,""price""),"""")"),"")</f>
        <v/>
      </c>
      <c r="C161" s="3" t="str">
        <f t="shared" si="1"/>
        <v/>
      </c>
    </row>
    <row r="162" ht="15.75" customHeight="1">
      <c r="B162" s="3" t="str">
        <f>IFERROR(__xludf.DUMMYFUNCTION("IFERROR(GOOGLEFINANCE(A162,""price""),"""")"),"")</f>
        <v/>
      </c>
      <c r="C162" s="3" t="str">
        <f t="shared" si="1"/>
        <v/>
      </c>
    </row>
    <row r="163" ht="15.75" customHeight="1">
      <c r="B163" s="3" t="str">
        <f>IFERROR(__xludf.DUMMYFUNCTION("IFERROR(GOOGLEFINANCE(A163,""price""),"""")"),"")</f>
        <v/>
      </c>
      <c r="C163" s="3" t="str">
        <f t="shared" si="1"/>
        <v/>
      </c>
    </row>
    <row r="164" ht="15.75" customHeight="1">
      <c r="B164" s="3" t="str">
        <f>IFERROR(__xludf.DUMMYFUNCTION("IFERROR(GOOGLEFINANCE(A164,""price""),"""")"),"")</f>
        <v/>
      </c>
      <c r="C164" s="3" t="str">
        <f t="shared" si="1"/>
        <v/>
      </c>
    </row>
    <row r="165" ht="15.75" customHeight="1">
      <c r="B165" s="3" t="str">
        <f>IFERROR(__xludf.DUMMYFUNCTION("IFERROR(GOOGLEFINANCE(A165,""price""),"""")"),"")</f>
        <v/>
      </c>
      <c r="C165" s="3" t="str">
        <f t="shared" si="1"/>
        <v/>
      </c>
    </row>
    <row r="166" ht="15.75" customHeight="1">
      <c r="B166" s="3" t="str">
        <f>IFERROR(__xludf.DUMMYFUNCTION("IFERROR(GOOGLEFINANCE(A166,""price""),"""")"),"")</f>
        <v/>
      </c>
      <c r="C166" s="3" t="str">
        <f t="shared" si="1"/>
        <v/>
      </c>
    </row>
    <row r="167" ht="15.75" customHeight="1">
      <c r="B167" s="3" t="str">
        <f>IFERROR(__xludf.DUMMYFUNCTION("IFERROR(GOOGLEFINANCE(A167,""price""),"""")"),"")</f>
        <v/>
      </c>
      <c r="C167" s="3" t="str">
        <f t="shared" si="1"/>
        <v/>
      </c>
    </row>
    <row r="168" ht="15.75" customHeight="1">
      <c r="B168" s="3" t="str">
        <f>IFERROR(__xludf.DUMMYFUNCTION("IFERROR(GOOGLEFINANCE(A168,""price""),"""")"),"")</f>
        <v/>
      </c>
      <c r="C168" s="3" t="str">
        <f t="shared" si="1"/>
        <v/>
      </c>
    </row>
    <row r="169" ht="15.75" customHeight="1">
      <c r="B169" s="3" t="str">
        <f>IFERROR(__xludf.DUMMYFUNCTION("IFERROR(GOOGLEFINANCE(A169,""price""),"""")"),"")</f>
        <v/>
      </c>
      <c r="C169" s="3" t="str">
        <f t="shared" si="1"/>
        <v/>
      </c>
    </row>
    <row r="170" ht="15.75" customHeight="1">
      <c r="B170" s="3" t="str">
        <f>IFERROR(__xludf.DUMMYFUNCTION("IFERROR(GOOGLEFINANCE(A170,""price""),"""")"),"")</f>
        <v/>
      </c>
      <c r="C170" s="3" t="str">
        <f t="shared" si="1"/>
        <v/>
      </c>
    </row>
    <row r="171" ht="15.75" customHeight="1">
      <c r="B171" s="3" t="str">
        <f>IFERROR(__xludf.DUMMYFUNCTION("IFERROR(GOOGLEFINANCE(A171,""price""),"""")"),"")</f>
        <v/>
      </c>
      <c r="C171" s="3" t="str">
        <f t="shared" si="1"/>
        <v/>
      </c>
    </row>
    <row r="172" ht="15.75" customHeight="1">
      <c r="B172" s="3" t="str">
        <f>IFERROR(__xludf.DUMMYFUNCTION("IFERROR(GOOGLEFINANCE(A172,""price""),"""")"),"")</f>
        <v/>
      </c>
      <c r="C172" s="3" t="str">
        <f t="shared" si="1"/>
        <v/>
      </c>
    </row>
    <row r="173" ht="15.75" customHeight="1">
      <c r="B173" s="3" t="str">
        <f>IFERROR(__xludf.DUMMYFUNCTION("IFERROR(GOOGLEFINANCE(A173,""price""),"""")"),"")</f>
        <v/>
      </c>
      <c r="C173" s="3" t="str">
        <f t="shared" si="1"/>
        <v/>
      </c>
    </row>
    <row r="174" ht="15.75" customHeight="1">
      <c r="B174" s="3" t="str">
        <f>IFERROR(__xludf.DUMMYFUNCTION("IFERROR(GOOGLEFINANCE(A174,""price""),"""")"),"")</f>
        <v/>
      </c>
      <c r="C174" s="3" t="str">
        <f t="shared" si="1"/>
        <v/>
      </c>
    </row>
    <row r="175" ht="15.75" customHeight="1">
      <c r="B175" s="3" t="str">
        <f>IFERROR(__xludf.DUMMYFUNCTION("IFERROR(GOOGLEFINANCE(A175,""price""),"""")"),"")</f>
        <v/>
      </c>
      <c r="C175" s="3" t="str">
        <f t="shared" si="1"/>
        <v/>
      </c>
    </row>
    <row r="176" ht="15.75" customHeight="1">
      <c r="B176" s="3" t="str">
        <f>IFERROR(__xludf.DUMMYFUNCTION("IFERROR(GOOGLEFINANCE(A176,""price""),"""")"),"")</f>
        <v/>
      </c>
      <c r="C176" s="3" t="str">
        <f t="shared" si="1"/>
        <v/>
      </c>
    </row>
    <row r="177" ht="15.75" customHeight="1">
      <c r="B177" s="3" t="str">
        <f>IFERROR(__xludf.DUMMYFUNCTION("IFERROR(GOOGLEFINANCE(A177,""price""),"""")"),"")</f>
        <v/>
      </c>
      <c r="C177" s="3" t="str">
        <f t="shared" si="1"/>
        <v/>
      </c>
    </row>
    <row r="178" ht="15.75" customHeight="1">
      <c r="B178" s="3" t="str">
        <f>IFERROR(__xludf.DUMMYFUNCTION("IFERROR(GOOGLEFINANCE(A178,""price""),"""")"),"")</f>
        <v/>
      </c>
      <c r="C178" s="3" t="str">
        <f t="shared" si="1"/>
        <v/>
      </c>
    </row>
    <row r="179" ht="15.75" customHeight="1">
      <c r="B179" s="3" t="str">
        <f>IFERROR(__xludf.DUMMYFUNCTION("IFERROR(GOOGLEFINANCE(A179,""price""),"""")"),"")</f>
        <v/>
      </c>
      <c r="C179" s="3" t="str">
        <f t="shared" si="1"/>
        <v/>
      </c>
    </row>
    <row r="180" ht="15.75" customHeight="1">
      <c r="B180" s="3" t="str">
        <f>IFERROR(__xludf.DUMMYFUNCTION("IFERROR(GOOGLEFINANCE(A180,""price""),"""")"),"")</f>
        <v/>
      </c>
      <c r="C180" s="3" t="str">
        <f t="shared" si="1"/>
        <v/>
      </c>
    </row>
    <row r="181" ht="15.75" customHeight="1">
      <c r="B181" s="3" t="str">
        <f>IFERROR(__xludf.DUMMYFUNCTION("IFERROR(GOOGLEFINANCE(A181,""price""),"""")"),"")</f>
        <v/>
      </c>
      <c r="C181" s="3" t="str">
        <f t="shared" si="1"/>
        <v/>
      </c>
    </row>
    <row r="182" ht="15.75" customHeight="1">
      <c r="B182" s="3" t="str">
        <f>IFERROR(__xludf.DUMMYFUNCTION("IFERROR(GOOGLEFINANCE(A182,""price""),"""")"),"")</f>
        <v/>
      </c>
      <c r="C182" s="3" t="str">
        <f t="shared" si="1"/>
        <v/>
      </c>
    </row>
    <row r="183" ht="15.75" customHeight="1">
      <c r="B183" s="3" t="str">
        <f>IFERROR(__xludf.DUMMYFUNCTION("IFERROR(GOOGLEFINANCE(A183,""price""),"""")"),"")</f>
        <v/>
      </c>
      <c r="C183" s="3" t="str">
        <f t="shared" si="1"/>
        <v/>
      </c>
    </row>
    <row r="184" ht="15.75" customHeight="1">
      <c r="B184" s="3" t="str">
        <f>IFERROR(__xludf.DUMMYFUNCTION("IFERROR(GOOGLEFINANCE(A184,""price""),"""")"),"")</f>
        <v/>
      </c>
      <c r="C184" s="3" t="str">
        <f t="shared" si="1"/>
        <v/>
      </c>
    </row>
    <row r="185" ht="15.75" customHeight="1">
      <c r="B185" s="3" t="str">
        <f>IFERROR(__xludf.DUMMYFUNCTION("IFERROR(GOOGLEFINANCE(A185,""price""),"""")"),"")</f>
        <v/>
      </c>
      <c r="C185" s="3" t="str">
        <f t="shared" si="1"/>
        <v/>
      </c>
    </row>
    <row r="186" ht="15.75" customHeight="1">
      <c r="B186" s="3" t="str">
        <f>IFERROR(__xludf.DUMMYFUNCTION("IFERROR(GOOGLEFINANCE(A186,""price""),"""")"),"")</f>
        <v/>
      </c>
      <c r="C186" s="3" t="str">
        <f t="shared" si="1"/>
        <v/>
      </c>
    </row>
    <row r="187" ht="15.75" customHeight="1">
      <c r="B187" s="3" t="str">
        <f>IFERROR(__xludf.DUMMYFUNCTION("IFERROR(GOOGLEFINANCE(A187,""price""),"""")"),"")</f>
        <v/>
      </c>
      <c r="C187" s="3" t="str">
        <f t="shared" si="1"/>
        <v/>
      </c>
    </row>
    <row r="188" ht="15.75" customHeight="1">
      <c r="B188" s="3" t="str">
        <f>IFERROR(__xludf.DUMMYFUNCTION("IFERROR(GOOGLEFINANCE(A188,""price""),"""")"),"")</f>
        <v/>
      </c>
      <c r="C188" s="3" t="str">
        <f t="shared" si="1"/>
        <v/>
      </c>
    </row>
    <row r="189" ht="15.75" customHeight="1">
      <c r="B189" s="3" t="str">
        <f>IFERROR(__xludf.DUMMYFUNCTION("IFERROR(GOOGLEFINANCE(A189,""price""),"""")"),"")</f>
        <v/>
      </c>
      <c r="C189" s="3" t="str">
        <f t="shared" si="1"/>
        <v/>
      </c>
    </row>
    <row r="190" ht="15.75" customHeight="1">
      <c r="B190" s="3" t="str">
        <f>IFERROR(__xludf.DUMMYFUNCTION("IFERROR(GOOGLEFINANCE(A190,""price""),"""")"),"")</f>
        <v/>
      </c>
      <c r="C190" s="3" t="str">
        <f t="shared" si="1"/>
        <v/>
      </c>
    </row>
    <row r="191" ht="15.75" customHeight="1">
      <c r="B191" s="3" t="str">
        <f>IFERROR(__xludf.DUMMYFUNCTION("IFERROR(GOOGLEFINANCE(A191,""price""),"""")"),"")</f>
        <v/>
      </c>
      <c r="C191" s="3" t="str">
        <f t="shared" si="1"/>
        <v/>
      </c>
    </row>
    <row r="192" ht="15.75" customHeight="1">
      <c r="B192" s="3" t="str">
        <f>IFERROR(__xludf.DUMMYFUNCTION("IFERROR(GOOGLEFINANCE(A192,""price""),"""")"),"")</f>
        <v/>
      </c>
      <c r="C192" s="3" t="str">
        <f t="shared" si="1"/>
        <v/>
      </c>
    </row>
    <row r="193" ht="15.75" customHeight="1">
      <c r="B193" s="3" t="str">
        <f>IFERROR(__xludf.DUMMYFUNCTION("IFERROR(GOOGLEFINANCE(A193,""price""),"""")"),"")</f>
        <v/>
      </c>
      <c r="C193" s="3" t="str">
        <f t="shared" si="1"/>
        <v/>
      </c>
    </row>
    <row r="194" ht="15.75" customHeight="1">
      <c r="B194" s="3" t="str">
        <f>IFERROR(__xludf.DUMMYFUNCTION("IFERROR(GOOGLEFINANCE(A194,""price""),"""")"),"")</f>
        <v/>
      </c>
      <c r="C194" s="3" t="str">
        <f t="shared" si="1"/>
        <v/>
      </c>
    </row>
    <row r="195" ht="15.75" customHeight="1">
      <c r="B195" s="3" t="str">
        <f>IFERROR(__xludf.DUMMYFUNCTION("IFERROR(GOOGLEFINANCE(A195,""price""),"""")"),"")</f>
        <v/>
      </c>
      <c r="C195" s="3" t="str">
        <f t="shared" si="1"/>
        <v/>
      </c>
    </row>
    <row r="196" ht="15.75" customHeight="1">
      <c r="B196" s="3" t="str">
        <f>IFERROR(__xludf.DUMMYFUNCTION("IFERROR(GOOGLEFINANCE(A196,""price""),"""")"),"")</f>
        <v/>
      </c>
      <c r="C196" s="3" t="str">
        <f t="shared" si="1"/>
        <v/>
      </c>
    </row>
    <row r="197" ht="15.75" customHeight="1">
      <c r="B197" s="3" t="str">
        <f>IFERROR(__xludf.DUMMYFUNCTION("IFERROR(GOOGLEFINANCE(A197,""price""),"""")"),"")</f>
        <v/>
      </c>
      <c r="C197" s="3" t="str">
        <f t="shared" si="1"/>
        <v/>
      </c>
    </row>
    <row r="198" ht="15.75" customHeight="1">
      <c r="B198" s="3" t="str">
        <f>IFERROR(__xludf.DUMMYFUNCTION("IFERROR(GOOGLEFINANCE(A198,""price""),"""")"),"")</f>
        <v/>
      </c>
      <c r="C198" s="3" t="str">
        <f t="shared" si="1"/>
        <v/>
      </c>
    </row>
    <row r="199" ht="15.75" customHeight="1">
      <c r="B199" s="3" t="str">
        <f>IFERROR(__xludf.DUMMYFUNCTION("IFERROR(GOOGLEFINANCE(A199,""price""),"""")"),"")</f>
        <v/>
      </c>
      <c r="C199" s="3" t="str">
        <f t="shared" si="1"/>
        <v/>
      </c>
    </row>
    <row r="200" ht="15.75" customHeight="1">
      <c r="B200" s="3" t="str">
        <f>IFERROR(__xludf.DUMMYFUNCTION("IFERROR(GOOGLEFINANCE(A200,""price""),"""")"),"")</f>
        <v/>
      </c>
      <c r="C200" s="3" t="str">
        <f t="shared" si="1"/>
        <v/>
      </c>
    </row>
    <row r="201" ht="15.75" customHeight="1">
      <c r="B201" s="3" t="str">
        <f>IFERROR(__xludf.DUMMYFUNCTION("IFERROR(GOOGLEFINANCE(A201,""price""),"""")"),"")</f>
        <v/>
      </c>
      <c r="C201" s="3" t="str">
        <f t="shared" si="1"/>
        <v/>
      </c>
    </row>
    <row r="202" ht="15.75" customHeight="1">
      <c r="B202" s="3" t="str">
        <f>IFERROR(__xludf.DUMMYFUNCTION("IFERROR(GOOGLEFINANCE(A202,""price""),"""")"),"")</f>
        <v/>
      </c>
      <c r="C202" s="3" t="str">
        <f t="shared" si="1"/>
        <v/>
      </c>
    </row>
    <row r="203" ht="15.75" customHeight="1">
      <c r="B203" s="3" t="str">
        <f>IFERROR(__xludf.DUMMYFUNCTION("IFERROR(GOOGLEFINANCE(A203,""price""),"""")"),"")</f>
        <v/>
      </c>
      <c r="C203" s="3" t="str">
        <f t="shared" si="1"/>
        <v/>
      </c>
    </row>
    <row r="204" ht="15.75" customHeight="1">
      <c r="B204" s="3" t="str">
        <f>IFERROR(__xludf.DUMMYFUNCTION("IFERROR(GOOGLEFINANCE(A204,""price""),"""")"),"")</f>
        <v/>
      </c>
      <c r="C204" s="3" t="str">
        <f t="shared" si="1"/>
        <v/>
      </c>
    </row>
    <row r="205" ht="15.75" customHeight="1">
      <c r="B205" s="3" t="str">
        <f>IFERROR(__xludf.DUMMYFUNCTION("IFERROR(GOOGLEFINANCE(A205,""price""),"""")"),"")</f>
        <v/>
      </c>
      <c r="C205" s="3" t="str">
        <f t="shared" si="1"/>
        <v/>
      </c>
    </row>
    <row r="206" ht="15.75" customHeight="1">
      <c r="B206" s="3" t="str">
        <f>IFERROR(__xludf.DUMMYFUNCTION("IFERROR(GOOGLEFINANCE(A206,""price""),"""")"),"")</f>
        <v/>
      </c>
      <c r="C206" s="3" t="str">
        <f t="shared" si="1"/>
        <v/>
      </c>
    </row>
    <row r="207" ht="15.75" customHeight="1">
      <c r="B207" s="3" t="str">
        <f>IFERROR(__xludf.DUMMYFUNCTION("IFERROR(GOOGLEFINANCE(A207,""price""),"""")"),"")</f>
        <v/>
      </c>
      <c r="C207" s="3" t="str">
        <f t="shared" si="1"/>
        <v/>
      </c>
    </row>
    <row r="208" ht="15.75" customHeight="1">
      <c r="B208" s="3" t="str">
        <f>IFERROR(__xludf.DUMMYFUNCTION("IFERROR(GOOGLEFINANCE(A208,""price""),"""")"),"")</f>
        <v/>
      </c>
      <c r="C208" s="3" t="str">
        <f t="shared" si="1"/>
        <v/>
      </c>
    </row>
    <row r="209" ht="15.75" customHeight="1">
      <c r="B209" s="3" t="str">
        <f>IFERROR(__xludf.DUMMYFUNCTION("IFERROR(GOOGLEFINANCE(A209,""price""),"""")"),"")</f>
        <v/>
      </c>
      <c r="C209" s="3" t="str">
        <f t="shared" si="1"/>
        <v/>
      </c>
    </row>
    <row r="210" ht="15.75" customHeight="1">
      <c r="B210" s="3" t="str">
        <f>IFERROR(__xludf.DUMMYFUNCTION("IFERROR(GOOGLEFINANCE(A210,""price""),"""")"),"")</f>
        <v/>
      </c>
      <c r="C210" s="3" t="str">
        <f t="shared" si="1"/>
        <v/>
      </c>
    </row>
    <row r="211" ht="15.75" customHeight="1">
      <c r="B211" s="3" t="str">
        <f>IFERROR(__xludf.DUMMYFUNCTION("IFERROR(GOOGLEFINANCE(A211,""price""),"""")"),"")</f>
        <v/>
      </c>
      <c r="C211" s="3" t="str">
        <f t="shared" si="1"/>
        <v/>
      </c>
    </row>
    <row r="212" ht="15.75" customHeight="1">
      <c r="B212" s="3" t="str">
        <f>IFERROR(__xludf.DUMMYFUNCTION("IFERROR(GOOGLEFINANCE(A212,""price""),"""")"),"")</f>
        <v/>
      </c>
      <c r="C212" s="3" t="str">
        <f t="shared" si="1"/>
        <v/>
      </c>
    </row>
    <row r="213" ht="15.75" customHeight="1">
      <c r="B213" s="3" t="str">
        <f>IFERROR(__xludf.DUMMYFUNCTION("IFERROR(GOOGLEFINANCE(A213,""price""),"""")"),"")</f>
        <v/>
      </c>
      <c r="C213" s="3" t="str">
        <f t="shared" si="1"/>
        <v/>
      </c>
    </row>
    <row r="214" ht="15.75" customHeight="1">
      <c r="B214" s="3" t="str">
        <f>IFERROR(__xludf.DUMMYFUNCTION("IFERROR(GOOGLEFINANCE(A214,""price""),"""")"),"")</f>
        <v/>
      </c>
      <c r="C214" s="3" t="str">
        <f t="shared" si="1"/>
        <v/>
      </c>
    </row>
    <row r="215" ht="15.75" customHeight="1">
      <c r="B215" s="3" t="str">
        <f>IFERROR(__xludf.DUMMYFUNCTION("IFERROR(GOOGLEFINANCE(A215,""price""),"""")"),"")</f>
        <v/>
      </c>
      <c r="C215" s="3" t="str">
        <f t="shared" si="1"/>
        <v/>
      </c>
    </row>
    <row r="216" ht="15.75" customHeight="1">
      <c r="B216" s="3" t="str">
        <f>IFERROR(__xludf.DUMMYFUNCTION("IFERROR(GOOGLEFINANCE(A216,""price""),"""")"),"")</f>
        <v/>
      </c>
      <c r="C216" s="3" t="str">
        <f t="shared" si="1"/>
        <v/>
      </c>
    </row>
    <row r="217" ht="15.75" customHeight="1">
      <c r="B217" s="3" t="str">
        <f>IFERROR(__xludf.DUMMYFUNCTION("IFERROR(GOOGLEFINANCE(A217,""price""),"""")"),"")</f>
        <v/>
      </c>
      <c r="C217" s="3" t="str">
        <f t="shared" si="1"/>
        <v/>
      </c>
    </row>
    <row r="218" ht="15.75" customHeight="1">
      <c r="B218" s="3" t="str">
        <f>IFERROR(__xludf.DUMMYFUNCTION("IFERROR(GOOGLEFINANCE(A218,""price""),"""")"),"")</f>
        <v/>
      </c>
      <c r="C218" s="3" t="str">
        <f t="shared" si="1"/>
        <v/>
      </c>
    </row>
    <row r="219" ht="15.75" customHeight="1">
      <c r="B219" s="3" t="str">
        <f>IFERROR(__xludf.DUMMYFUNCTION("IFERROR(GOOGLEFINANCE(A219,""price""),"""")"),"")</f>
        <v/>
      </c>
      <c r="C219" s="3" t="str">
        <f t="shared" si="1"/>
        <v/>
      </c>
    </row>
    <row r="220" ht="15.75" customHeight="1">
      <c r="B220" s="3" t="str">
        <f>IFERROR(__xludf.DUMMYFUNCTION("IFERROR(GOOGLEFINANCE(A220,""price""),"""")"),"")</f>
        <v/>
      </c>
      <c r="C220" s="3" t="str">
        <f t="shared" si="1"/>
        <v/>
      </c>
    </row>
    <row r="221" ht="15.75" customHeight="1">
      <c r="B221" s="3" t="str">
        <f>IFERROR(__xludf.DUMMYFUNCTION("IFERROR(GOOGLEFINANCE(A221,""price""),"""")"),"")</f>
        <v/>
      </c>
      <c r="C221" s="3" t="str">
        <f t="shared" si="1"/>
        <v/>
      </c>
    </row>
    <row r="222" ht="15.75" customHeight="1">
      <c r="B222" s="3" t="str">
        <f>IFERROR(__xludf.DUMMYFUNCTION("IFERROR(GOOGLEFINANCE(A222,""price""),"""")"),"")</f>
        <v/>
      </c>
      <c r="C222" s="3" t="str">
        <f t="shared" si="1"/>
        <v/>
      </c>
    </row>
    <row r="223" ht="15.75" customHeight="1">
      <c r="B223" s="3" t="str">
        <f>IFERROR(__xludf.DUMMYFUNCTION("IFERROR(GOOGLEFINANCE(A223,""price""),"""")"),"")</f>
        <v/>
      </c>
      <c r="C223" s="3" t="str">
        <f t="shared" si="1"/>
        <v/>
      </c>
    </row>
    <row r="224" ht="15.75" customHeight="1">
      <c r="B224" s="3" t="str">
        <f>IFERROR(__xludf.DUMMYFUNCTION("IFERROR(GOOGLEFINANCE(A224,""price""),"""")"),"")</f>
        <v/>
      </c>
      <c r="C224" s="3" t="str">
        <f t="shared" si="1"/>
        <v/>
      </c>
    </row>
    <row r="225" ht="15.75" customHeight="1">
      <c r="B225" s="3" t="str">
        <f>IFERROR(__xludf.DUMMYFUNCTION("IFERROR(GOOGLEFINANCE(A225,""price""),"""")"),"")</f>
        <v/>
      </c>
      <c r="C225" s="3" t="str">
        <f t="shared" si="1"/>
        <v/>
      </c>
    </row>
    <row r="226" ht="15.75" customHeight="1">
      <c r="B226" s="3" t="str">
        <f>IFERROR(__xludf.DUMMYFUNCTION("IFERROR(GOOGLEFINANCE(A226,""price""),"""")"),"")</f>
        <v/>
      </c>
      <c r="C226" s="3" t="str">
        <f t="shared" si="1"/>
        <v/>
      </c>
    </row>
    <row r="227" ht="15.75" customHeight="1">
      <c r="B227" s="3" t="str">
        <f>IFERROR(__xludf.DUMMYFUNCTION("IFERROR(GOOGLEFINANCE(A227,""price""),"""")"),"")</f>
        <v/>
      </c>
      <c r="C227" s="3" t="str">
        <f t="shared" si="1"/>
        <v/>
      </c>
    </row>
    <row r="228" ht="15.75" customHeight="1">
      <c r="B228" s="3" t="str">
        <f>IFERROR(__xludf.DUMMYFUNCTION("IFERROR(GOOGLEFINANCE(A228,""price""),"""")"),"")</f>
        <v/>
      </c>
      <c r="C228" s="3" t="str">
        <f t="shared" si="1"/>
        <v/>
      </c>
    </row>
    <row r="229" ht="15.75" customHeight="1">
      <c r="B229" s="3" t="str">
        <f>IFERROR(__xludf.DUMMYFUNCTION("IFERROR(GOOGLEFINANCE(A229,""price""),"""")"),"")</f>
        <v/>
      </c>
      <c r="C229" s="3" t="str">
        <f t="shared" si="1"/>
        <v/>
      </c>
    </row>
    <row r="230" ht="15.75" customHeight="1">
      <c r="B230" s="3" t="str">
        <f>IFERROR(__xludf.DUMMYFUNCTION("IFERROR(GOOGLEFINANCE(A230,""price""),"""")"),"")</f>
        <v/>
      </c>
      <c r="C230" s="3" t="str">
        <f t="shared" si="1"/>
        <v/>
      </c>
    </row>
    <row r="231" ht="15.75" customHeight="1">
      <c r="B231" s="3" t="str">
        <f>IFERROR(__xludf.DUMMYFUNCTION("IFERROR(GOOGLEFINANCE(A231,""price""),"""")"),"")</f>
        <v/>
      </c>
      <c r="C231" s="3" t="str">
        <f t="shared" si="1"/>
        <v/>
      </c>
    </row>
    <row r="232" ht="15.75" customHeight="1">
      <c r="B232" s="3" t="str">
        <f>IFERROR(__xludf.DUMMYFUNCTION("IFERROR(GOOGLEFINANCE(A232,""price""),"""")"),"")</f>
        <v/>
      </c>
      <c r="C232" s="3" t="str">
        <f t="shared" si="1"/>
        <v/>
      </c>
    </row>
    <row r="233" ht="15.75" customHeight="1">
      <c r="B233" s="3" t="str">
        <f>IFERROR(__xludf.DUMMYFUNCTION("IFERROR(GOOGLEFINANCE(A233,""price""),"""")"),"")</f>
        <v/>
      </c>
      <c r="C233" s="3" t="str">
        <f t="shared" si="1"/>
        <v/>
      </c>
    </row>
    <row r="234" ht="15.75" customHeight="1">
      <c r="B234" s="3" t="str">
        <f>IFERROR(__xludf.DUMMYFUNCTION("IFERROR(GOOGLEFINANCE(A234,""price""),"""")"),"")</f>
        <v/>
      </c>
      <c r="C234" s="3" t="str">
        <f t="shared" si="1"/>
        <v/>
      </c>
    </row>
    <row r="235" ht="15.75" customHeight="1">
      <c r="B235" s="3" t="str">
        <f>IFERROR(__xludf.DUMMYFUNCTION("IFERROR(GOOGLEFINANCE(A235,""price""),"""")"),"")</f>
        <v/>
      </c>
      <c r="C235" s="3" t="str">
        <f t="shared" si="1"/>
        <v/>
      </c>
    </row>
    <row r="236" ht="15.75" customHeight="1">
      <c r="B236" s="3" t="str">
        <f>IFERROR(__xludf.DUMMYFUNCTION("IFERROR(GOOGLEFINANCE(A236,""price""),"""")"),"")</f>
        <v/>
      </c>
      <c r="C236" s="3" t="str">
        <f t="shared" si="1"/>
        <v/>
      </c>
    </row>
    <row r="237" ht="15.75" customHeight="1">
      <c r="B237" s="3" t="str">
        <f>IFERROR(__xludf.DUMMYFUNCTION("IFERROR(GOOGLEFINANCE(A237,""price""),"""")"),"")</f>
        <v/>
      </c>
      <c r="C237" s="3" t="str">
        <f t="shared" si="1"/>
        <v/>
      </c>
    </row>
    <row r="238" ht="15.75" customHeight="1">
      <c r="B238" s="3" t="str">
        <f>IFERROR(__xludf.DUMMYFUNCTION("IFERROR(GOOGLEFINANCE(A238,""price""),"""")"),"")</f>
        <v/>
      </c>
      <c r="C238" s="3" t="str">
        <f t="shared" si="1"/>
        <v/>
      </c>
    </row>
    <row r="239" ht="15.75" customHeight="1">
      <c r="B239" s="3" t="str">
        <f>IFERROR(__xludf.DUMMYFUNCTION("IFERROR(GOOGLEFINANCE(A239,""price""),"""")"),"")</f>
        <v/>
      </c>
      <c r="C239" s="3" t="str">
        <f t="shared" si="1"/>
        <v/>
      </c>
    </row>
    <row r="240" ht="15.75" customHeight="1">
      <c r="B240" s="3" t="str">
        <f>IFERROR(__xludf.DUMMYFUNCTION("IFERROR(GOOGLEFINANCE(A240,""price""),"""")"),"")</f>
        <v/>
      </c>
      <c r="C240" s="3" t="str">
        <f t="shared" si="1"/>
        <v/>
      </c>
    </row>
    <row r="241" ht="15.75" customHeight="1">
      <c r="B241" s="3" t="str">
        <f>IFERROR(__xludf.DUMMYFUNCTION("IFERROR(GOOGLEFINANCE(A241,""price""),"""")"),"")</f>
        <v/>
      </c>
      <c r="C241" s="3" t="str">
        <f t="shared" si="1"/>
        <v/>
      </c>
    </row>
    <row r="242" ht="15.75" customHeight="1">
      <c r="B242" s="3" t="str">
        <f>IFERROR(__xludf.DUMMYFUNCTION("IFERROR(GOOGLEFINANCE(A242,""price""),"""")"),"")</f>
        <v/>
      </c>
      <c r="C242" s="3" t="str">
        <f t="shared" si="1"/>
        <v/>
      </c>
    </row>
    <row r="243" ht="15.75" customHeight="1">
      <c r="B243" s="3" t="str">
        <f>IFERROR(__xludf.DUMMYFUNCTION("IFERROR(GOOGLEFINANCE(A243,""price""),"""")"),"")</f>
        <v/>
      </c>
      <c r="C243" s="3" t="str">
        <f t="shared" si="1"/>
        <v/>
      </c>
    </row>
    <row r="244" ht="15.75" customHeight="1">
      <c r="B244" s="3" t="str">
        <f>IFERROR(__xludf.DUMMYFUNCTION("IFERROR(GOOGLEFINANCE(A244,""price""),"""")"),"")</f>
        <v/>
      </c>
      <c r="C244" s="3" t="str">
        <f t="shared" si="1"/>
        <v/>
      </c>
    </row>
    <row r="245" ht="15.75" customHeight="1">
      <c r="B245" s="3" t="str">
        <f>IFERROR(__xludf.DUMMYFUNCTION("IFERROR(GOOGLEFINANCE(A245,""price""),"""")"),"")</f>
        <v/>
      </c>
      <c r="C245" s="3" t="str">
        <f t="shared" si="1"/>
        <v/>
      </c>
    </row>
    <row r="246" ht="15.75" customHeight="1">
      <c r="B246" s="3" t="str">
        <f>IFERROR(__xludf.DUMMYFUNCTION("IFERROR(GOOGLEFINANCE(A246,""price""),"""")"),"")</f>
        <v/>
      </c>
      <c r="C246" s="3" t="str">
        <f t="shared" si="1"/>
        <v/>
      </c>
    </row>
    <row r="247" ht="15.75" customHeight="1">
      <c r="B247" s="3" t="str">
        <f>IFERROR(__xludf.DUMMYFUNCTION("IFERROR(GOOGLEFINANCE(A247,""price""),"""")"),"")</f>
        <v/>
      </c>
      <c r="C247" s="3" t="str">
        <f t="shared" si="1"/>
        <v/>
      </c>
    </row>
    <row r="248" ht="15.75" customHeight="1">
      <c r="B248" s="3" t="str">
        <f>IFERROR(__xludf.DUMMYFUNCTION("IFERROR(GOOGLEFINANCE(A248,""price""),"""")"),"")</f>
        <v/>
      </c>
      <c r="C248" s="3" t="str">
        <f t="shared" si="1"/>
        <v/>
      </c>
    </row>
    <row r="249" ht="15.75" customHeight="1">
      <c r="B249" s="3" t="str">
        <f>IFERROR(__xludf.DUMMYFUNCTION("IFERROR(GOOGLEFINANCE(A249,""price""),"""")"),"")</f>
        <v/>
      </c>
      <c r="C249" s="3" t="str">
        <f t="shared" si="1"/>
        <v/>
      </c>
    </row>
    <row r="250" ht="15.75" customHeight="1">
      <c r="B250" s="3" t="str">
        <f>IFERROR(__xludf.DUMMYFUNCTION("IFERROR(GOOGLEFINANCE(A250,""price""),"""")"),"")</f>
        <v/>
      </c>
      <c r="C250" s="3" t="str">
        <f t="shared" si="1"/>
        <v/>
      </c>
    </row>
    <row r="251" ht="15.75" customHeight="1">
      <c r="B251" s="3" t="str">
        <f>IFERROR(__xludf.DUMMYFUNCTION("IFERROR(GOOGLEFINANCE(A251,""price""),"""")"),"")</f>
        <v/>
      </c>
      <c r="C251" s="3" t="str">
        <f t="shared" si="1"/>
        <v/>
      </c>
    </row>
    <row r="252" ht="15.75" customHeight="1">
      <c r="B252" s="3" t="str">
        <f>IFERROR(__xludf.DUMMYFUNCTION("IFERROR(GOOGLEFINANCE(A252,""price""),"""")"),"")</f>
        <v/>
      </c>
      <c r="C252" s="3" t="str">
        <f t="shared" si="1"/>
        <v/>
      </c>
    </row>
    <row r="253" ht="15.75" customHeight="1">
      <c r="B253" s="3" t="str">
        <f>IFERROR(__xludf.DUMMYFUNCTION("IFERROR(GOOGLEFINANCE(A253,""price""),"""")"),"")</f>
        <v/>
      </c>
      <c r="C253" s="3" t="str">
        <f t="shared" si="1"/>
        <v/>
      </c>
    </row>
    <row r="254" ht="15.75" customHeight="1">
      <c r="B254" s="3" t="str">
        <f>IFERROR(__xludf.DUMMYFUNCTION("IFERROR(GOOGLEFINANCE(A254,""price""),"""")"),"")</f>
        <v/>
      </c>
      <c r="C254" s="3" t="str">
        <f t="shared" si="1"/>
        <v/>
      </c>
    </row>
    <row r="255" ht="15.75" customHeight="1">
      <c r="B255" s="3" t="str">
        <f>IFERROR(__xludf.DUMMYFUNCTION("IFERROR(GOOGLEFINANCE(A255,""price""),"""")"),"")</f>
        <v/>
      </c>
      <c r="C255" s="3" t="str">
        <f t="shared" si="1"/>
        <v/>
      </c>
    </row>
    <row r="256" ht="15.75" customHeight="1">
      <c r="B256" s="3" t="str">
        <f>IFERROR(__xludf.DUMMYFUNCTION("IFERROR(GOOGLEFINANCE(A256,""price""),"""")"),"")</f>
        <v/>
      </c>
      <c r="C256" s="3" t="str">
        <f t="shared" si="1"/>
        <v/>
      </c>
    </row>
    <row r="257" ht="15.75" customHeight="1">
      <c r="B257" s="3" t="str">
        <f>IFERROR(__xludf.DUMMYFUNCTION("IFERROR(GOOGLEFINANCE(A257,""price""),"""")"),"")</f>
        <v/>
      </c>
      <c r="C257" s="3" t="str">
        <f t="shared" si="1"/>
        <v/>
      </c>
    </row>
    <row r="258" ht="15.75" customHeight="1">
      <c r="B258" s="3" t="str">
        <f>IFERROR(__xludf.DUMMYFUNCTION("IFERROR(GOOGLEFINANCE(A258,""price""),"""")"),"")</f>
        <v/>
      </c>
      <c r="C258" s="3" t="str">
        <f t="shared" si="1"/>
        <v/>
      </c>
    </row>
    <row r="259" ht="15.75" customHeight="1">
      <c r="B259" s="3" t="str">
        <f>IFERROR(__xludf.DUMMYFUNCTION("IFERROR(GOOGLEFINANCE(A259,""price""),"""")"),"")</f>
        <v/>
      </c>
      <c r="C259" s="3" t="str">
        <f t="shared" si="1"/>
        <v/>
      </c>
    </row>
    <row r="260" ht="15.75" customHeight="1">
      <c r="B260" s="3" t="str">
        <f>IFERROR(__xludf.DUMMYFUNCTION("IFERROR(GOOGLEFINANCE(A260,""price""),"""")"),"")</f>
        <v/>
      </c>
      <c r="C260" s="3" t="str">
        <f t="shared" si="1"/>
        <v/>
      </c>
    </row>
    <row r="261" ht="15.75" customHeight="1">
      <c r="B261" s="3" t="str">
        <f>IFERROR(__xludf.DUMMYFUNCTION("IFERROR(GOOGLEFINANCE(A261,""price""),"""")"),"")</f>
        <v/>
      </c>
      <c r="C261" s="3" t="str">
        <f t="shared" si="1"/>
        <v/>
      </c>
    </row>
    <row r="262" ht="15.75" customHeight="1">
      <c r="B262" s="3" t="str">
        <f>IFERROR(__xludf.DUMMYFUNCTION("IFERROR(GOOGLEFINANCE(A262,""price""),"""")"),"")</f>
        <v/>
      </c>
      <c r="C262" s="3" t="str">
        <f t="shared" si="1"/>
        <v/>
      </c>
    </row>
    <row r="263" ht="15.75" customHeight="1">
      <c r="B263" s="3" t="str">
        <f>IFERROR(__xludf.DUMMYFUNCTION("IFERROR(GOOGLEFINANCE(A263,""price""),"""")"),"")</f>
        <v/>
      </c>
      <c r="C263" s="3" t="str">
        <f t="shared" si="1"/>
        <v/>
      </c>
    </row>
    <row r="264" ht="15.75" customHeight="1">
      <c r="B264" s="3" t="str">
        <f>IFERROR(__xludf.DUMMYFUNCTION("IFERROR(GOOGLEFINANCE(A264,""price""),"""")"),"")</f>
        <v/>
      </c>
      <c r="C264" s="3" t="str">
        <f t="shared" si="1"/>
        <v/>
      </c>
    </row>
    <row r="265" ht="15.75" customHeight="1">
      <c r="B265" s="3" t="str">
        <f>IFERROR(__xludf.DUMMYFUNCTION("IFERROR(GOOGLEFINANCE(A265,""price""),"""")"),"")</f>
        <v/>
      </c>
      <c r="C265" s="3" t="str">
        <f t="shared" si="1"/>
        <v/>
      </c>
    </row>
    <row r="266" ht="15.75" customHeight="1">
      <c r="B266" s="3" t="str">
        <f>IFERROR(__xludf.DUMMYFUNCTION("IFERROR(GOOGLEFINANCE(A266,""price""),"""")"),"")</f>
        <v/>
      </c>
      <c r="C266" s="3" t="str">
        <f t="shared" si="1"/>
        <v/>
      </c>
    </row>
    <row r="267" ht="15.75" customHeight="1">
      <c r="B267" s="3" t="str">
        <f>IFERROR(__xludf.DUMMYFUNCTION("IFERROR(GOOGLEFINANCE(A267,""price""),"""")"),"")</f>
        <v/>
      </c>
      <c r="C267" s="3" t="str">
        <f t="shared" si="1"/>
        <v/>
      </c>
    </row>
    <row r="268" ht="15.75" customHeight="1">
      <c r="B268" s="3" t="str">
        <f>IFERROR(__xludf.DUMMYFUNCTION("IFERROR(GOOGLEFINANCE(A268,""price""),"""")"),"")</f>
        <v/>
      </c>
      <c r="C268" s="3" t="str">
        <f t="shared" si="1"/>
        <v/>
      </c>
    </row>
    <row r="269" ht="15.75" customHeight="1">
      <c r="B269" s="3" t="str">
        <f>IFERROR(__xludf.DUMMYFUNCTION("IFERROR(GOOGLEFINANCE(A269,""price""),"""")"),"")</f>
        <v/>
      </c>
      <c r="C269" s="3" t="str">
        <f t="shared" si="1"/>
        <v/>
      </c>
    </row>
    <row r="270" ht="15.75" customHeight="1">
      <c r="B270" s="3" t="str">
        <f>IFERROR(__xludf.DUMMYFUNCTION("IFERROR(GOOGLEFINANCE(A270,""price""),"""")"),"")</f>
        <v/>
      </c>
      <c r="C270" s="3" t="str">
        <f t="shared" si="1"/>
        <v/>
      </c>
    </row>
    <row r="271" ht="15.75" customHeight="1">
      <c r="B271" s="3" t="str">
        <f>IFERROR(__xludf.DUMMYFUNCTION("IFERROR(GOOGLEFINANCE(A271,""price""),"""")"),"")</f>
        <v/>
      </c>
      <c r="C271" s="3" t="str">
        <f t="shared" si="1"/>
        <v/>
      </c>
    </row>
    <row r="272" ht="15.75" customHeight="1">
      <c r="B272" s="3" t="str">
        <f>IFERROR(__xludf.DUMMYFUNCTION("IFERROR(GOOGLEFINANCE(A272,""price""),"""")"),"")</f>
        <v/>
      </c>
      <c r="C272" s="3" t="str">
        <f t="shared" si="1"/>
        <v/>
      </c>
    </row>
    <row r="273" ht="15.75" customHeight="1">
      <c r="B273" s="3" t="str">
        <f>IFERROR(__xludf.DUMMYFUNCTION("IFERROR(GOOGLEFINANCE(A273,""price""),"""")"),"")</f>
        <v/>
      </c>
      <c r="C273" s="3" t="str">
        <f t="shared" si="1"/>
        <v/>
      </c>
    </row>
    <row r="274" ht="15.75" customHeight="1">
      <c r="B274" s="3" t="str">
        <f>IFERROR(__xludf.DUMMYFUNCTION("IFERROR(GOOGLEFINANCE(A274,""price""),"""")"),"")</f>
        <v/>
      </c>
      <c r="C274" s="3" t="str">
        <f t="shared" si="1"/>
        <v/>
      </c>
    </row>
    <row r="275" ht="15.75" customHeight="1">
      <c r="B275" s="3" t="str">
        <f>IFERROR(__xludf.DUMMYFUNCTION("IFERROR(GOOGLEFINANCE(A275,""price""),"""")"),"")</f>
        <v/>
      </c>
      <c r="C275" s="3" t="str">
        <f t="shared" si="1"/>
        <v/>
      </c>
    </row>
    <row r="276" ht="15.75" customHeight="1">
      <c r="B276" s="3" t="str">
        <f>IFERROR(__xludf.DUMMYFUNCTION("IFERROR(GOOGLEFINANCE(A276,""price""),"""")"),"")</f>
        <v/>
      </c>
      <c r="C276" s="3" t="str">
        <f t="shared" si="1"/>
        <v/>
      </c>
    </row>
    <row r="277" ht="15.75" customHeight="1">
      <c r="B277" s="3" t="str">
        <f>IFERROR(__xludf.DUMMYFUNCTION("IFERROR(GOOGLEFINANCE(A277,""price""),"""")"),"")</f>
        <v/>
      </c>
      <c r="C277" s="3" t="str">
        <f t="shared" si="1"/>
        <v/>
      </c>
    </row>
    <row r="278" ht="15.75" customHeight="1">
      <c r="B278" s="3" t="str">
        <f>IFERROR(__xludf.DUMMYFUNCTION("IFERROR(GOOGLEFINANCE(A278,""price""),"""")"),"")</f>
        <v/>
      </c>
      <c r="C278" s="3" t="str">
        <f t="shared" si="1"/>
        <v/>
      </c>
    </row>
    <row r="279" ht="15.75" customHeight="1">
      <c r="B279" s="3" t="str">
        <f>IFERROR(__xludf.DUMMYFUNCTION("IFERROR(GOOGLEFINANCE(A279,""price""),"""")"),"")</f>
        <v/>
      </c>
      <c r="C279" s="3" t="str">
        <f t="shared" si="1"/>
        <v/>
      </c>
    </row>
    <row r="280" ht="15.75" customHeight="1">
      <c r="B280" s="3" t="str">
        <f>IFERROR(__xludf.DUMMYFUNCTION("IFERROR(GOOGLEFINANCE(A280,""price""),"""")"),"")</f>
        <v/>
      </c>
      <c r="C280" s="3" t="str">
        <f t="shared" si="1"/>
        <v/>
      </c>
    </row>
    <row r="281" ht="15.75" customHeight="1">
      <c r="B281" s="3" t="str">
        <f>IFERROR(__xludf.DUMMYFUNCTION("IFERROR(GOOGLEFINANCE(A281,""price""),"""")"),"")</f>
        <v/>
      </c>
      <c r="C281" s="3" t="str">
        <f t="shared" si="1"/>
        <v/>
      </c>
    </row>
    <row r="282" ht="15.75" customHeight="1">
      <c r="B282" s="3" t="str">
        <f>IFERROR(__xludf.DUMMYFUNCTION("IFERROR(GOOGLEFINANCE(A282,""price""),"""")"),"")</f>
        <v/>
      </c>
      <c r="C282" s="3" t="str">
        <f t="shared" si="1"/>
        <v/>
      </c>
    </row>
    <row r="283" ht="15.75" customHeight="1">
      <c r="B283" s="3" t="str">
        <f>IFERROR(__xludf.DUMMYFUNCTION("IFERROR(GOOGLEFINANCE(A283,""price""),"""")"),"")</f>
        <v/>
      </c>
      <c r="C283" s="3" t="str">
        <f t="shared" si="1"/>
        <v/>
      </c>
    </row>
    <row r="284" ht="15.75" customHeight="1">
      <c r="B284" s="3" t="str">
        <f>IFERROR(__xludf.DUMMYFUNCTION("IFERROR(GOOGLEFINANCE(A284,""price""),"""")"),"")</f>
        <v/>
      </c>
      <c r="C284" s="3" t="str">
        <f t="shared" si="1"/>
        <v/>
      </c>
    </row>
    <row r="285" ht="15.75" customHeight="1">
      <c r="B285" s="3" t="str">
        <f>IFERROR(__xludf.DUMMYFUNCTION("IFERROR(GOOGLEFINANCE(A285,""price""),"""")"),"")</f>
        <v/>
      </c>
      <c r="C285" s="3" t="str">
        <f t="shared" si="1"/>
        <v/>
      </c>
    </row>
    <row r="286" ht="15.75" customHeight="1">
      <c r="B286" s="3" t="str">
        <f>IFERROR(__xludf.DUMMYFUNCTION("IFERROR(GOOGLEFINANCE(A286,""price""),"""")"),"")</f>
        <v/>
      </c>
      <c r="C286" s="3" t="str">
        <f t="shared" si="1"/>
        <v/>
      </c>
    </row>
    <row r="287" ht="15.75" customHeight="1">
      <c r="B287" s="3" t="str">
        <f>IFERROR(__xludf.DUMMYFUNCTION("IFERROR(GOOGLEFINANCE(A287,""price""),"""")"),"")</f>
        <v/>
      </c>
      <c r="C287" s="3" t="str">
        <f t="shared" si="1"/>
        <v/>
      </c>
    </row>
    <row r="288" ht="15.75" customHeight="1">
      <c r="B288" s="3" t="str">
        <f>IFERROR(__xludf.DUMMYFUNCTION("IFERROR(GOOGLEFINANCE(A288,""price""),"""")"),"")</f>
        <v/>
      </c>
      <c r="C288" s="3" t="str">
        <f t="shared" si="1"/>
        <v/>
      </c>
    </row>
    <row r="289" ht="15.75" customHeight="1">
      <c r="B289" s="3" t="str">
        <f>IFERROR(__xludf.DUMMYFUNCTION("IFERROR(GOOGLEFINANCE(A289,""price""),"""")"),"")</f>
        <v/>
      </c>
      <c r="C289" s="3" t="str">
        <f t="shared" si="1"/>
        <v/>
      </c>
    </row>
    <row r="290" ht="15.75" customHeight="1">
      <c r="B290" s="3" t="str">
        <f>IFERROR(__xludf.DUMMYFUNCTION("IFERROR(GOOGLEFINANCE(A290,""price""),"""")"),"")</f>
        <v/>
      </c>
      <c r="C290" s="3" t="str">
        <f t="shared" si="1"/>
        <v/>
      </c>
    </row>
    <row r="291" ht="15.75" customHeight="1">
      <c r="B291" s="3" t="str">
        <f>IFERROR(__xludf.DUMMYFUNCTION("IFERROR(GOOGLEFINANCE(A291,""price""),"""")"),"")</f>
        <v/>
      </c>
      <c r="C291" s="3" t="str">
        <f t="shared" si="1"/>
        <v/>
      </c>
    </row>
    <row r="292" ht="15.75" customHeight="1">
      <c r="B292" s="3" t="str">
        <f>IFERROR(__xludf.DUMMYFUNCTION("IFERROR(GOOGLEFINANCE(A292,""price""),"""")"),"")</f>
        <v/>
      </c>
      <c r="C292" s="3" t="str">
        <f t="shared" si="1"/>
        <v/>
      </c>
    </row>
    <row r="293" ht="15.75" customHeight="1">
      <c r="B293" s="3" t="str">
        <f>IFERROR(__xludf.DUMMYFUNCTION("IFERROR(GOOGLEFINANCE(A293,""price""),"""")"),"")</f>
        <v/>
      </c>
      <c r="C293" s="3" t="str">
        <f t="shared" si="1"/>
        <v/>
      </c>
    </row>
    <row r="294" ht="15.75" customHeight="1">
      <c r="B294" s="3" t="str">
        <f>IFERROR(__xludf.DUMMYFUNCTION("IFERROR(GOOGLEFINANCE(A294,""price""),"""")"),"")</f>
        <v/>
      </c>
      <c r="C294" s="3" t="str">
        <f t="shared" si="1"/>
        <v/>
      </c>
    </row>
    <row r="295" ht="15.75" customHeight="1">
      <c r="B295" s="3" t="str">
        <f>IFERROR(__xludf.DUMMYFUNCTION("IFERROR(GOOGLEFINANCE(A295,""price""),"""")"),"")</f>
        <v/>
      </c>
      <c r="C295" s="3" t="str">
        <f t="shared" si="1"/>
        <v/>
      </c>
    </row>
    <row r="296" ht="15.75" customHeight="1">
      <c r="B296" s="3" t="str">
        <f>IFERROR(__xludf.DUMMYFUNCTION("IFERROR(GOOGLEFINANCE(A296,""price""),"""")"),"")</f>
        <v/>
      </c>
      <c r="C296" s="3" t="str">
        <f t="shared" si="1"/>
        <v/>
      </c>
    </row>
    <row r="297" ht="15.75" customHeight="1">
      <c r="B297" s="3" t="str">
        <f>IFERROR(__xludf.DUMMYFUNCTION("IFERROR(GOOGLEFINANCE(A297,""price""),"""")"),"")</f>
        <v/>
      </c>
      <c r="C297" s="3" t="str">
        <f t="shared" si="1"/>
        <v/>
      </c>
    </row>
    <row r="298" ht="15.75" customHeight="1">
      <c r="B298" s="3" t="str">
        <f>IFERROR(__xludf.DUMMYFUNCTION("IFERROR(GOOGLEFINANCE(A298,""price""),"""")"),"")</f>
        <v/>
      </c>
      <c r="C298" s="3" t="str">
        <f t="shared" si="1"/>
        <v/>
      </c>
    </row>
    <row r="299" ht="15.75" customHeight="1">
      <c r="B299" s="3" t="str">
        <f>IFERROR(__xludf.DUMMYFUNCTION("IFERROR(GOOGLEFINANCE(A299,""price""),"""")"),"")</f>
        <v/>
      </c>
      <c r="C299" s="3" t="str">
        <f t="shared" si="1"/>
        <v/>
      </c>
    </row>
    <row r="300" ht="15.75" customHeight="1">
      <c r="B300" s="3" t="str">
        <f>IFERROR(__xludf.DUMMYFUNCTION("IFERROR(GOOGLEFINANCE(A300,""price""),"""")"),"")</f>
        <v/>
      </c>
      <c r="C300" s="3" t="str">
        <f t="shared" si="1"/>
        <v/>
      </c>
    </row>
    <row r="301" ht="15.75" customHeight="1">
      <c r="B301" s="3" t="str">
        <f>IFERROR(__xludf.DUMMYFUNCTION("IFERROR(GOOGLEFINANCE(A301,""price""),"""")"),"")</f>
        <v/>
      </c>
      <c r="C301" s="3" t="str">
        <f t="shared" si="1"/>
        <v/>
      </c>
    </row>
    <row r="302" ht="15.75" customHeight="1">
      <c r="B302" s="3" t="str">
        <f>IFERROR(__xludf.DUMMYFUNCTION("IFERROR(GOOGLEFINANCE(A302,""price""),"""")"),"")</f>
        <v/>
      </c>
      <c r="C302" s="3" t="str">
        <f t="shared" si="1"/>
        <v/>
      </c>
    </row>
    <row r="303" ht="15.75" customHeight="1">
      <c r="B303" s="3" t="str">
        <f>IFERROR(__xludf.DUMMYFUNCTION("IFERROR(GOOGLEFINANCE(A303,""price""),"""")"),"")</f>
        <v/>
      </c>
      <c r="C303" s="3" t="str">
        <f t="shared" si="1"/>
        <v/>
      </c>
    </row>
    <row r="304" ht="15.75" customHeight="1">
      <c r="B304" s="3" t="str">
        <f>IFERROR(__xludf.DUMMYFUNCTION("IFERROR(GOOGLEFINANCE(A304,""price""),"""")"),"")</f>
        <v/>
      </c>
      <c r="C304" s="3" t="str">
        <f t="shared" si="1"/>
        <v/>
      </c>
    </row>
    <row r="305" ht="15.75" customHeight="1">
      <c r="B305" s="3" t="str">
        <f>IFERROR(__xludf.DUMMYFUNCTION("IFERROR(GOOGLEFINANCE(A305,""price""),"""")"),"")</f>
        <v/>
      </c>
      <c r="C305" s="3" t="str">
        <f t="shared" si="1"/>
        <v/>
      </c>
    </row>
    <row r="306" ht="15.75" customHeight="1">
      <c r="B306" s="3" t="str">
        <f>IFERROR(__xludf.DUMMYFUNCTION("IFERROR(GOOGLEFINANCE(A306,""price""),"""")"),"")</f>
        <v/>
      </c>
      <c r="C306" s="3" t="str">
        <f t="shared" si="1"/>
        <v/>
      </c>
    </row>
    <row r="307" ht="15.75" customHeight="1">
      <c r="B307" s="3" t="str">
        <f>IFERROR(__xludf.DUMMYFUNCTION("IFERROR(GOOGLEFINANCE(A307,""price""),"""")"),"")</f>
        <v/>
      </c>
      <c r="C307" s="3" t="str">
        <f t="shared" si="1"/>
        <v/>
      </c>
    </row>
    <row r="308" ht="15.75" customHeight="1">
      <c r="B308" s="3" t="str">
        <f>IFERROR(__xludf.DUMMYFUNCTION("IFERROR(GOOGLEFINANCE(A308,""price""),"""")"),"")</f>
        <v/>
      </c>
      <c r="C308" s="3" t="str">
        <f t="shared" si="1"/>
        <v/>
      </c>
    </row>
    <row r="309" ht="15.75" customHeight="1">
      <c r="B309" s="3" t="str">
        <f>IFERROR(__xludf.DUMMYFUNCTION("IFERROR(GOOGLEFINANCE(A309,""price""),"""")"),"")</f>
        <v/>
      </c>
      <c r="C309" s="3" t="str">
        <f t="shared" si="1"/>
        <v/>
      </c>
    </row>
    <row r="310" ht="15.75" customHeight="1">
      <c r="B310" s="3" t="str">
        <f>IFERROR(__xludf.DUMMYFUNCTION("IFERROR(GOOGLEFINANCE(A310,""price""),"""")"),"")</f>
        <v/>
      </c>
      <c r="C310" s="3" t="str">
        <f t="shared" si="1"/>
        <v/>
      </c>
    </row>
    <row r="311" ht="15.75" customHeight="1">
      <c r="B311" s="3" t="str">
        <f>IFERROR(__xludf.DUMMYFUNCTION("IFERROR(GOOGLEFINANCE(A311,""price""),"""")"),"")</f>
        <v/>
      </c>
      <c r="C311" s="3" t="str">
        <f t="shared" si="1"/>
        <v/>
      </c>
    </row>
    <row r="312" ht="15.75" customHeight="1">
      <c r="B312" s="3" t="str">
        <f>IFERROR(__xludf.DUMMYFUNCTION("IFERROR(GOOGLEFINANCE(A312,""price""),"""")"),"")</f>
        <v/>
      </c>
      <c r="C312" s="3" t="str">
        <f t="shared" si="1"/>
        <v/>
      </c>
    </row>
    <row r="313" ht="15.75" customHeight="1">
      <c r="B313" s="3" t="str">
        <f>IFERROR(__xludf.DUMMYFUNCTION("IFERROR(GOOGLEFINANCE(A313,""price""),"""")"),"")</f>
        <v/>
      </c>
      <c r="C313" s="3" t="str">
        <f t="shared" si="1"/>
        <v/>
      </c>
    </row>
    <row r="314" ht="15.75" customHeight="1">
      <c r="B314" s="3" t="str">
        <f>IFERROR(__xludf.DUMMYFUNCTION("IFERROR(GOOGLEFINANCE(A314,""price""),"""")"),"")</f>
        <v/>
      </c>
      <c r="C314" s="3" t="str">
        <f t="shared" si="1"/>
        <v/>
      </c>
    </row>
    <row r="315" ht="15.75" customHeight="1">
      <c r="B315" s="3" t="str">
        <f>IFERROR(__xludf.DUMMYFUNCTION("IFERROR(GOOGLEFINANCE(A315,""price""),"""")"),"")</f>
        <v/>
      </c>
      <c r="C315" s="3" t="str">
        <f t="shared" si="1"/>
        <v/>
      </c>
    </row>
    <row r="316" ht="15.75" customHeight="1">
      <c r="B316" s="3" t="str">
        <f>IFERROR(__xludf.DUMMYFUNCTION("IFERROR(GOOGLEFINANCE(A316,""price""),"""")"),"")</f>
        <v/>
      </c>
      <c r="C316" s="3" t="str">
        <f t="shared" si="1"/>
        <v/>
      </c>
    </row>
    <row r="317" ht="15.75" customHeight="1">
      <c r="B317" s="3" t="str">
        <f>IFERROR(__xludf.DUMMYFUNCTION("IFERROR(GOOGLEFINANCE(A317,""price""),"""")"),"")</f>
        <v/>
      </c>
      <c r="C317" s="3" t="str">
        <f t="shared" si="1"/>
        <v/>
      </c>
    </row>
    <row r="318" ht="15.75" customHeight="1">
      <c r="B318" s="3" t="str">
        <f>IFERROR(__xludf.DUMMYFUNCTION("IFERROR(GOOGLEFINANCE(A318,""price""),"""")"),"")</f>
        <v/>
      </c>
      <c r="C318" s="3" t="str">
        <f t="shared" si="1"/>
        <v/>
      </c>
    </row>
    <row r="319" ht="15.75" customHeight="1">
      <c r="B319" s="3" t="str">
        <f>IFERROR(__xludf.DUMMYFUNCTION("IFERROR(GOOGLEFINANCE(A319,""price""),"""")"),"")</f>
        <v/>
      </c>
      <c r="C319" s="3" t="str">
        <f t="shared" si="1"/>
        <v/>
      </c>
    </row>
    <row r="320" ht="15.75" customHeight="1">
      <c r="B320" s="3" t="str">
        <f>IFERROR(__xludf.DUMMYFUNCTION("IFERROR(GOOGLEFINANCE(A320,""price""),"""")"),"")</f>
        <v/>
      </c>
      <c r="C320" s="3" t="str">
        <f t="shared" si="1"/>
        <v/>
      </c>
    </row>
    <row r="321" ht="15.75" customHeight="1">
      <c r="B321" s="3" t="str">
        <f>IFERROR(__xludf.DUMMYFUNCTION("IFERROR(GOOGLEFINANCE(A321,""price""),"""")"),"")</f>
        <v/>
      </c>
      <c r="C321" s="3" t="str">
        <f t="shared" si="1"/>
        <v/>
      </c>
    </row>
    <row r="322" ht="15.75" customHeight="1">
      <c r="B322" s="3" t="str">
        <f>IFERROR(__xludf.DUMMYFUNCTION("IFERROR(GOOGLEFINANCE(A322,""price""),"""")"),"")</f>
        <v/>
      </c>
      <c r="C322" s="3" t="str">
        <f t="shared" si="1"/>
        <v/>
      </c>
    </row>
    <row r="323" ht="15.75" customHeight="1">
      <c r="B323" s="3" t="str">
        <f>IFERROR(__xludf.DUMMYFUNCTION("IFERROR(GOOGLEFINANCE(A323,""price""),"""")"),"")</f>
        <v/>
      </c>
      <c r="C323" s="3" t="str">
        <f t="shared" si="1"/>
        <v/>
      </c>
    </row>
    <row r="324" ht="15.75" customHeight="1">
      <c r="B324" s="3" t="str">
        <f>IFERROR(__xludf.DUMMYFUNCTION("IFERROR(GOOGLEFINANCE(A324,""price""),"""")"),"")</f>
        <v/>
      </c>
      <c r="C324" s="3" t="str">
        <f t="shared" si="1"/>
        <v/>
      </c>
    </row>
    <row r="325" ht="15.75" customHeight="1">
      <c r="B325" s="3" t="str">
        <f>IFERROR(__xludf.DUMMYFUNCTION("IFERROR(GOOGLEFINANCE(A325,""price""),"""")"),"")</f>
        <v/>
      </c>
      <c r="C325" s="3" t="str">
        <f t="shared" si="1"/>
        <v/>
      </c>
    </row>
    <row r="326" ht="15.75" customHeight="1">
      <c r="B326" s="3" t="str">
        <f>IFERROR(__xludf.DUMMYFUNCTION("IFERROR(GOOGLEFINANCE(A326,""price""),"""")"),"")</f>
        <v/>
      </c>
      <c r="C326" s="3" t="str">
        <f t="shared" si="1"/>
        <v/>
      </c>
    </row>
    <row r="327" ht="15.75" customHeight="1">
      <c r="B327" s="3" t="str">
        <f>IFERROR(__xludf.DUMMYFUNCTION("IFERROR(GOOGLEFINANCE(A327,""price""),"""")"),"")</f>
        <v/>
      </c>
      <c r="C327" s="3" t="str">
        <f t="shared" si="1"/>
        <v/>
      </c>
    </row>
    <row r="328" ht="15.75" customHeight="1">
      <c r="B328" s="3" t="str">
        <f>IFERROR(__xludf.DUMMYFUNCTION("IFERROR(GOOGLEFINANCE(A328,""price""),"""")"),"")</f>
        <v/>
      </c>
      <c r="C328" s="3" t="str">
        <f t="shared" si="1"/>
        <v/>
      </c>
    </row>
    <row r="329" ht="15.75" customHeight="1">
      <c r="B329" s="3" t="str">
        <f>IFERROR(__xludf.DUMMYFUNCTION("IFERROR(GOOGLEFINANCE(A329,""price""),"""")"),"")</f>
        <v/>
      </c>
      <c r="C329" s="3" t="str">
        <f t="shared" si="1"/>
        <v/>
      </c>
    </row>
    <row r="330" ht="15.75" customHeight="1">
      <c r="B330" s="3" t="str">
        <f>IFERROR(__xludf.DUMMYFUNCTION("IFERROR(GOOGLEFINANCE(A330,""price""),"""")"),"")</f>
        <v/>
      </c>
      <c r="C330" s="3" t="str">
        <f t="shared" si="1"/>
        <v/>
      </c>
    </row>
    <row r="331" ht="15.75" customHeight="1">
      <c r="B331" s="3" t="str">
        <f>IFERROR(__xludf.DUMMYFUNCTION("IFERROR(GOOGLEFINANCE(A331,""price""),"""")"),"")</f>
        <v/>
      </c>
      <c r="C331" s="3" t="str">
        <f t="shared" si="1"/>
        <v/>
      </c>
    </row>
    <row r="332" ht="15.75" customHeight="1">
      <c r="B332" s="3" t="str">
        <f>IFERROR(__xludf.DUMMYFUNCTION("IFERROR(GOOGLEFINANCE(A332,""price""),"""")"),"")</f>
        <v/>
      </c>
      <c r="C332" s="3" t="str">
        <f t="shared" si="1"/>
        <v/>
      </c>
    </row>
    <row r="333" ht="15.75" customHeight="1">
      <c r="B333" s="3" t="str">
        <f>IFERROR(__xludf.DUMMYFUNCTION("IFERROR(GOOGLEFINANCE(A333,""price""),"""")"),"")</f>
        <v/>
      </c>
      <c r="C333" s="3" t="str">
        <f t="shared" si="1"/>
        <v/>
      </c>
    </row>
    <row r="334" ht="15.75" customHeight="1">
      <c r="B334" s="3" t="str">
        <f>IFERROR(__xludf.DUMMYFUNCTION("IFERROR(GOOGLEFINANCE(A334,""price""),"""")"),"")</f>
        <v/>
      </c>
      <c r="C334" s="3" t="str">
        <f t="shared" si="1"/>
        <v/>
      </c>
    </row>
    <row r="335" ht="15.75" customHeight="1">
      <c r="B335" s="3" t="str">
        <f>IFERROR(__xludf.DUMMYFUNCTION("IFERROR(GOOGLEFINANCE(A335,""price""),"""")"),"")</f>
        <v/>
      </c>
      <c r="C335" s="3" t="str">
        <f t="shared" si="1"/>
        <v/>
      </c>
    </row>
    <row r="336" ht="15.75" customHeight="1">
      <c r="B336" s="3" t="str">
        <f>IFERROR(__xludf.DUMMYFUNCTION("IFERROR(GOOGLEFINANCE(A336,""price""),"""")"),"")</f>
        <v/>
      </c>
      <c r="C336" s="3" t="str">
        <f t="shared" si="1"/>
        <v/>
      </c>
    </row>
    <row r="337" ht="15.75" customHeight="1">
      <c r="B337" s="3" t="str">
        <f>IFERROR(__xludf.DUMMYFUNCTION("IFERROR(GOOGLEFINANCE(A337,""price""),"""")"),"")</f>
        <v/>
      </c>
      <c r="C337" s="3" t="str">
        <f t="shared" si="1"/>
        <v/>
      </c>
    </row>
    <row r="338" ht="15.75" customHeight="1">
      <c r="B338" s="3" t="str">
        <f>IFERROR(__xludf.DUMMYFUNCTION("IFERROR(GOOGLEFINANCE(A338,""price""),"""")"),"")</f>
        <v/>
      </c>
      <c r="C338" s="3" t="str">
        <f t="shared" si="1"/>
        <v/>
      </c>
    </row>
    <row r="339" ht="15.75" customHeight="1">
      <c r="B339" s="3" t="str">
        <f>IFERROR(__xludf.DUMMYFUNCTION("IFERROR(GOOGLEFINANCE(A339,""price""),"""")"),"")</f>
        <v/>
      </c>
      <c r="C339" s="3" t="str">
        <f t="shared" si="1"/>
        <v/>
      </c>
    </row>
    <row r="340" ht="15.75" customHeight="1">
      <c r="B340" s="3" t="str">
        <f>IFERROR(__xludf.DUMMYFUNCTION("IFERROR(GOOGLEFINANCE(A340,""price""),"""")"),"")</f>
        <v/>
      </c>
      <c r="C340" s="3" t="str">
        <f t="shared" si="1"/>
        <v/>
      </c>
    </row>
    <row r="341" ht="15.75" customHeight="1">
      <c r="B341" s="3" t="str">
        <f>IFERROR(__xludf.DUMMYFUNCTION("IFERROR(GOOGLEFINANCE(A341,""price""),"""")"),"")</f>
        <v/>
      </c>
      <c r="C341" s="3" t="str">
        <f t="shared" si="1"/>
        <v/>
      </c>
    </row>
    <row r="342" ht="15.75" customHeight="1">
      <c r="B342" s="3" t="str">
        <f>IFERROR(__xludf.DUMMYFUNCTION("IFERROR(GOOGLEFINANCE(A342,""price""),"""")"),"")</f>
        <v/>
      </c>
      <c r="C342" s="3" t="str">
        <f t="shared" si="1"/>
        <v/>
      </c>
    </row>
    <row r="343" ht="15.75" customHeight="1">
      <c r="B343" s="3" t="str">
        <f>IFERROR(__xludf.DUMMYFUNCTION("IFERROR(GOOGLEFINANCE(A343,""price""),"""")"),"")</f>
        <v/>
      </c>
      <c r="C343" s="3" t="str">
        <f t="shared" si="1"/>
        <v/>
      </c>
    </row>
    <row r="344" ht="15.75" customHeight="1">
      <c r="B344" s="3" t="str">
        <f>IFERROR(__xludf.DUMMYFUNCTION("IFERROR(GOOGLEFINANCE(A344,""price""),"""")"),"")</f>
        <v/>
      </c>
      <c r="C344" s="3" t="str">
        <f t="shared" si="1"/>
        <v/>
      </c>
    </row>
    <row r="345" ht="15.75" customHeight="1">
      <c r="B345" s="3" t="str">
        <f>IFERROR(__xludf.DUMMYFUNCTION("IFERROR(GOOGLEFINANCE(A345,""price""),"""")"),"")</f>
        <v/>
      </c>
      <c r="C345" s="3" t="str">
        <f t="shared" si="1"/>
        <v/>
      </c>
    </row>
    <row r="346" ht="15.75" customHeight="1">
      <c r="B346" s="3" t="str">
        <f>IFERROR(__xludf.DUMMYFUNCTION("IFERROR(GOOGLEFINANCE(A346,""price""),"""")"),"")</f>
        <v/>
      </c>
      <c r="C346" s="3" t="str">
        <f t="shared" si="1"/>
        <v/>
      </c>
    </row>
    <row r="347" ht="15.75" customHeight="1">
      <c r="B347" s="3" t="str">
        <f>IFERROR(__xludf.DUMMYFUNCTION("IFERROR(GOOGLEFINANCE(A347,""price""),"""")"),"")</f>
        <v/>
      </c>
      <c r="C347" s="3" t="str">
        <f t="shared" si="1"/>
        <v/>
      </c>
    </row>
    <row r="348" ht="15.75" customHeight="1">
      <c r="B348" s="3" t="str">
        <f>IFERROR(__xludf.DUMMYFUNCTION("IFERROR(GOOGLEFINANCE(A348,""price""),"""")"),"")</f>
        <v/>
      </c>
      <c r="C348" s="3" t="str">
        <f t="shared" si="1"/>
        <v/>
      </c>
    </row>
    <row r="349" ht="15.75" customHeight="1">
      <c r="B349" s="3" t="str">
        <f>IFERROR(__xludf.DUMMYFUNCTION("IFERROR(GOOGLEFINANCE(A349,""price""),"""")"),"")</f>
        <v/>
      </c>
      <c r="C349" s="3" t="str">
        <f t="shared" si="1"/>
        <v/>
      </c>
    </row>
    <row r="350" ht="15.75" customHeight="1">
      <c r="B350" s="3" t="str">
        <f>IFERROR(__xludf.DUMMYFUNCTION("IFERROR(GOOGLEFINANCE(A350,""price""),"""")"),"")</f>
        <v/>
      </c>
      <c r="C350" s="3" t="str">
        <f t="shared" si="1"/>
        <v/>
      </c>
    </row>
    <row r="351" ht="15.75" customHeight="1">
      <c r="B351" s="3" t="str">
        <f>IFERROR(__xludf.DUMMYFUNCTION("IFERROR(GOOGLEFINANCE(A351,""price""),"""")"),"")</f>
        <v/>
      </c>
      <c r="C351" s="3" t="str">
        <f t="shared" si="1"/>
        <v/>
      </c>
    </row>
    <row r="352" ht="15.75" customHeight="1">
      <c r="B352" s="3" t="str">
        <f>IFERROR(__xludf.DUMMYFUNCTION("IFERROR(GOOGLEFINANCE(A352,""price""),"""")"),"")</f>
        <v/>
      </c>
      <c r="C352" s="3" t="str">
        <f t="shared" si="1"/>
        <v/>
      </c>
    </row>
    <row r="353" ht="15.75" customHeight="1">
      <c r="B353" s="3" t="str">
        <f>IFERROR(__xludf.DUMMYFUNCTION("IFERROR(GOOGLEFINANCE(A353,""price""),"""")"),"")</f>
        <v/>
      </c>
      <c r="C353" s="3" t="str">
        <f t="shared" si="1"/>
        <v/>
      </c>
    </row>
    <row r="354" ht="15.75" customHeight="1">
      <c r="B354" s="3" t="str">
        <f>IFERROR(__xludf.DUMMYFUNCTION("IFERROR(GOOGLEFINANCE(A354,""price""),"""")"),"")</f>
        <v/>
      </c>
      <c r="C354" s="3" t="str">
        <f t="shared" si="1"/>
        <v/>
      </c>
    </row>
    <row r="355" ht="15.75" customHeight="1">
      <c r="B355" s="3" t="str">
        <f>IFERROR(__xludf.DUMMYFUNCTION("IFERROR(GOOGLEFINANCE(A355,""price""),"""")"),"")</f>
        <v/>
      </c>
      <c r="C355" s="3" t="str">
        <f t="shared" si="1"/>
        <v/>
      </c>
    </row>
    <row r="356" ht="15.75" customHeight="1">
      <c r="B356" s="3" t="str">
        <f>IFERROR(__xludf.DUMMYFUNCTION("IFERROR(GOOGLEFINANCE(A356,""price""),"""")"),"")</f>
        <v/>
      </c>
      <c r="C356" s="3" t="str">
        <f t="shared" si="1"/>
        <v/>
      </c>
    </row>
    <row r="357" ht="15.75" customHeight="1">
      <c r="B357" s="3" t="str">
        <f>IFERROR(__xludf.DUMMYFUNCTION("IFERROR(GOOGLEFINANCE(A357,""price""),"""")"),"")</f>
        <v/>
      </c>
      <c r="C357" s="3" t="str">
        <f t="shared" si="1"/>
        <v/>
      </c>
    </row>
    <row r="358" ht="15.75" customHeight="1">
      <c r="B358" s="3" t="str">
        <f>IFERROR(__xludf.DUMMYFUNCTION("IFERROR(GOOGLEFINANCE(A358,""price""),"""")"),"")</f>
        <v/>
      </c>
      <c r="C358" s="3" t="str">
        <f t="shared" si="1"/>
        <v/>
      </c>
    </row>
    <row r="359" ht="15.75" customHeight="1">
      <c r="B359" s="3" t="str">
        <f>IFERROR(__xludf.DUMMYFUNCTION("IFERROR(GOOGLEFINANCE(A359,""price""),"""")"),"")</f>
        <v/>
      </c>
      <c r="C359" s="3" t="str">
        <f t="shared" si="1"/>
        <v/>
      </c>
    </row>
    <row r="360" ht="15.75" customHeight="1">
      <c r="B360" s="3" t="str">
        <f>IFERROR(__xludf.DUMMYFUNCTION("IFERROR(GOOGLEFINANCE(A360,""price""),"""")"),"")</f>
        <v/>
      </c>
      <c r="C360" s="3" t="str">
        <f t="shared" si="1"/>
        <v/>
      </c>
    </row>
    <row r="361" ht="15.75" customHeight="1">
      <c r="B361" s="3" t="str">
        <f>IFERROR(__xludf.DUMMYFUNCTION("IFERROR(GOOGLEFINANCE(A361,""price""),"""")"),"")</f>
        <v/>
      </c>
      <c r="C361" s="3" t="str">
        <f t="shared" si="1"/>
        <v/>
      </c>
    </row>
    <row r="362" ht="15.75" customHeight="1">
      <c r="B362" s="3" t="str">
        <f>IFERROR(__xludf.DUMMYFUNCTION("IFERROR(GOOGLEFINANCE(A362,""price""),"""")"),"")</f>
        <v/>
      </c>
      <c r="C362" s="3" t="str">
        <f t="shared" si="1"/>
        <v/>
      </c>
    </row>
    <row r="363" ht="15.75" customHeight="1">
      <c r="B363" s="3" t="str">
        <f>IFERROR(__xludf.DUMMYFUNCTION("IFERROR(GOOGLEFINANCE(A363,""price""),"""")"),"")</f>
        <v/>
      </c>
      <c r="C363" s="3" t="str">
        <f t="shared" si="1"/>
        <v/>
      </c>
    </row>
    <row r="364" ht="15.75" customHeight="1">
      <c r="B364" s="3" t="str">
        <f>IFERROR(__xludf.DUMMYFUNCTION("IFERROR(GOOGLEFINANCE(A364,""price""),"""")"),"")</f>
        <v/>
      </c>
      <c r="C364" s="3" t="str">
        <f t="shared" si="1"/>
        <v/>
      </c>
    </row>
    <row r="365" ht="15.75" customHeight="1">
      <c r="B365" s="3" t="str">
        <f>IFERROR(__xludf.DUMMYFUNCTION("IFERROR(GOOGLEFINANCE(A365,""price""),"""")"),"")</f>
        <v/>
      </c>
      <c r="C365" s="3" t="str">
        <f t="shared" si="1"/>
        <v/>
      </c>
    </row>
    <row r="366" ht="15.75" customHeight="1">
      <c r="B366" s="3" t="str">
        <f>IFERROR(__xludf.DUMMYFUNCTION("IFERROR(GOOGLEFINANCE(A366,""price""),"""")"),"")</f>
        <v/>
      </c>
      <c r="C366" s="3" t="str">
        <f t="shared" si="1"/>
        <v/>
      </c>
    </row>
    <row r="367" ht="15.75" customHeight="1">
      <c r="B367" s="3" t="str">
        <f>IFERROR(__xludf.DUMMYFUNCTION("IFERROR(GOOGLEFINANCE(A367,""price""),"""")"),"")</f>
        <v/>
      </c>
      <c r="C367" s="3" t="str">
        <f t="shared" si="1"/>
        <v/>
      </c>
    </row>
    <row r="368" ht="15.75" customHeight="1">
      <c r="B368" s="3" t="str">
        <f>IFERROR(__xludf.DUMMYFUNCTION("IFERROR(GOOGLEFINANCE(A368,""price""),"""")"),"")</f>
        <v/>
      </c>
      <c r="C368" s="3" t="str">
        <f t="shared" si="1"/>
        <v/>
      </c>
    </row>
    <row r="369" ht="15.75" customHeight="1">
      <c r="B369" s="3" t="str">
        <f>IFERROR(__xludf.DUMMYFUNCTION("IFERROR(GOOGLEFINANCE(A369,""price""),"""")"),"")</f>
        <v/>
      </c>
      <c r="C369" s="3" t="str">
        <f t="shared" si="1"/>
        <v/>
      </c>
    </row>
    <row r="370" ht="15.75" customHeight="1">
      <c r="B370" s="3" t="str">
        <f>IFERROR(__xludf.DUMMYFUNCTION("IFERROR(GOOGLEFINANCE(A370,""price""),"""")"),"")</f>
        <v/>
      </c>
      <c r="C370" s="3" t="str">
        <f t="shared" si="1"/>
        <v/>
      </c>
    </row>
    <row r="371" ht="15.75" customHeight="1">
      <c r="B371" s="3" t="str">
        <f>IFERROR(__xludf.DUMMYFUNCTION("IFERROR(GOOGLEFINANCE(A371,""price""),"""")"),"")</f>
        <v/>
      </c>
      <c r="C371" s="3" t="str">
        <f t="shared" si="1"/>
        <v/>
      </c>
    </row>
    <row r="372" ht="15.75" customHeight="1">
      <c r="B372" s="3" t="str">
        <f>IFERROR(__xludf.DUMMYFUNCTION("IFERROR(GOOGLEFINANCE(A372,""price""),"""")"),"")</f>
        <v/>
      </c>
      <c r="C372" s="3" t="str">
        <f t="shared" si="1"/>
        <v/>
      </c>
    </row>
    <row r="373" ht="15.75" customHeight="1">
      <c r="B373" s="3" t="str">
        <f>IFERROR(__xludf.DUMMYFUNCTION("IFERROR(GOOGLEFINANCE(A373,""price""),"""")"),"")</f>
        <v/>
      </c>
      <c r="C373" s="3" t="str">
        <f t="shared" si="1"/>
        <v/>
      </c>
    </row>
    <row r="374" ht="15.75" customHeight="1">
      <c r="B374" s="3" t="str">
        <f>IFERROR(__xludf.DUMMYFUNCTION("IFERROR(GOOGLEFINANCE(A374,""price""),"""")"),"")</f>
        <v/>
      </c>
      <c r="C374" s="3" t="str">
        <f t="shared" si="1"/>
        <v/>
      </c>
    </row>
    <row r="375" ht="15.75" customHeight="1">
      <c r="B375" s="3" t="str">
        <f>IFERROR(__xludf.DUMMYFUNCTION("IFERROR(GOOGLEFINANCE(A375,""price""),"""")"),"")</f>
        <v/>
      </c>
      <c r="C375" s="3" t="str">
        <f t="shared" si="1"/>
        <v/>
      </c>
    </row>
    <row r="376" ht="15.75" customHeight="1">
      <c r="B376" s="3" t="str">
        <f>IFERROR(__xludf.DUMMYFUNCTION("IFERROR(GOOGLEFINANCE(A376,""price""),"""")"),"")</f>
        <v/>
      </c>
      <c r="C376" s="3" t="str">
        <f t="shared" si="1"/>
        <v/>
      </c>
    </row>
    <row r="377" ht="15.75" customHeight="1">
      <c r="B377" s="3" t="str">
        <f>IFERROR(__xludf.DUMMYFUNCTION("IFERROR(GOOGLEFINANCE(A377,""price""),"""")"),"")</f>
        <v/>
      </c>
      <c r="C377" s="3" t="str">
        <f t="shared" si="1"/>
        <v/>
      </c>
    </row>
    <row r="378" ht="15.75" customHeight="1">
      <c r="B378" s="3" t="str">
        <f>IFERROR(__xludf.DUMMYFUNCTION("IFERROR(GOOGLEFINANCE(A378,""price""),"""")"),"")</f>
        <v/>
      </c>
      <c r="C378" s="3" t="str">
        <f t="shared" si="1"/>
        <v/>
      </c>
    </row>
    <row r="379" ht="15.75" customHeight="1">
      <c r="B379" s="3" t="str">
        <f>IFERROR(__xludf.DUMMYFUNCTION("IFERROR(GOOGLEFINANCE(A379,""price""),"""")"),"")</f>
        <v/>
      </c>
      <c r="C379" s="3" t="str">
        <f t="shared" si="1"/>
        <v/>
      </c>
    </row>
    <row r="380" ht="15.75" customHeight="1">
      <c r="B380" s="3" t="str">
        <f>IFERROR(__xludf.DUMMYFUNCTION("IFERROR(GOOGLEFINANCE(A380,""price""),"""")"),"")</f>
        <v/>
      </c>
      <c r="C380" s="3" t="str">
        <f t="shared" si="1"/>
        <v/>
      </c>
    </row>
    <row r="381" ht="15.75" customHeight="1">
      <c r="B381" s="3" t="str">
        <f>IFERROR(__xludf.DUMMYFUNCTION("IFERROR(GOOGLEFINANCE(A381,""price""),"""")"),"")</f>
        <v/>
      </c>
      <c r="C381" s="3" t="str">
        <f t="shared" si="1"/>
        <v/>
      </c>
    </row>
    <row r="382" ht="15.75" customHeight="1">
      <c r="B382" s="3" t="str">
        <f>IFERROR(__xludf.DUMMYFUNCTION("IFERROR(GOOGLEFINANCE(A382,""price""),"""")"),"")</f>
        <v/>
      </c>
      <c r="C382" s="3" t="str">
        <f t="shared" si="1"/>
        <v/>
      </c>
    </row>
    <row r="383" ht="15.75" customHeight="1">
      <c r="B383" s="3" t="str">
        <f>IFERROR(__xludf.DUMMYFUNCTION("IFERROR(GOOGLEFINANCE(A383,""price""),"""")"),"")</f>
        <v/>
      </c>
      <c r="C383" s="3" t="str">
        <f t="shared" si="1"/>
        <v/>
      </c>
    </row>
    <row r="384" ht="15.75" customHeight="1">
      <c r="B384" s="3" t="str">
        <f>IFERROR(__xludf.DUMMYFUNCTION("IFERROR(GOOGLEFINANCE(A384,""price""),"""")"),"")</f>
        <v/>
      </c>
      <c r="C384" s="3" t="str">
        <f t="shared" si="1"/>
        <v/>
      </c>
    </row>
    <row r="385" ht="15.75" customHeight="1">
      <c r="B385" s="3" t="str">
        <f>IFERROR(__xludf.DUMMYFUNCTION("IFERROR(GOOGLEFINANCE(A385,""price""),"""")"),"")</f>
        <v/>
      </c>
      <c r="C385" s="3" t="str">
        <f t="shared" si="1"/>
        <v/>
      </c>
    </row>
    <row r="386" ht="15.75" customHeight="1">
      <c r="B386" s="3" t="str">
        <f>IFERROR(__xludf.DUMMYFUNCTION("IFERROR(GOOGLEFINANCE(A386,""price""),"""")"),"")</f>
        <v/>
      </c>
      <c r="C386" s="3" t="str">
        <f t="shared" si="1"/>
        <v/>
      </c>
    </row>
    <row r="387" ht="15.75" customHeight="1">
      <c r="B387" s="3" t="str">
        <f>IFERROR(__xludf.DUMMYFUNCTION("IFERROR(GOOGLEFINANCE(A387,""price""),"""")"),"")</f>
        <v/>
      </c>
      <c r="C387" s="3" t="str">
        <f t="shared" si="1"/>
        <v/>
      </c>
    </row>
    <row r="388" ht="15.75" customHeight="1">
      <c r="B388" s="3" t="str">
        <f>IFERROR(__xludf.DUMMYFUNCTION("IFERROR(GOOGLEFINANCE(A388,""price""),"""")"),"")</f>
        <v/>
      </c>
      <c r="C388" s="3" t="str">
        <f t="shared" si="1"/>
        <v/>
      </c>
    </row>
    <row r="389" ht="15.75" customHeight="1">
      <c r="B389" s="3" t="str">
        <f>IFERROR(__xludf.DUMMYFUNCTION("IFERROR(GOOGLEFINANCE(A389,""price""),"""")"),"")</f>
        <v/>
      </c>
      <c r="C389" s="3" t="str">
        <f t="shared" si="1"/>
        <v/>
      </c>
    </row>
    <row r="390" ht="15.75" customHeight="1">
      <c r="B390" s="3" t="str">
        <f>IFERROR(__xludf.DUMMYFUNCTION("IFERROR(GOOGLEFINANCE(A390,""price""),"""")"),"")</f>
        <v/>
      </c>
      <c r="C390" s="3" t="str">
        <f t="shared" si="1"/>
        <v/>
      </c>
    </row>
    <row r="391" ht="15.75" customHeight="1">
      <c r="B391" s="3" t="str">
        <f>IFERROR(__xludf.DUMMYFUNCTION("IFERROR(GOOGLEFINANCE(A391,""price""),"""")"),"")</f>
        <v/>
      </c>
      <c r="C391" s="3" t="str">
        <f t="shared" si="1"/>
        <v/>
      </c>
    </row>
    <row r="392" ht="15.75" customHeight="1">
      <c r="B392" s="3" t="str">
        <f>IFERROR(__xludf.DUMMYFUNCTION("IFERROR(GOOGLEFINANCE(A392,""price""),"""")"),"")</f>
        <v/>
      </c>
      <c r="C392" s="3" t="str">
        <f t="shared" si="1"/>
        <v/>
      </c>
    </row>
    <row r="393" ht="15.75" customHeight="1">
      <c r="B393" s="3" t="str">
        <f>IFERROR(__xludf.DUMMYFUNCTION("IFERROR(GOOGLEFINANCE(A393,""price""),"""")"),"")</f>
        <v/>
      </c>
      <c r="C393" s="3" t="str">
        <f t="shared" si="1"/>
        <v/>
      </c>
    </row>
    <row r="394" ht="15.75" customHeight="1">
      <c r="B394" s="3" t="str">
        <f>IFERROR(__xludf.DUMMYFUNCTION("IFERROR(GOOGLEFINANCE(A394,""price""),"""")"),"")</f>
        <v/>
      </c>
      <c r="C394" s="3" t="str">
        <f t="shared" si="1"/>
        <v/>
      </c>
    </row>
    <row r="395" ht="15.75" customHeight="1">
      <c r="B395" s="3" t="str">
        <f>IFERROR(__xludf.DUMMYFUNCTION("IFERROR(GOOGLEFINANCE(A395,""price""),"""")"),"")</f>
        <v/>
      </c>
      <c r="C395" s="3" t="str">
        <f t="shared" si="1"/>
        <v/>
      </c>
    </row>
    <row r="396" ht="15.75" customHeight="1">
      <c r="B396" s="3" t="str">
        <f>IFERROR(__xludf.DUMMYFUNCTION("IFERROR(GOOGLEFINANCE(A396,""price""),"""")"),"")</f>
        <v/>
      </c>
      <c r="C396" s="3" t="str">
        <f t="shared" si="1"/>
        <v/>
      </c>
    </row>
    <row r="397" ht="15.75" customHeight="1">
      <c r="B397" s="3" t="str">
        <f>IFERROR(__xludf.DUMMYFUNCTION("IFERROR(GOOGLEFINANCE(A397,""price""),"""")"),"")</f>
        <v/>
      </c>
      <c r="C397" s="3" t="str">
        <f t="shared" si="1"/>
        <v/>
      </c>
    </row>
    <row r="398" ht="15.75" customHeight="1">
      <c r="B398" s="3" t="str">
        <f>IFERROR(__xludf.DUMMYFUNCTION("IFERROR(GOOGLEFINANCE(A398,""price""),"""")"),"")</f>
        <v/>
      </c>
      <c r="C398" s="3" t="str">
        <f t="shared" si="1"/>
        <v/>
      </c>
    </row>
    <row r="399" ht="15.75" customHeight="1">
      <c r="B399" s="3" t="str">
        <f>IFERROR(__xludf.DUMMYFUNCTION("IFERROR(GOOGLEFINANCE(A399,""price""),"""")"),"")</f>
        <v/>
      </c>
      <c r="C399" s="3" t="str">
        <f t="shared" si="1"/>
        <v/>
      </c>
    </row>
    <row r="400" ht="15.75" customHeight="1">
      <c r="B400" s="3" t="str">
        <f>IFERROR(__xludf.DUMMYFUNCTION("IFERROR(GOOGLEFINANCE(A400,""price""),"""")"),"")</f>
        <v/>
      </c>
      <c r="C400" s="3" t="str">
        <f t="shared" si="1"/>
        <v/>
      </c>
    </row>
    <row r="401" ht="15.75" customHeight="1">
      <c r="B401" s="3" t="str">
        <f>IFERROR(__xludf.DUMMYFUNCTION("IFERROR(GOOGLEFINANCE(A401,""price""),"""")"),"")</f>
        <v/>
      </c>
      <c r="C401" s="3" t="str">
        <f t="shared" si="1"/>
        <v/>
      </c>
    </row>
    <row r="402" ht="15.75" customHeight="1">
      <c r="B402" s="3" t="str">
        <f>IFERROR(__xludf.DUMMYFUNCTION("IFERROR(GOOGLEFINANCE(A402,""price""),"""")"),"")</f>
        <v/>
      </c>
      <c r="C402" s="3" t="str">
        <f t="shared" si="1"/>
        <v/>
      </c>
    </row>
    <row r="403" ht="15.75" customHeight="1">
      <c r="B403" s="3" t="str">
        <f>IFERROR(__xludf.DUMMYFUNCTION("IFERROR(GOOGLEFINANCE(A403,""price""),"""")"),"")</f>
        <v/>
      </c>
      <c r="C403" s="3" t="str">
        <f t="shared" si="1"/>
        <v/>
      </c>
    </row>
    <row r="404" ht="15.75" customHeight="1">
      <c r="B404" s="3" t="str">
        <f>IFERROR(__xludf.DUMMYFUNCTION("IFERROR(GOOGLEFINANCE(A404,""price""),"""")"),"")</f>
        <v/>
      </c>
      <c r="C404" s="3" t="str">
        <f t="shared" si="1"/>
        <v/>
      </c>
    </row>
    <row r="405" ht="15.75" customHeight="1">
      <c r="B405" s="3" t="str">
        <f>IFERROR(__xludf.DUMMYFUNCTION("IFERROR(GOOGLEFINANCE(A405,""price""),"""")"),"")</f>
        <v/>
      </c>
      <c r="C405" s="3" t="str">
        <f t="shared" si="1"/>
        <v/>
      </c>
    </row>
    <row r="406" ht="15.75" customHeight="1">
      <c r="B406" s="3" t="str">
        <f>IFERROR(__xludf.DUMMYFUNCTION("IFERROR(GOOGLEFINANCE(A406,""price""),"""")"),"")</f>
        <v/>
      </c>
      <c r="C406" s="3" t="str">
        <f t="shared" si="1"/>
        <v/>
      </c>
    </row>
    <row r="407" ht="15.75" customHeight="1">
      <c r="B407" s="3" t="str">
        <f>IFERROR(__xludf.DUMMYFUNCTION("IFERROR(GOOGLEFINANCE(A407,""price""),"""")"),"")</f>
        <v/>
      </c>
      <c r="C407" s="3" t="str">
        <f t="shared" si="1"/>
        <v/>
      </c>
    </row>
    <row r="408" ht="15.75" customHeight="1">
      <c r="B408" s="3" t="str">
        <f>IFERROR(__xludf.DUMMYFUNCTION("IFERROR(GOOGLEFINANCE(A408,""price""),"""")"),"")</f>
        <v/>
      </c>
      <c r="C408" s="3" t="str">
        <f t="shared" si="1"/>
        <v/>
      </c>
    </row>
    <row r="409" ht="15.75" customHeight="1">
      <c r="B409" s="3" t="str">
        <f>IFERROR(__xludf.DUMMYFUNCTION("IFERROR(GOOGLEFINANCE(A409,""price""),"""")"),"")</f>
        <v/>
      </c>
      <c r="C409" s="3" t="str">
        <f t="shared" si="1"/>
        <v/>
      </c>
    </row>
    <row r="410" ht="15.75" customHeight="1">
      <c r="B410" s="3" t="str">
        <f>IFERROR(__xludf.DUMMYFUNCTION("IFERROR(GOOGLEFINANCE(A410,""price""),"""")"),"")</f>
        <v/>
      </c>
      <c r="C410" s="3" t="str">
        <f t="shared" si="1"/>
        <v/>
      </c>
    </row>
    <row r="411" ht="15.75" customHeight="1">
      <c r="B411" s="3" t="str">
        <f>IFERROR(__xludf.DUMMYFUNCTION("IFERROR(GOOGLEFINANCE(A411,""price""),"""")"),"")</f>
        <v/>
      </c>
      <c r="C411" s="3" t="str">
        <f t="shared" si="1"/>
        <v/>
      </c>
    </row>
    <row r="412" ht="15.75" customHeight="1">
      <c r="B412" s="3" t="str">
        <f>IFERROR(__xludf.DUMMYFUNCTION("IFERROR(GOOGLEFINANCE(A412,""price""),"""")"),"")</f>
        <v/>
      </c>
      <c r="C412" s="3" t="str">
        <f t="shared" si="1"/>
        <v/>
      </c>
    </row>
    <row r="413" ht="15.75" customHeight="1">
      <c r="B413" s="3" t="str">
        <f>IFERROR(__xludf.DUMMYFUNCTION("IFERROR(GOOGLEFINANCE(A413,""price""),"""")"),"")</f>
        <v/>
      </c>
      <c r="C413" s="3" t="str">
        <f t="shared" si="1"/>
        <v/>
      </c>
    </row>
    <row r="414" ht="15.75" customHeight="1">
      <c r="B414" s="3" t="str">
        <f>IFERROR(__xludf.DUMMYFUNCTION("IFERROR(GOOGLEFINANCE(A414,""price""),"""")"),"")</f>
        <v/>
      </c>
      <c r="C414" s="3" t="str">
        <f t="shared" si="1"/>
        <v/>
      </c>
    </row>
    <row r="415" ht="15.75" customHeight="1">
      <c r="B415" s="3" t="str">
        <f>IFERROR(__xludf.DUMMYFUNCTION("IFERROR(GOOGLEFINANCE(A415,""price""),"""")"),"")</f>
        <v/>
      </c>
      <c r="C415" s="3" t="str">
        <f t="shared" si="1"/>
        <v/>
      </c>
    </row>
    <row r="416" ht="15.75" customHeight="1">
      <c r="B416" s="3" t="str">
        <f>IFERROR(__xludf.DUMMYFUNCTION("IFERROR(GOOGLEFINANCE(A416,""price""),"""")"),"")</f>
        <v/>
      </c>
      <c r="C416" s="3" t="str">
        <f t="shared" si="1"/>
        <v/>
      </c>
    </row>
    <row r="417" ht="15.75" customHeight="1">
      <c r="B417" s="3" t="str">
        <f>IFERROR(__xludf.DUMMYFUNCTION("IFERROR(GOOGLEFINANCE(A417,""price""),"""")"),"")</f>
        <v/>
      </c>
      <c r="C417" s="3" t="str">
        <f t="shared" si="1"/>
        <v/>
      </c>
    </row>
    <row r="418" ht="15.75" customHeight="1">
      <c r="B418" s="3" t="str">
        <f>IFERROR(__xludf.DUMMYFUNCTION("IFERROR(GOOGLEFINANCE(A418,""price""),"""")"),"")</f>
        <v/>
      </c>
      <c r="C418" s="3" t="str">
        <f t="shared" si="1"/>
        <v/>
      </c>
    </row>
    <row r="419" ht="15.75" customHeight="1">
      <c r="B419" s="3" t="str">
        <f>IFERROR(__xludf.DUMMYFUNCTION("IFERROR(GOOGLEFINANCE(A419,""price""),"""")"),"")</f>
        <v/>
      </c>
      <c r="C419" s="3" t="str">
        <f t="shared" si="1"/>
        <v/>
      </c>
    </row>
    <row r="420" ht="15.75" customHeight="1">
      <c r="B420" s="3" t="str">
        <f>IFERROR(__xludf.DUMMYFUNCTION("IFERROR(GOOGLEFINANCE(A420,""price""),"""")"),"")</f>
        <v/>
      </c>
      <c r="C420" s="3" t="str">
        <f t="shared" si="1"/>
        <v/>
      </c>
    </row>
    <row r="421" ht="15.75" customHeight="1">
      <c r="B421" s="3" t="str">
        <f>IFERROR(__xludf.DUMMYFUNCTION("IFERROR(GOOGLEFINANCE(A421,""price""),"""")"),"")</f>
        <v/>
      </c>
      <c r="C421" s="3" t="str">
        <f t="shared" si="1"/>
        <v/>
      </c>
    </row>
    <row r="422" ht="15.75" customHeight="1">
      <c r="B422" s="3" t="str">
        <f>IFERROR(__xludf.DUMMYFUNCTION("IFERROR(GOOGLEFINANCE(A422,""price""),"""")"),"")</f>
        <v/>
      </c>
      <c r="C422" s="3" t="str">
        <f t="shared" si="1"/>
        <v/>
      </c>
    </row>
    <row r="423" ht="15.75" customHeight="1">
      <c r="B423" s="3" t="str">
        <f>IFERROR(__xludf.DUMMYFUNCTION("IFERROR(GOOGLEFINANCE(A423,""price""),"""")"),"")</f>
        <v/>
      </c>
      <c r="C423" s="3" t="str">
        <f t="shared" si="1"/>
        <v/>
      </c>
    </row>
    <row r="424" ht="15.75" customHeight="1">
      <c r="B424" s="3" t="str">
        <f>IFERROR(__xludf.DUMMYFUNCTION("IFERROR(GOOGLEFINANCE(A424,""price""),"""")"),"")</f>
        <v/>
      </c>
      <c r="C424" s="3" t="str">
        <f t="shared" si="1"/>
        <v/>
      </c>
    </row>
    <row r="425" ht="15.75" customHeight="1">
      <c r="B425" s="3" t="str">
        <f>IFERROR(__xludf.DUMMYFUNCTION("IFERROR(GOOGLEFINANCE(A425,""price""),"""")"),"")</f>
        <v/>
      </c>
      <c r="C425" s="3" t="str">
        <f t="shared" si="1"/>
        <v/>
      </c>
    </row>
    <row r="426" ht="15.75" customHeight="1">
      <c r="B426" s="3" t="str">
        <f>IFERROR(__xludf.DUMMYFUNCTION("IFERROR(GOOGLEFINANCE(A426,""price""),"""")"),"")</f>
        <v/>
      </c>
      <c r="C426" s="3" t="str">
        <f t="shared" si="1"/>
        <v/>
      </c>
    </row>
    <row r="427" ht="15.75" customHeight="1">
      <c r="B427" s="3" t="str">
        <f>IFERROR(__xludf.DUMMYFUNCTION("IFERROR(GOOGLEFINANCE(A427,""price""),"""")"),"")</f>
        <v/>
      </c>
      <c r="C427" s="3" t="str">
        <f t="shared" si="1"/>
        <v/>
      </c>
    </row>
    <row r="428" ht="15.75" customHeight="1">
      <c r="B428" s="3" t="str">
        <f>IFERROR(__xludf.DUMMYFUNCTION("IFERROR(GOOGLEFINANCE(A428,""price""),"""")"),"")</f>
        <v/>
      </c>
      <c r="C428" s="3" t="str">
        <f t="shared" si="1"/>
        <v/>
      </c>
    </row>
    <row r="429" ht="15.75" customHeight="1">
      <c r="B429" s="3" t="str">
        <f>IFERROR(__xludf.DUMMYFUNCTION("IFERROR(GOOGLEFINANCE(A429,""price""),"""")"),"")</f>
        <v/>
      </c>
      <c r="C429" s="3" t="str">
        <f t="shared" si="1"/>
        <v/>
      </c>
    </row>
    <row r="430" ht="15.75" customHeight="1">
      <c r="B430" s="3" t="str">
        <f>IFERROR(__xludf.DUMMYFUNCTION("IFERROR(GOOGLEFINANCE(A430,""price""),"""")"),"")</f>
        <v/>
      </c>
      <c r="C430" s="3" t="str">
        <f t="shared" si="1"/>
        <v/>
      </c>
    </row>
    <row r="431" ht="15.75" customHeight="1">
      <c r="B431" s="3" t="str">
        <f>IFERROR(__xludf.DUMMYFUNCTION("IFERROR(GOOGLEFINANCE(A431,""price""),"""")"),"")</f>
        <v/>
      </c>
      <c r="C431" s="3" t="str">
        <f t="shared" si="1"/>
        <v/>
      </c>
    </row>
    <row r="432" ht="15.75" customHeight="1">
      <c r="B432" s="3" t="str">
        <f>IFERROR(__xludf.DUMMYFUNCTION("IFERROR(GOOGLEFINANCE(A432,""price""),"""")"),"")</f>
        <v/>
      </c>
      <c r="C432" s="3" t="str">
        <f t="shared" si="1"/>
        <v/>
      </c>
    </row>
    <row r="433" ht="15.75" customHeight="1">
      <c r="B433" s="3" t="str">
        <f>IFERROR(__xludf.DUMMYFUNCTION("IFERROR(GOOGLEFINANCE(A433,""price""),"""")"),"")</f>
        <v/>
      </c>
      <c r="C433" s="3" t="str">
        <f t="shared" si="1"/>
        <v/>
      </c>
    </row>
    <row r="434" ht="15.75" customHeight="1">
      <c r="B434" s="3" t="str">
        <f>IFERROR(__xludf.DUMMYFUNCTION("IFERROR(GOOGLEFINANCE(A434,""price""),"""")"),"")</f>
        <v/>
      </c>
      <c r="C434" s="3" t="str">
        <f t="shared" si="1"/>
        <v/>
      </c>
    </row>
    <row r="435" ht="15.75" customHeight="1">
      <c r="B435" s="3" t="str">
        <f>IFERROR(__xludf.DUMMYFUNCTION("IFERROR(GOOGLEFINANCE(A435,""price""),"""")"),"")</f>
        <v/>
      </c>
      <c r="C435" s="3" t="str">
        <f t="shared" si="1"/>
        <v/>
      </c>
    </row>
    <row r="436" ht="15.75" customHeight="1">
      <c r="B436" s="3" t="str">
        <f>IFERROR(__xludf.DUMMYFUNCTION("IFERROR(GOOGLEFINANCE(A436,""price""),"""")"),"")</f>
        <v/>
      </c>
      <c r="C436" s="3" t="str">
        <f t="shared" si="1"/>
        <v/>
      </c>
    </row>
    <row r="437" ht="15.75" customHeight="1">
      <c r="B437" s="3" t="str">
        <f>IFERROR(__xludf.DUMMYFUNCTION("IFERROR(GOOGLEFINANCE(A437,""price""),"""")"),"")</f>
        <v/>
      </c>
      <c r="C437" s="3" t="str">
        <f t="shared" si="1"/>
        <v/>
      </c>
    </row>
    <row r="438" ht="15.75" customHeight="1">
      <c r="B438" s="3" t="str">
        <f>IFERROR(__xludf.DUMMYFUNCTION("IFERROR(GOOGLEFINANCE(A438,""price""),"""")"),"")</f>
        <v/>
      </c>
      <c r="C438" s="3" t="str">
        <f t="shared" si="1"/>
        <v/>
      </c>
    </row>
    <row r="439" ht="15.75" customHeight="1">
      <c r="B439" s="3" t="str">
        <f>IFERROR(__xludf.DUMMYFUNCTION("IFERROR(GOOGLEFINANCE(A439,""price""),"""")"),"")</f>
        <v/>
      </c>
      <c r="C439" s="3" t="str">
        <f t="shared" si="1"/>
        <v/>
      </c>
    </row>
    <row r="440" ht="15.75" customHeight="1">
      <c r="B440" s="3" t="str">
        <f>IFERROR(__xludf.DUMMYFUNCTION("IFERROR(GOOGLEFINANCE(A440,""price""),"""")"),"")</f>
        <v/>
      </c>
      <c r="C440" s="3" t="str">
        <f t="shared" si="1"/>
        <v/>
      </c>
    </row>
    <row r="441" ht="15.75" customHeight="1">
      <c r="B441" s="3" t="str">
        <f>IFERROR(__xludf.DUMMYFUNCTION("IFERROR(GOOGLEFINANCE(A441,""price""),"""")"),"")</f>
        <v/>
      </c>
      <c r="C441" s="3" t="str">
        <f t="shared" si="1"/>
        <v/>
      </c>
    </row>
    <row r="442" ht="15.75" customHeight="1">
      <c r="B442" s="3" t="str">
        <f>IFERROR(__xludf.DUMMYFUNCTION("IFERROR(GOOGLEFINANCE(A442,""price""),"""")"),"")</f>
        <v/>
      </c>
      <c r="C442" s="3" t="str">
        <f t="shared" si="1"/>
        <v/>
      </c>
    </row>
    <row r="443" ht="15.75" customHeight="1">
      <c r="B443" s="3" t="str">
        <f>IFERROR(__xludf.DUMMYFUNCTION("IFERROR(GOOGLEFINANCE(A443,""price""),"""")"),"")</f>
        <v/>
      </c>
      <c r="C443" s="3" t="str">
        <f t="shared" si="1"/>
        <v/>
      </c>
    </row>
    <row r="444" ht="15.75" customHeight="1">
      <c r="B444" s="3" t="str">
        <f>IFERROR(__xludf.DUMMYFUNCTION("IFERROR(GOOGLEFINANCE(A444,""price""),"""")"),"")</f>
        <v/>
      </c>
      <c r="C444" s="3" t="str">
        <f t="shared" si="1"/>
        <v/>
      </c>
    </row>
    <row r="445" ht="15.75" customHeight="1">
      <c r="B445" s="3" t="str">
        <f>IFERROR(__xludf.DUMMYFUNCTION("IFERROR(GOOGLEFINANCE(A445,""price""),"""")"),"")</f>
        <v/>
      </c>
      <c r="C445" s="3" t="str">
        <f t="shared" si="1"/>
        <v/>
      </c>
    </row>
    <row r="446" ht="15.75" customHeight="1">
      <c r="B446" s="3" t="str">
        <f>IFERROR(__xludf.DUMMYFUNCTION("IFERROR(GOOGLEFINANCE(A446,""price""),"""")"),"")</f>
        <v/>
      </c>
      <c r="C446" s="3" t="str">
        <f t="shared" si="1"/>
        <v/>
      </c>
    </row>
    <row r="447" ht="15.75" customHeight="1">
      <c r="B447" s="3" t="str">
        <f>IFERROR(__xludf.DUMMYFUNCTION("IFERROR(GOOGLEFINANCE(A447,""price""),"""")"),"")</f>
        <v/>
      </c>
      <c r="C447" s="3" t="str">
        <f t="shared" si="1"/>
        <v/>
      </c>
    </row>
    <row r="448" ht="15.75" customHeight="1">
      <c r="B448" s="3" t="str">
        <f>IFERROR(__xludf.DUMMYFUNCTION("IFERROR(GOOGLEFINANCE(A448,""price""),"""")"),"")</f>
        <v/>
      </c>
      <c r="C448" s="3" t="str">
        <f t="shared" si="1"/>
        <v/>
      </c>
    </row>
    <row r="449" ht="15.75" customHeight="1">
      <c r="B449" s="3" t="str">
        <f>IFERROR(__xludf.DUMMYFUNCTION("IFERROR(GOOGLEFINANCE(A449,""price""),"""")"),"")</f>
        <v/>
      </c>
      <c r="C449" s="3" t="str">
        <f t="shared" si="1"/>
        <v/>
      </c>
    </row>
    <row r="450" ht="15.75" customHeight="1">
      <c r="B450" s="3" t="str">
        <f>IFERROR(__xludf.DUMMYFUNCTION("IFERROR(GOOGLEFINANCE(A450,""price""),"""")"),"")</f>
        <v/>
      </c>
      <c r="C450" s="3" t="str">
        <f t="shared" si="1"/>
        <v/>
      </c>
    </row>
    <row r="451" ht="15.75" customHeight="1">
      <c r="B451" s="3" t="str">
        <f>IFERROR(__xludf.DUMMYFUNCTION("IFERROR(GOOGLEFINANCE(A451,""price""),"""")"),"")</f>
        <v/>
      </c>
      <c r="C451" s="3" t="str">
        <f t="shared" si="1"/>
        <v/>
      </c>
    </row>
    <row r="452" ht="15.75" customHeight="1">
      <c r="B452" s="3" t="str">
        <f>IFERROR(__xludf.DUMMYFUNCTION("IFERROR(GOOGLEFINANCE(A452,""price""),"""")"),"")</f>
        <v/>
      </c>
      <c r="C452" s="3" t="str">
        <f t="shared" si="1"/>
        <v/>
      </c>
    </row>
    <row r="453" ht="15.75" customHeight="1">
      <c r="B453" s="3" t="str">
        <f>IFERROR(__xludf.DUMMYFUNCTION("IFERROR(GOOGLEFINANCE(A453,""price""),"""")"),"")</f>
        <v/>
      </c>
      <c r="C453" s="3" t="str">
        <f t="shared" si="1"/>
        <v/>
      </c>
    </row>
    <row r="454" ht="15.75" customHeight="1">
      <c r="B454" s="3" t="str">
        <f>IFERROR(__xludf.DUMMYFUNCTION("IFERROR(GOOGLEFINANCE(A454,""price""),"""")"),"")</f>
        <v/>
      </c>
      <c r="C454" s="3" t="str">
        <f t="shared" si="1"/>
        <v/>
      </c>
    </row>
    <row r="455" ht="15.75" customHeight="1">
      <c r="B455" s="3" t="str">
        <f>IFERROR(__xludf.DUMMYFUNCTION("IFERROR(GOOGLEFINANCE(A455,""price""),"""")"),"")</f>
        <v/>
      </c>
      <c r="C455" s="3" t="str">
        <f t="shared" si="1"/>
        <v/>
      </c>
    </row>
    <row r="456" ht="15.75" customHeight="1">
      <c r="B456" s="3" t="str">
        <f>IFERROR(__xludf.DUMMYFUNCTION("IFERROR(GOOGLEFINANCE(A456,""price""),"""")"),"")</f>
        <v/>
      </c>
      <c r="C456" s="3" t="str">
        <f t="shared" si="1"/>
        <v/>
      </c>
    </row>
    <row r="457" ht="15.75" customHeight="1">
      <c r="B457" s="3" t="str">
        <f>IFERROR(__xludf.DUMMYFUNCTION("IFERROR(GOOGLEFINANCE(A457,""price""),"""")"),"")</f>
        <v/>
      </c>
      <c r="C457" s="3" t="str">
        <f t="shared" si="1"/>
        <v/>
      </c>
    </row>
    <row r="458" ht="15.75" customHeight="1">
      <c r="B458" s="3" t="str">
        <f>IFERROR(__xludf.DUMMYFUNCTION("IFERROR(GOOGLEFINANCE(A458,""price""),"""")"),"")</f>
        <v/>
      </c>
      <c r="C458" s="3" t="str">
        <f t="shared" si="1"/>
        <v/>
      </c>
    </row>
    <row r="459" ht="15.75" customHeight="1">
      <c r="B459" s="3" t="str">
        <f>IFERROR(__xludf.DUMMYFUNCTION("IFERROR(GOOGLEFINANCE(A459,""price""),"""")"),"")</f>
        <v/>
      </c>
      <c r="C459" s="3" t="str">
        <f t="shared" si="1"/>
        <v/>
      </c>
    </row>
    <row r="460" ht="15.75" customHeight="1">
      <c r="B460" s="3" t="str">
        <f>IFERROR(__xludf.DUMMYFUNCTION("IFERROR(GOOGLEFINANCE(A460,""price""),"""")"),"")</f>
        <v/>
      </c>
      <c r="C460" s="3" t="str">
        <f t="shared" si="1"/>
        <v/>
      </c>
    </row>
    <row r="461" ht="15.75" customHeight="1">
      <c r="B461" s="3" t="str">
        <f>IFERROR(__xludf.DUMMYFUNCTION("IFERROR(GOOGLEFINANCE(A461,""price""),"""")"),"")</f>
        <v/>
      </c>
      <c r="C461" s="3" t="str">
        <f t="shared" si="1"/>
        <v/>
      </c>
    </row>
    <row r="462" ht="15.75" customHeight="1">
      <c r="B462" s="3" t="str">
        <f>IFERROR(__xludf.DUMMYFUNCTION("IFERROR(GOOGLEFINANCE(A462,""price""),"""")"),"")</f>
        <v/>
      </c>
      <c r="C462" s="3" t="str">
        <f t="shared" si="1"/>
        <v/>
      </c>
    </row>
    <row r="463" ht="15.75" customHeight="1">
      <c r="B463" s="3" t="str">
        <f>IFERROR(__xludf.DUMMYFUNCTION("IFERROR(GOOGLEFINANCE(A463,""price""),"""")"),"")</f>
        <v/>
      </c>
      <c r="C463" s="3" t="str">
        <f t="shared" si="1"/>
        <v/>
      </c>
    </row>
    <row r="464" ht="15.75" customHeight="1">
      <c r="B464" s="3" t="str">
        <f>IFERROR(__xludf.DUMMYFUNCTION("IFERROR(GOOGLEFINANCE(A464,""price""),"""")"),"")</f>
        <v/>
      </c>
      <c r="C464" s="3" t="str">
        <f t="shared" si="1"/>
        <v/>
      </c>
    </row>
    <row r="465" ht="15.75" customHeight="1">
      <c r="B465" s="3" t="str">
        <f>IFERROR(__xludf.DUMMYFUNCTION("IFERROR(GOOGLEFINANCE(A465,""price""),"""")"),"")</f>
        <v/>
      </c>
      <c r="C465" s="3" t="str">
        <f t="shared" si="1"/>
        <v/>
      </c>
    </row>
    <row r="466" ht="15.75" customHeight="1">
      <c r="B466" s="3" t="str">
        <f>IFERROR(__xludf.DUMMYFUNCTION("IFERROR(GOOGLEFINANCE(A466,""price""),"""")"),"")</f>
        <v/>
      </c>
      <c r="C466" s="3" t="str">
        <f t="shared" si="1"/>
        <v/>
      </c>
    </row>
    <row r="467" ht="15.75" customHeight="1">
      <c r="B467" s="3" t="str">
        <f>IFERROR(__xludf.DUMMYFUNCTION("IFERROR(GOOGLEFINANCE(A467,""price""),"""")"),"")</f>
        <v/>
      </c>
      <c r="C467" s="3" t="str">
        <f t="shared" si="1"/>
        <v/>
      </c>
    </row>
    <row r="468" ht="15.75" customHeight="1">
      <c r="B468" s="3" t="str">
        <f>IFERROR(__xludf.DUMMYFUNCTION("IFERROR(GOOGLEFINANCE(A468,""price""),"""")"),"")</f>
        <v/>
      </c>
      <c r="C468" s="3" t="str">
        <f t="shared" si="1"/>
        <v/>
      </c>
    </row>
    <row r="469" ht="15.75" customHeight="1">
      <c r="B469" s="3" t="str">
        <f>IFERROR(__xludf.DUMMYFUNCTION("IFERROR(GOOGLEFINANCE(A469,""price""),"""")"),"")</f>
        <v/>
      </c>
      <c r="C469" s="3" t="str">
        <f t="shared" si="1"/>
        <v/>
      </c>
    </row>
    <row r="470" ht="15.75" customHeight="1">
      <c r="B470" s="3" t="str">
        <f>IFERROR(__xludf.DUMMYFUNCTION("IFERROR(GOOGLEFINANCE(A470,""price""),"""")"),"")</f>
        <v/>
      </c>
      <c r="C470" s="3" t="str">
        <f t="shared" si="1"/>
        <v/>
      </c>
    </row>
    <row r="471" ht="15.75" customHeight="1">
      <c r="B471" s="3" t="str">
        <f>IFERROR(__xludf.DUMMYFUNCTION("IFERROR(GOOGLEFINANCE(A471,""price""),"""")"),"")</f>
        <v/>
      </c>
      <c r="C471" s="3" t="str">
        <f t="shared" si="1"/>
        <v/>
      </c>
    </row>
    <row r="472" ht="15.75" customHeight="1">
      <c r="B472" s="3" t="str">
        <f>IFERROR(__xludf.DUMMYFUNCTION("IFERROR(GOOGLEFINANCE(A472,""price""),"""")"),"")</f>
        <v/>
      </c>
      <c r="C472" s="3" t="str">
        <f t="shared" si="1"/>
        <v/>
      </c>
    </row>
    <row r="473" ht="15.75" customHeight="1">
      <c r="B473" s="3" t="str">
        <f>IFERROR(__xludf.DUMMYFUNCTION("IFERROR(GOOGLEFINANCE(A473,""price""),"""")"),"")</f>
        <v/>
      </c>
      <c r="C473" s="3" t="str">
        <f t="shared" si="1"/>
        <v/>
      </c>
    </row>
    <row r="474" ht="15.75" customHeight="1">
      <c r="B474" s="3" t="str">
        <f>IFERROR(__xludf.DUMMYFUNCTION("IFERROR(GOOGLEFINANCE(A474,""price""),"""")"),"")</f>
        <v/>
      </c>
      <c r="C474" s="3" t="str">
        <f t="shared" si="1"/>
        <v/>
      </c>
    </row>
    <row r="475" ht="15.75" customHeight="1">
      <c r="B475" s="3" t="str">
        <f>IFERROR(__xludf.DUMMYFUNCTION("IFERROR(GOOGLEFINANCE(A475,""price""),"""")"),"")</f>
        <v/>
      </c>
      <c r="C475" s="3" t="str">
        <f t="shared" si="1"/>
        <v/>
      </c>
    </row>
    <row r="476" ht="15.75" customHeight="1">
      <c r="B476" s="3" t="str">
        <f>IFERROR(__xludf.DUMMYFUNCTION("IFERROR(GOOGLEFINANCE(A476,""price""),"""")"),"")</f>
        <v/>
      </c>
      <c r="C476" s="3" t="str">
        <f t="shared" si="1"/>
        <v/>
      </c>
    </row>
    <row r="477" ht="15.75" customHeight="1">
      <c r="B477" s="3" t="str">
        <f>IFERROR(__xludf.DUMMYFUNCTION("IFERROR(GOOGLEFINANCE(A477,""price""),"""")"),"")</f>
        <v/>
      </c>
      <c r="C477" s="3" t="str">
        <f t="shared" si="1"/>
        <v/>
      </c>
    </row>
    <row r="478" ht="15.75" customHeight="1">
      <c r="B478" s="3" t="str">
        <f>IFERROR(__xludf.DUMMYFUNCTION("IFERROR(GOOGLEFINANCE(A478,""price""),"""")"),"")</f>
        <v/>
      </c>
      <c r="C478" s="3" t="str">
        <f t="shared" si="1"/>
        <v/>
      </c>
    </row>
    <row r="479" ht="15.75" customHeight="1">
      <c r="B479" s="3" t="str">
        <f>IFERROR(__xludf.DUMMYFUNCTION("IFERROR(GOOGLEFINANCE(A479,""price""),"""")"),"")</f>
        <v/>
      </c>
      <c r="C479" s="3" t="str">
        <f t="shared" si="1"/>
        <v/>
      </c>
    </row>
    <row r="480" ht="15.75" customHeight="1">
      <c r="B480" s="3" t="str">
        <f>IFERROR(__xludf.DUMMYFUNCTION("IFERROR(GOOGLEFINANCE(A480,""price""),"""")"),"")</f>
        <v/>
      </c>
      <c r="C480" s="3" t="str">
        <f t="shared" si="1"/>
        <v/>
      </c>
    </row>
    <row r="481" ht="15.75" customHeight="1">
      <c r="B481" s="3" t="str">
        <f>IFERROR(__xludf.DUMMYFUNCTION("IFERROR(GOOGLEFINANCE(A481,""price""),"""")"),"")</f>
        <v/>
      </c>
      <c r="C481" s="3" t="str">
        <f t="shared" si="1"/>
        <v/>
      </c>
    </row>
    <row r="482" ht="15.75" customHeight="1">
      <c r="B482" s="3" t="str">
        <f>IFERROR(__xludf.DUMMYFUNCTION("IFERROR(GOOGLEFINANCE(A482,""price""),"""")"),"")</f>
        <v/>
      </c>
      <c r="C482" s="3" t="str">
        <f t="shared" si="1"/>
        <v/>
      </c>
    </row>
    <row r="483" ht="15.75" customHeight="1">
      <c r="B483" s="3" t="str">
        <f>IFERROR(__xludf.DUMMYFUNCTION("IFERROR(GOOGLEFINANCE(A483,""price""),"""")"),"")</f>
        <v/>
      </c>
      <c r="C483" s="3" t="str">
        <f t="shared" si="1"/>
        <v/>
      </c>
    </row>
    <row r="484" ht="15.75" customHeight="1">
      <c r="B484" s="3" t="str">
        <f>IFERROR(__xludf.DUMMYFUNCTION("IFERROR(GOOGLEFINANCE(A484,""price""),"""")"),"")</f>
        <v/>
      </c>
      <c r="C484" s="3" t="str">
        <f t="shared" si="1"/>
        <v/>
      </c>
    </row>
    <row r="485" ht="15.75" customHeight="1">
      <c r="B485" s="3" t="str">
        <f>IFERROR(__xludf.DUMMYFUNCTION("IFERROR(GOOGLEFINANCE(A485,""price""),"""")"),"")</f>
        <v/>
      </c>
      <c r="C485" s="3" t="str">
        <f t="shared" si="1"/>
        <v/>
      </c>
    </row>
    <row r="486" ht="15.75" customHeight="1">
      <c r="B486" s="3" t="str">
        <f>IFERROR(__xludf.DUMMYFUNCTION("IFERROR(GOOGLEFINANCE(A486,""price""),"""")"),"")</f>
        <v/>
      </c>
      <c r="C486" s="3" t="str">
        <f t="shared" si="1"/>
        <v/>
      </c>
    </row>
    <row r="487" ht="15.75" customHeight="1">
      <c r="B487" s="3" t="str">
        <f>IFERROR(__xludf.DUMMYFUNCTION("IFERROR(GOOGLEFINANCE(A487,""price""),"""")"),"")</f>
        <v/>
      </c>
      <c r="C487" s="3" t="str">
        <f t="shared" si="1"/>
        <v/>
      </c>
    </row>
    <row r="488" ht="15.75" customHeight="1">
      <c r="B488" s="3" t="str">
        <f>IFERROR(__xludf.DUMMYFUNCTION("IFERROR(GOOGLEFINANCE(A488,""price""),"""")"),"")</f>
        <v/>
      </c>
      <c r="C488" s="3" t="str">
        <f t="shared" si="1"/>
        <v/>
      </c>
    </row>
    <row r="489" ht="15.75" customHeight="1">
      <c r="B489" s="3" t="str">
        <f>IFERROR(__xludf.DUMMYFUNCTION("IFERROR(GOOGLEFINANCE(A489,""price""),"""")"),"")</f>
        <v/>
      </c>
      <c r="C489" s="3" t="str">
        <f t="shared" si="1"/>
        <v/>
      </c>
    </row>
    <row r="490" ht="15.75" customHeight="1">
      <c r="B490" s="3" t="str">
        <f>IFERROR(__xludf.DUMMYFUNCTION("IFERROR(GOOGLEFINANCE(A490,""price""),"""")"),"")</f>
        <v/>
      </c>
      <c r="C490" s="3" t="str">
        <f t="shared" si="1"/>
        <v/>
      </c>
    </row>
    <row r="491" ht="15.75" customHeight="1">
      <c r="B491" s="3" t="str">
        <f>IFERROR(__xludf.DUMMYFUNCTION("IFERROR(GOOGLEFINANCE(A491,""price""),"""")"),"")</f>
        <v/>
      </c>
      <c r="C491" s="3" t="str">
        <f t="shared" si="1"/>
        <v/>
      </c>
    </row>
    <row r="492" ht="15.75" customHeight="1">
      <c r="B492" s="3" t="str">
        <f>IFERROR(__xludf.DUMMYFUNCTION("IFERROR(GOOGLEFINANCE(A492,""price""),"""")"),"")</f>
        <v/>
      </c>
      <c r="C492" s="3" t="str">
        <f t="shared" si="1"/>
        <v/>
      </c>
    </row>
    <row r="493" ht="15.75" customHeight="1">
      <c r="B493" s="3" t="str">
        <f>IFERROR(__xludf.DUMMYFUNCTION("IFERROR(GOOGLEFINANCE(A493,""price""),"""")"),"")</f>
        <v/>
      </c>
      <c r="C493" s="3" t="str">
        <f t="shared" si="1"/>
        <v/>
      </c>
    </row>
    <row r="494" ht="15.75" customHeight="1">
      <c r="B494" s="3" t="str">
        <f>IFERROR(__xludf.DUMMYFUNCTION("IFERROR(GOOGLEFINANCE(A494,""price""),"""")"),"")</f>
        <v/>
      </c>
      <c r="C494" s="3" t="str">
        <f t="shared" si="1"/>
        <v/>
      </c>
    </row>
    <row r="495" ht="15.75" customHeight="1">
      <c r="B495" s="3" t="str">
        <f>IFERROR(__xludf.DUMMYFUNCTION("IFERROR(GOOGLEFINANCE(A495,""price""),"""")"),"")</f>
        <v/>
      </c>
      <c r="C495" s="3" t="str">
        <f t="shared" si="1"/>
        <v/>
      </c>
    </row>
    <row r="496" ht="15.75" customHeight="1">
      <c r="B496" s="3" t="str">
        <f>IFERROR(__xludf.DUMMYFUNCTION("IFERROR(GOOGLEFINANCE(A496,""price""),"""")"),"")</f>
        <v/>
      </c>
      <c r="C496" s="3" t="str">
        <f t="shared" si="1"/>
        <v/>
      </c>
    </row>
    <row r="497" ht="15.75" customHeight="1">
      <c r="B497" s="3" t="str">
        <f>IFERROR(__xludf.DUMMYFUNCTION("IFERROR(GOOGLEFINANCE(A497,""price""),"""")"),"")</f>
        <v/>
      </c>
      <c r="C497" s="3" t="str">
        <f t="shared" si="1"/>
        <v/>
      </c>
    </row>
    <row r="498" ht="15.75" customHeight="1">
      <c r="B498" s="3" t="str">
        <f>IFERROR(__xludf.DUMMYFUNCTION("IFERROR(GOOGLEFINANCE(A498,""price""),"""")"),"")</f>
        <v/>
      </c>
      <c r="C498" s="3" t="str">
        <f t="shared" si="1"/>
        <v/>
      </c>
    </row>
    <row r="499" ht="15.75" customHeight="1">
      <c r="B499" s="3" t="str">
        <f>IFERROR(__xludf.DUMMYFUNCTION("IFERROR(GOOGLEFINANCE(A499,""price""),"""")"),"")</f>
        <v/>
      </c>
      <c r="C499" s="3" t="str">
        <f t="shared" si="1"/>
        <v/>
      </c>
    </row>
    <row r="500" ht="15.75" customHeight="1">
      <c r="B500" s="3" t="str">
        <f>IFERROR(__xludf.DUMMYFUNCTION("IFERROR(GOOGLEFINANCE(A500,""price""),"""")"),"")</f>
        <v/>
      </c>
      <c r="C500" s="3" t="str">
        <f t="shared" si="1"/>
        <v/>
      </c>
    </row>
    <row r="501" ht="15.75" customHeight="1">
      <c r="B501" s="3" t="str">
        <f>IFERROR(__xludf.DUMMYFUNCTION("IFERROR(GOOGLEFINANCE(A501,""price""),"""")"),"")</f>
        <v/>
      </c>
      <c r="C501" s="3" t="str">
        <f t="shared" si="1"/>
        <v/>
      </c>
    </row>
    <row r="502" ht="15.75" customHeight="1">
      <c r="B502" s="3" t="str">
        <f>IFERROR(__xludf.DUMMYFUNCTION("IFERROR(GOOGLEFINANCE(A502,""price""),"""")"),"")</f>
        <v/>
      </c>
      <c r="C502" s="3" t="str">
        <f t="shared" si="1"/>
        <v/>
      </c>
    </row>
    <row r="503" ht="15.75" customHeight="1">
      <c r="B503" s="3" t="str">
        <f>IFERROR(__xludf.DUMMYFUNCTION("IFERROR(GOOGLEFINANCE(A503,""price""),"""")"),"")</f>
        <v/>
      </c>
      <c r="C503" s="3" t="str">
        <f t="shared" si="1"/>
        <v/>
      </c>
    </row>
    <row r="504" ht="15.75" customHeight="1">
      <c r="B504" s="3" t="str">
        <f>IFERROR(__xludf.DUMMYFUNCTION("IFERROR(GOOGLEFINANCE(A504,""price""),"""")"),"")</f>
        <v/>
      </c>
      <c r="C504" s="3" t="str">
        <f t="shared" si="1"/>
        <v/>
      </c>
    </row>
    <row r="505" ht="15.75" customHeight="1">
      <c r="B505" s="3" t="str">
        <f>IFERROR(__xludf.DUMMYFUNCTION("IFERROR(GOOGLEFINANCE(A505,""price""),"""")"),"")</f>
        <v/>
      </c>
      <c r="C505" s="3" t="str">
        <f t="shared" si="1"/>
        <v/>
      </c>
    </row>
    <row r="506" ht="15.75" customHeight="1">
      <c r="B506" s="3" t="str">
        <f>IFERROR(__xludf.DUMMYFUNCTION("IFERROR(GOOGLEFINANCE(A506,""price""),"""")"),"")</f>
        <v/>
      </c>
      <c r="C506" s="3" t="str">
        <f t="shared" si="1"/>
        <v/>
      </c>
    </row>
    <row r="507" ht="15.75" customHeight="1">
      <c r="B507" s="3" t="str">
        <f>IFERROR(__xludf.DUMMYFUNCTION("IFERROR(GOOGLEFINANCE(A507,""price""),"""")"),"")</f>
        <v/>
      </c>
      <c r="C507" s="3" t="str">
        <f t="shared" si="1"/>
        <v/>
      </c>
    </row>
    <row r="508" ht="15.75" customHeight="1">
      <c r="B508" s="3" t="str">
        <f>IFERROR(__xludf.DUMMYFUNCTION("IFERROR(GOOGLEFINANCE(A508,""price""),"""")"),"")</f>
        <v/>
      </c>
      <c r="C508" s="3" t="str">
        <f t="shared" si="1"/>
        <v/>
      </c>
    </row>
    <row r="509" ht="15.75" customHeight="1">
      <c r="B509" s="3" t="str">
        <f>IFERROR(__xludf.DUMMYFUNCTION("IFERROR(GOOGLEFINANCE(A509,""price""),"""")"),"")</f>
        <v/>
      </c>
      <c r="C509" s="3" t="str">
        <f t="shared" si="1"/>
        <v/>
      </c>
    </row>
    <row r="510" ht="15.75" customHeight="1">
      <c r="B510" s="3" t="str">
        <f>IFERROR(__xludf.DUMMYFUNCTION("IFERROR(GOOGLEFINANCE(A510,""price""),"""")"),"")</f>
        <v/>
      </c>
      <c r="C510" s="3" t="str">
        <f t="shared" si="1"/>
        <v/>
      </c>
    </row>
    <row r="511" ht="15.75" customHeight="1">
      <c r="B511" s="3" t="str">
        <f>IFERROR(__xludf.DUMMYFUNCTION("IFERROR(GOOGLEFINANCE(A511,""price""),"""")"),"")</f>
        <v/>
      </c>
      <c r="C511" s="3" t="str">
        <f t="shared" si="1"/>
        <v/>
      </c>
    </row>
    <row r="512" ht="15.75" customHeight="1">
      <c r="B512" s="3" t="str">
        <f>IFERROR(__xludf.DUMMYFUNCTION("IFERROR(GOOGLEFINANCE(A512,""price""),"""")"),"")</f>
        <v/>
      </c>
      <c r="C512" s="3" t="str">
        <f t="shared" si="1"/>
        <v/>
      </c>
    </row>
    <row r="513" ht="15.75" customHeight="1">
      <c r="B513" s="3" t="str">
        <f>IFERROR(__xludf.DUMMYFUNCTION("IFERROR(GOOGLEFINANCE(A513,""price""),"""")"),"")</f>
        <v/>
      </c>
      <c r="C513" s="3" t="str">
        <f t="shared" si="1"/>
        <v/>
      </c>
    </row>
    <row r="514" ht="15.75" customHeight="1">
      <c r="B514" s="3" t="str">
        <f>IFERROR(__xludf.DUMMYFUNCTION("IFERROR(GOOGLEFINANCE(A514,""price""),"""")"),"")</f>
        <v/>
      </c>
      <c r="C514" s="3" t="str">
        <f t="shared" si="1"/>
        <v/>
      </c>
    </row>
    <row r="515" ht="15.75" customHeight="1">
      <c r="B515" s="3" t="str">
        <f>IFERROR(__xludf.DUMMYFUNCTION("IFERROR(GOOGLEFINANCE(A515,""price""),"""")"),"")</f>
        <v/>
      </c>
      <c r="C515" s="3" t="str">
        <f t="shared" si="1"/>
        <v/>
      </c>
    </row>
    <row r="516" ht="15.75" customHeight="1">
      <c r="B516" s="3" t="str">
        <f>IFERROR(__xludf.DUMMYFUNCTION("IFERROR(GOOGLEFINANCE(A516,""price""),"""")"),"")</f>
        <v/>
      </c>
      <c r="C516" s="3" t="str">
        <f t="shared" si="1"/>
        <v/>
      </c>
    </row>
    <row r="517" ht="15.75" customHeight="1">
      <c r="B517" s="3" t="str">
        <f>IFERROR(__xludf.DUMMYFUNCTION("IFERROR(GOOGLEFINANCE(A517,""price""),"""")"),"")</f>
        <v/>
      </c>
      <c r="C517" s="3" t="str">
        <f t="shared" si="1"/>
        <v/>
      </c>
    </row>
    <row r="518" ht="15.75" customHeight="1">
      <c r="B518" s="3" t="str">
        <f>IFERROR(__xludf.DUMMYFUNCTION("IFERROR(GOOGLEFINANCE(A518,""price""),"""")"),"")</f>
        <v/>
      </c>
      <c r="C518" s="3" t="str">
        <f t="shared" si="1"/>
        <v/>
      </c>
    </row>
    <row r="519" ht="15.75" customHeight="1">
      <c r="B519" s="3" t="str">
        <f>IFERROR(__xludf.DUMMYFUNCTION("IFERROR(GOOGLEFINANCE(A519,""price""),"""")"),"")</f>
        <v/>
      </c>
      <c r="C519" s="3" t="str">
        <f t="shared" si="1"/>
        <v/>
      </c>
    </row>
    <row r="520" ht="15.75" customHeight="1">
      <c r="B520" s="3" t="str">
        <f>IFERROR(__xludf.DUMMYFUNCTION("IFERROR(GOOGLEFINANCE(A520,""price""),"""")"),"")</f>
        <v/>
      </c>
      <c r="C520" s="3" t="str">
        <f t="shared" si="1"/>
        <v/>
      </c>
    </row>
    <row r="521" ht="15.75" customHeight="1">
      <c r="B521" s="3" t="str">
        <f>IFERROR(__xludf.DUMMYFUNCTION("IFERROR(GOOGLEFINANCE(A521,""price""),"""")"),"")</f>
        <v/>
      </c>
      <c r="C521" s="3" t="str">
        <f t="shared" si="1"/>
        <v/>
      </c>
    </row>
    <row r="522" ht="15.75" customHeight="1">
      <c r="B522" s="3" t="str">
        <f>IFERROR(__xludf.DUMMYFUNCTION("IFERROR(GOOGLEFINANCE(A522,""price""),"""")"),"")</f>
        <v/>
      </c>
      <c r="C522" s="3" t="str">
        <f t="shared" si="1"/>
        <v/>
      </c>
    </row>
    <row r="523" ht="15.75" customHeight="1">
      <c r="B523" s="3" t="str">
        <f>IFERROR(__xludf.DUMMYFUNCTION("IFERROR(GOOGLEFINANCE(A523,""price""),"""")"),"")</f>
        <v/>
      </c>
      <c r="C523" s="3" t="str">
        <f t="shared" si="1"/>
        <v/>
      </c>
    </row>
    <row r="524" ht="15.75" customHeight="1">
      <c r="B524" s="3" t="str">
        <f>IFERROR(__xludf.DUMMYFUNCTION("IFERROR(GOOGLEFINANCE(A524,""price""),"""")"),"")</f>
        <v/>
      </c>
      <c r="C524" s="3" t="str">
        <f t="shared" si="1"/>
        <v/>
      </c>
    </row>
    <row r="525" ht="15.75" customHeight="1">
      <c r="B525" s="3" t="str">
        <f>IFERROR(__xludf.DUMMYFUNCTION("IFERROR(GOOGLEFINANCE(A525,""price""),"""")"),"")</f>
        <v/>
      </c>
      <c r="C525" s="3" t="str">
        <f t="shared" si="1"/>
        <v/>
      </c>
    </row>
    <row r="526" ht="15.75" customHeight="1">
      <c r="B526" s="3" t="str">
        <f>IFERROR(__xludf.DUMMYFUNCTION("IFERROR(GOOGLEFINANCE(A526,""price""),"""")"),"")</f>
        <v/>
      </c>
      <c r="C526" s="3" t="str">
        <f t="shared" si="1"/>
        <v/>
      </c>
    </row>
    <row r="527" ht="15.75" customHeight="1">
      <c r="B527" s="3" t="str">
        <f>IFERROR(__xludf.DUMMYFUNCTION("IFERROR(GOOGLEFINANCE(A527,""price""),"""")"),"")</f>
        <v/>
      </c>
      <c r="C527" s="3" t="str">
        <f t="shared" si="1"/>
        <v/>
      </c>
    </row>
    <row r="528" ht="15.75" customHeight="1">
      <c r="B528" s="3" t="str">
        <f>IFERROR(__xludf.DUMMYFUNCTION("IFERROR(GOOGLEFINANCE(A528,""price""),"""")"),"")</f>
        <v/>
      </c>
      <c r="C528" s="3" t="str">
        <f t="shared" si="1"/>
        <v/>
      </c>
    </row>
    <row r="529" ht="15.75" customHeight="1">
      <c r="B529" s="3" t="str">
        <f>IFERROR(__xludf.DUMMYFUNCTION("IFERROR(GOOGLEFINANCE(A529,""price""),"""")"),"")</f>
        <v/>
      </c>
      <c r="C529" s="3" t="str">
        <f t="shared" si="1"/>
        <v/>
      </c>
    </row>
    <row r="530" ht="15.75" customHeight="1">
      <c r="B530" s="3" t="str">
        <f>IFERROR(__xludf.DUMMYFUNCTION("IFERROR(GOOGLEFINANCE(A530,""price""),"""")"),"")</f>
        <v/>
      </c>
      <c r="C530" s="3" t="str">
        <f t="shared" si="1"/>
        <v/>
      </c>
    </row>
    <row r="531" ht="15.75" customHeight="1">
      <c r="B531" s="3" t="str">
        <f>IFERROR(__xludf.DUMMYFUNCTION("IFERROR(GOOGLEFINANCE(A531,""price""),"""")"),"")</f>
        <v/>
      </c>
      <c r="C531" s="3" t="str">
        <f t="shared" si="1"/>
        <v/>
      </c>
    </row>
    <row r="532" ht="15.75" customHeight="1">
      <c r="B532" s="3" t="str">
        <f>IFERROR(__xludf.DUMMYFUNCTION("IFERROR(GOOGLEFINANCE(A532,""price""),"""")"),"")</f>
        <v/>
      </c>
      <c r="C532" s="3" t="str">
        <f t="shared" si="1"/>
        <v/>
      </c>
    </row>
    <row r="533" ht="15.75" customHeight="1">
      <c r="B533" s="3" t="str">
        <f>IFERROR(__xludf.DUMMYFUNCTION("IFERROR(GOOGLEFINANCE(A533,""price""),"""")"),"")</f>
        <v/>
      </c>
      <c r="C533" s="3" t="str">
        <f t="shared" si="1"/>
        <v/>
      </c>
    </row>
    <row r="534" ht="15.75" customHeight="1">
      <c r="B534" s="3" t="str">
        <f>IFERROR(__xludf.DUMMYFUNCTION("IFERROR(GOOGLEFINANCE(A534,""price""),"""")"),"")</f>
        <v/>
      </c>
      <c r="C534" s="3" t="str">
        <f t="shared" si="1"/>
        <v/>
      </c>
    </row>
    <row r="535" ht="15.75" customHeight="1">
      <c r="B535" s="3" t="str">
        <f>IFERROR(__xludf.DUMMYFUNCTION("IFERROR(GOOGLEFINANCE(A535,""price""),"""")"),"")</f>
        <v/>
      </c>
      <c r="C535" s="3" t="str">
        <f t="shared" si="1"/>
        <v/>
      </c>
    </row>
    <row r="536" ht="15.75" customHeight="1">
      <c r="B536" s="3" t="str">
        <f>IFERROR(__xludf.DUMMYFUNCTION("IFERROR(GOOGLEFINANCE(A536,""price""),"""")"),"")</f>
        <v/>
      </c>
      <c r="C536" s="3" t="str">
        <f t="shared" si="1"/>
        <v/>
      </c>
    </row>
    <row r="537" ht="15.75" customHeight="1">
      <c r="B537" s="3" t="str">
        <f>IFERROR(__xludf.DUMMYFUNCTION("IFERROR(GOOGLEFINANCE(A537,""price""),"""")"),"")</f>
        <v/>
      </c>
      <c r="C537" s="3" t="str">
        <f t="shared" si="1"/>
        <v/>
      </c>
    </row>
    <row r="538" ht="15.75" customHeight="1">
      <c r="B538" s="3" t="str">
        <f>IFERROR(__xludf.DUMMYFUNCTION("IFERROR(GOOGLEFINANCE(A538,""price""),"""")"),"")</f>
        <v/>
      </c>
      <c r="C538" s="3" t="str">
        <f t="shared" si="1"/>
        <v/>
      </c>
    </row>
    <row r="539" ht="15.75" customHeight="1">
      <c r="B539" s="3" t="str">
        <f>IFERROR(__xludf.DUMMYFUNCTION("IFERROR(GOOGLEFINANCE(A539,""price""),"""")"),"")</f>
        <v/>
      </c>
      <c r="C539" s="3" t="str">
        <f t="shared" si="1"/>
        <v/>
      </c>
    </row>
    <row r="540" ht="15.75" customHeight="1">
      <c r="B540" s="3" t="str">
        <f>IFERROR(__xludf.DUMMYFUNCTION("IFERROR(GOOGLEFINANCE(A540,""price""),"""")"),"")</f>
        <v/>
      </c>
      <c r="C540" s="3" t="str">
        <f t="shared" si="1"/>
        <v/>
      </c>
    </row>
    <row r="541" ht="15.75" customHeight="1">
      <c r="B541" s="3" t="str">
        <f>IFERROR(__xludf.DUMMYFUNCTION("IFERROR(GOOGLEFINANCE(A541,""price""),"""")"),"")</f>
        <v/>
      </c>
      <c r="C541" s="3" t="str">
        <f t="shared" si="1"/>
        <v/>
      </c>
    </row>
    <row r="542" ht="15.75" customHeight="1">
      <c r="B542" s="3" t="str">
        <f>IFERROR(__xludf.DUMMYFUNCTION("IFERROR(GOOGLEFINANCE(A542,""price""),"""")"),"")</f>
        <v/>
      </c>
      <c r="C542" s="3" t="str">
        <f t="shared" si="1"/>
        <v/>
      </c>
    </row>
    <row r="543" ht="15.75" customHeight="1">
      <c r="B543" s="3" t="str">
        <f>IFERROR(__xludf.DUMMYFUNCTION("IFERROR(GOOGLEFINANCE(A543,""price""),"""")"),"")</f>
        <v/>
      </c>
      <c r="C543" s="3" t="str">
        <f t="shared" si="1"/>
        <v/>
      </c>
    </row>
    <row r="544" ht="15.75" customHeight="1">
      <c r="B544" s="3" t="str">
        <f>IFERROR(__xludf.DUMMYFUNCTION("IFERROR(GOOGLEFINANCE(A544,""price""),"""")"),"")</f>
        <v/>
      </c>
      <c r="C544" s="3" t="str">
        <f t="shared" si="1"/>
        <v/>
      </c>
    </row>
    <row r="545" ht="15.75" customHeight="1">
      <c r="B545" s="3" t="str">
        <f>IFERROR(__xludf.DUMMYFUNCTION("IFERROR(GOOGLEFINANCE(A545,""price""),"""")"),"")</f>
        <v/>
      </c>
      <c r="C545" s="3" t="str">
        <f t="shared" si="1"/>
        <v/>
      </c>
    </row>
    <row r="546" ht="15.75" customHeight="1">
      <c r="B546" s="3" t="str">
        <f>IFERROR(__xludf.DUMMYFUNCTION("IFERROR(GOOGLEFINANCE(A546,""price""),"""")"),"")</f>
        <v/>
      </c>
      <c r="C546" s="3" t="str">
        <f t="shared" si="1"/>
        <v/>
      </c>
    </row>
    <row r="547" ht="15.75" customHeight="1">
      <c r="B547" s="3" t="str">
        <f>IFERROR(__xludf.DUMMYFUNCTION("IFERROR(GOOGLEFINANCE(A547,""price""),"""")"),"")</f>
        <v/>
      </c>
      <c r="C547" s="3" t="str">
        <f t="shared" si="1"/>
        <v/>
      </c>
    </row>
    <row r="548" ht="15.75" customHeight="1">
      <c r="B548" s="3" t="str">
        <f>IFERROR(__xludf.DUMMYFUNCTION("IFERROR(GOOGLEFINANCE(A548,""price""),"""")"),"")</f>
        <v/>
      </c>
      <c r="C548" s="3" t="str">
        <f t="shared" si="1"/>
        <v/>
      </c>
    </row>
    <row r="549" ht="15.75" customHeight="1">
      <c r="B549" s="3" t="str">
        <f>IFERROR(__xludf.DUMMYFUNCTION("IFERROR(GOOGLEFINANCE(A549,""price""),"""")"),"")</f>
        <v/>
      </c>
      <c r="C549" s="3" t="str">
        <f t="shared" si="1"/>
        <v/>
      </c>
    </row>
    <row r="550" ht="15.75" customHeight="1">
      <c r="B550" s="3" t="str">
        <f>IFERROR(__xludf.DUMMYFUNCTION("IFERROR(GOOGLEFINANCE(A550,""price""),"""")"),"")</f>
        <v/>
      </c>
      <c r="C550" s="3" t="str">
        <f t="shared" si="1"/>
        <v/>
      </c>
    </row>
    <row r="551" ht="15.75" customHeight="1">
      <c r="B551" s="3" t="str">
        <f>IFERROR(__xludf.DUMMYFUNCTION("IFERROR(GOOGLEFINANCE(A551,""price""),"""")"),"")</f>
        <v/>
      </c>
      <c r="C551" s="3" t="str">
        <f t="shared" si="1"/>
        <v/>
      </c>
    </row>
    <row r="552" ht="15.75" customHeight="1">
      <c r="B552" s="3" t="str">
        <f>IFERROR(__xludf.DUMMYFUNCTION("IFERROR(GOOGLEFINANCE(A552,""price""),"""")"),"")</f>
        <v/>
      </c>
      <c r="C552" s="3" t="str">
        <f t="shared" si="1"/>
        <v/>
      </c>
    </row>
    <row r="553" ht="15.75" customHeight="1">
      <c r="B553" s="3" t="str">
        <f>IFERROR(__xludf.DUMMYFUNCTION("IFERROR(GOOGLEFINANCE(A553,""price""),"""")"),"")</f>
        <v/>
      </c>
      <c r="C553" s="3" t="str">
        <f t="shared" si="1"/>
        <v/>
      </c>
    </row>
    <row r="554" ht="15.75" customHeight="1">
      <c r="B554" s="3" t="str">
        <f>IFERROR(__xludf.DUMMYFUNCTION("IFERROR(GOOGLEFINANCE(A554,""price""),"""")"),"")</f>
        <v/>
      </c>
      <c r="C554" s="3" t="str">
        <f t="shared" si="1"/>
        <v/>
      </c>
    </row>
    <row r="555" ht="15.75" customHeight="1">
      <c r="B555" s="3" t="str">
        <f>IFERROR(__xludf.DUMMYFUNCTION("IFERROR(GOOGLEFINANCE(A555,""price""),"""")"),"")</f>
        <v/>
      </c>
      <c r="C555" s="3" t="str">
        <f t="shared" si="1"/>
        <v/>
      </c>
    </row>
    <row r="556" ht="15.75" customHeight="1">
      <c r="B556" s="3" t="str">
        <f>IFERROR(__xludf.DUMMYFUNCTION("IFERROR(GOOGLEFINANCE(A556,""price""),"""")"),"")</f>
        <v/>
      </c>
      <c r="C556" s="3" t="str">
        <f t="shared" si="1"/>
        <v/>
      </c>
    </row>
    <row r="557" ht="15.75" customHeight="1">
      <c r="B557" s="3" t="str">
        <f>IFERROR(__xludf.DUMMYFUNCTION("IFERROR(GOOGLEFINANCE(A557,""price""),"""")"),"")</f>
        <v/>
      </c>
      <c r="C557" s="3" t="str">
        <f t="shared" si="1"/>
        <v/>
      </c>
    </row>
    <row r="558" ht="15.75" customHeight="1">
      <c r="B558" s="3" t="str">
        <f>IFERROR(__xludf.DUMMYFUNCTION("IFERROR(GOOGLEFINANCE(A558,""price""),"""")"),"")</f>
        <v/>
      </c>
      <c r="C558" s="3" t="str">
        <f t="shared" si="1"/>
        <v/>
      </c>
    </row>
    <row r="559" ht="15.75" customHeight="1">
      <c r="B559" s="3" t="str">
        <f>IFERROR(__xludf.DUMMYFUNCTION("IFERROR(GOOGLEFINANCE(A559,""price""),"""")"),"")</f>
        <v/>
      </c>
      <c r="C559" s="3" t="str">
        <f t="shared" si="1"/>
        <v/>
      </c>
    </row>
    <row r="560" ht="15.75" customHeight="1">
      <c r="B560" s="3" t="str">
        <f>IFERROR(__xludf.DUMMYFUNCTION("IFERROR(GOOGLEFINANCE(A560,""price""),"""")"),"")</f>
        <v/>
      </c>
      <c r="C560" s="3" t="str">
        <f t="shared" si="1"/>
        <v/>
      </c>
    </row>
    <row r="561" ht="15.75" customHeight="1">
      <c r="B561" s="3" t="str">
        <f>IFERROR(__xludf.DUMMYFUNCTION("IFERROR(GOOGLEFINANCE(A561,""price""),"""")"),"")</f>
        <v/>
      </c>
      <c r="C561" s="3" t="str">
        <f t="shared" si="1"/>
        <v/>
      </c>
    </row>
    <row r="562" ht="15.75" customHeight="1">
      <c r="B562" s="3" t="str">
        <f>IFERROR(__xludf.DUMMYFUNCTION("IFERROR(GOOGLEFINANCE(A562,""price""),"""")"),"")</f>
        <v/>
      </c>
      <c r="C562" s="3" t="str">
        <f t="shared" si="1"/>
        <v/>
      </c>
    </row>
    <row r="563" ht="15.75" customHeight="1">
      <c r="B563" s="3" t="str">
        <f>IFERROR(__xludf.DUMMYFUNCTION("IFERROR(GOOGLEFINANCE(A563,""price""),"""")"),"")</f>
        <v/>
      </c>
      <c r="C563" s="3" t="str">
        <f t="shared" si="1"/>
        <v/>
      </c>
    </row>
    <row r="564" ht="15.75" customHeight="1">
      <c r="B564" s="3" t="str">
        <f>IFERROR(__xludf.DUMMYFUNCTION("IFERROR(GOOGLEFINANCE(A564,""price""),"""")"),"")</f>
        <v/>
      </c>
      <c r="C564" s="3" t="str">
        <f t="shared" si="1"/>
        <v/>
      </c>
    </row>
    <row r="565" ht="15.75" customHeight="1">
      <c r="B565" s="3" t="str">
        <f>IFERROR(__xludf.DUMMYFUNCTION("IFERROR(GOOGLEFINANCE(A565,""price""),"""")"),"")</f>
        <v/>
      </c>
      <c r="C565" s="3" t="str">
        <f t="shared" si="1"/>
        <v/>
      </c>
    </row>
    <row r="566" ht="15.75" customHeight="1">
      <c r="B566" s="3" t="str">
        <f>IFERROR(__xludf.DUMMYFUNCTION("IFERROR(GOOGLEFINANCE(A566,""price""),"""")"),"")</f>
        <v/>
      </c>
      <c r="C566" s="3" t="str">
        <f t="shared" si="1"/>
        <v/>
      </c>
    </row>
    <row r="567" ht="15.75" customHeight="1">
      <c r="B567" s="3" t="str">
        <f>IFERROR(__xludf.DUMMYFUNCTION("IFERROR(GOOGLEFINANCE(A567,""price""),"""")"),"")</f>
        <v/>
      </c>
      <c r="C567" s="3" t="str">
        <f t="shared" si="1"/>
        <v/>
      </c>
    </row>
    <row r="568" ht="15.75" customHeight="1">
      <c r="B568" s="3" t="str">
        <f>IFERROR(__xludf.DUMMYFUNCTION("IFERROR(GOOGLEFINANCE(A568,""price""),"""")"),"")</f>
        <v/>
      </c>
      <c r="C568" s="3" t="str">
        <f t="shared" si="1"/>
        <v/>
      </c>
    </row>
    <row r="569" ht="15.75" customHeight="1">
      <c r="B569" s="3" t="str">
        <f>IFERROR(__xludf.DUMMYFUNCTION("IFERROR(GOOGLEFINANCE(A569,""price""),"""")"),"")</f>
        <v/>
      </c>
      <c r="C569" s="3" t="str">
        <f t="shared" si="1"/>
        <v/>
      </c>
    </row>
    <row r="570" ht="15.75" customHeight="1">
      <c r="B570" s="3" t="str">
        <f>IFERROR(__xludf.DUMMYFUNCTION("IFERROR(GOOGLEFINANCE(A570,""price""),"""")"),"")</f>
        <v/>
      </c>
      <c r="C570" s="3" t="str">
        <f t="shared" si="1"/>
        <v/>
      </c>
    </row>
    <row r="571" ht="15.75" customHeight="1">
      <c r="B571" s="3" t="str">
        <f>IFERROR(__xludf.DUMMYFUNCTION("IFERROR(GOOGLEFINANCE(A571,""price""),"""")"),"")</f>
        <v/>
      </c>
      <c r="C571" s="3" t="str">
        <f t="shared" si="1"/>
        <v/>
      </c>
    </row>
    <row r="572" ht="15.75" customHeight="1">
      <c r="B572" s="3" t="str">
        <f>IFERROR(__xludf.DUMMYFUNCTION("IFERROR(GOOGLEFINANCE(A572,""price""),"""")"),"")</f>
        <v/>
      </c>
      <c r="C572" s="3" t="str">
        <f t="shared" si="1"/>
        <v/>
      </c>
    </row>
    <row r="573" ht="15.75" customHeight="1">
      <c r="B573" s="3" t="str">
        <f>IFERROR(__xludf.DUMMYFUNCTION("IFERROR(GOOGLEFINANCE(A573,""price""),"""")"),"")</f>
        <v/>
      </c>
      <c r="C573" s="3" t="str">
        <f t="shared" si="1"/>
        <v/>
      </c>
    </row>
    <row r="574" ht="15.75" customHeight="1">
      <c r="B574" s="3" t="str">
        <f>IFERROR(__xludf.DUMMYFUNCTION("IFERROR(GOOGLEFINANCE(A574,""price""),"""")"),"")</f>
        <v/>
      </c>
      <c r="C574" s="3" t="str">
        <f t="shared" si="1"/>
        <v/>
      </c>
    </row>
    <row r="575" ht="15.75" customHeight="1">
      <c r="B575" s="3" t="str">
        <f>IFERROR(__xludf.DUMMYFUNCTION("IFERROR(GOOGLEFINANCE(A575,""price""),"""")"),"")</f>
        <v/>
      </c>
      <c r="C575" s="3" t="str">
        <f t="shared" si="1"/>
        <v/>
      </c>
    </row>
    <row r="576" ht="15.75" customHeight="1">
      <c r="B576" s="3" t="str">
        <f>IFERROR(__xludf.DUMMYFUNCTION("IFERROR(GOOGLEFINANCE(A576,""price""),"""")"),"")</f>
        <v/>
      </c>
      <c r="C576" s="3" t="str">
        <f t="shared" si="1"/>
        <v/>
      </c>
    </row>
    <row r="577" ht="15.75" customHeight="1">
      <c r="B577" s="3" t="str">
        <f>IFERROR(__xludf.DUMMYFUNCTION("IFERROR(GOOGLEFINANCE(A577,""price""),"""")"),"")</f>
        <v/>
      </c>
      <c r="C577" s="3" t="str">
        <f t="shared" si="1"/>
        <v/>
      </c>
    </row>
    <row r="578" ht="15.75" customHeight="1">
      <c r="B578" s="3" t="str">
        <f>IFERROR(__xludf.DUMMYFUNCTION("IFERROR(GOOGLEFINANCE(A578,""price""),"""")"),"")</f>
        <v/>
      </c>
      <c r="C578" s="3" t="str">
        <f t="shared" si="1"/>
        <v/>
      </c>
    </row>
    <row r="579" ht="15.75" customHeight="1">
      <c r="B579" s="3" t="str">
        <f>IFERROR(__xludf.DUMMYFUNCTION("IFERROR(GOOGLEFINANCE(A579,""price""),"""")"),"")</f>
        <v/>
      </c>
      <c r="C579" s="3" t="str">
        <f t="shared" si="1"/>
        <v/>
      </c>
    </row>
    <row r="580" ht="15.75" customHeight="1">
      <c r="B580" s="3" t="str">
        <f>IFERROR(__xludf.DUMMYFUNCTION("IFERROR(GOOGLEFINANCE(A580,""price""),"""")"),"")</f>
        <v/>
      </c>
      <c r="C580" s="3" t="str">
        <f t="shared" si="1"/>
        <v/>
      </c>
    </row>
    <row r="581" ht="15.75" customHeight="1">
      <c r="B581" s="3" t="str">
        <f>IFERROR(__xludf.DUMMYFUNCTION("IFERROR(GOOGLEFINANCE(A581,""price""),"""")"),"")</f>
        <v/>
      </c>
      <c r="C581" s="3" t="str">
        <f t="shared" si="1"/>
        <v/>
      </c>
    </row>
    <row r="582" ht="15.75" customHeight="1">
      <c r="B582" s="3" t="str">
        <f>IFERROR(__xludf.DUMMYFUNCTION("IFERROR(GOOGLEFINANCE(A582,""price""),"""")"),"")</f>
        <v/>
      </c>
      <c r="C582" s="3" t="str">
        <f t="shared" si="1"/>
        <v/>
      </c>
    </row>
    <row r="583" ht="15.75" customHeight="1">
      <c r="B583" s="3" t="str">
        <f>IFERROR(__xludf.DUMMYFUNCTION("IFERROR(GOOGLEFINANCE(A583,""price""),"""")"),"")</f>
        <v/>
      </c>
      <c r="C583" s="3" t="str">
        <f t="shared" si="1"/>
        <v/>
      </c>
    </row>
    <row r="584" ht="15.75" customHeight="1">
      <c r="B584" s="3" t="str">
        <f>IFERROR(__xludf.DUMMYFUNCTION("IFERROR(GOOGLEFINANCE(A584,""price""),"""")"),"")</f>
        <v/>
      </c>
      <c r="C584" s="3" t="str">
        <f t="shared" si="1"/>
        <v/>
      </c>
    </row>
    <row r="585" ht="15.75" customHeight="1">
      <c r="B585" s="3" t="str">
        <f>IFERROR(__xludf.DUMMYFUNCTION("IFERROR(GOOGLEFINANCE(A585,""price""),"""")"),"")</f>
        <v/>
      </c>
      <c r="C585" s="3" t="str">
        <f t="shared" si="1"/>
        <v/>
      </c>
    </row>
    <row r="586" ht="15.75" customHeight="1">
      <c r="B586" s="3" t="str">
        <f>IFERROR(__xludf.DUMMYFUNCTION("IFERROR(GOOGLEFINANCE(A586,""price""),"""")"),"")</f>
        <v/>
      </c>
      <c r="C586" s="3" t="str">
        <f t="shared" si="1"/>
        <v/>
      </c>
    </row>
    <row r="587" ht="15.75" customHeight="1">
      <c r="B587" s="3" t="str">
        <f>IFERROR(__xludf.DUMMYFUNCTION("IFERROR(GOOGLEFINANCE(A587,""price""),"""")"),"")</f>
        <v/>
      </c>
      <c r="C587" s="3" t="str">
        <f t="shared" si="1"/>
        <v/>
      </c>
    </row>
    <row r="588" ht="15.75" customHeight="1">
      <c r="B588" s="3" t="str">
        <f>IFERROR(__xludf.DUMMYFUNCTION("IFERROR(GOOGLEFINANCE(A588,""price""),"""")"),"")</f>
        <v/>
      </c>
      <c r="C588" s="3" t="str">
        <f t="shared" si="1"/>
        <v/>
      </c>
    </row>
    <row r="589" ht="15.75" customHeight="1">
      <c r="B589" s="3" t="str">
        <f>IFERROR(__xludf.DUMMYFUNCTION("IFERROR(GOOGLEFINANCE(A589,""price""),"""")"),"")</f>
        <v/>
      </c>
      <c r="C589" s="3" t="str">
        <f t="shared" si="1"/>
        <v/>
      </c>
    </row>
    <row r="590" ht="15.75" customHeight="1">
      <c r="B590" s="3" t="str">
        <f>IFERROR(__xludf.DUMMYFUNCTION("IFERROR(GOOGLEFINANCE(A590,""price""),"""")"),"")</f>
        <v/>
      </c>
      <c r="C590" s="3" t="str">
        <f t="shared" si="1"/>
        <v/>
      </c>
    </row>
    <row r="591" ht="15.75" customHeight="1">
      <c r="B591" s="3" t="str">
        <f>IFERROR(__xludf.DUMMYFUNCTION("IFERROR(GOOGLEFINANCE(A591,""price""),"""")"),"")</f>
        <v/>
      </c>
      <c r="C591" s="3" t="str">
        <f t="shared" si="1"/>
        <v/>
      </c>
    </row>
    <row r="592" ht="15.75" customHeight="1">
      <c r="B592" s="3" t="str">
        <f>IFERROR(__xludf.DUMMYFUNCTION("IFERROR(GOOGLEFINANCE(A592,""price""),"""")"),"")</f>
        <v/>
      </c>
      <c r="C592" s="3" t="str">
        <f t="shared" si="1"/>
        <v/>
      </c>
    </row>
    <row r="593" ht="15.75" customHeight="1">
      <c r="B593" s="3" t="str">
        <f>IFERROR(__xludf.DUMMYFUNCTION("IFERROR(GOOGLEFINANCE(A593,""price""),"""")"),"")</f>
        <v/>
      </c>
      <c r="C593" s="3" t="str">
        <f t="shared" si="1"/>
        <v/>
      </c>
    </row>
    <row r="594" ht="15.75" customHeight="1">
      <c r="B594" s="3" t="str">
        <f>IFERROR(__xludf.DUMMYFUNCTION("IFERROR(GOOGLEFINANCE(A594,""price""),"""")"),"")</f>
        <v/>
      </c>
      <c r="C594" s="3" t="str">
        <f t="shared" si="1"/>
        <v/>
      </c>
    </row>
    <row r="595" ht="15.75" customHeight="1">
      <c r="B595" s="3" t="str">
        <f>IFERROR(__xludf.DUMMYFUNCTION("IFERROR(GOOGLEFINANCE(A595,""price""),"""")"),"")</f>
        <v/>
      </c>
      <c r="C595" s="3" t="str">
        <f t="shared" si="1"/>
        <v/>
      </c>
    </row>
    <row r="596" ht="15.75" customHeight="1">
      <c r="B596" s="3" t="str">
        <f>IFERROR(__xludf.DUMMYFUNCTION("IFERROR(GOOGLEFINANCE(A596,""price""),"""")"),"")</f>
        <v/>
      </c>
      <c r="C596" s="3" t="str">
        <f t="shared" si="1"/>
        <v/>
      </c>
    </row>
    <row r="597" ht="15.75" customHeight="1">
      <c r="B597" s="3" t="str">
        <f>IFERROR(__xludf.DUMMYFUNCTION("IFERROR(GOOGLEFINANCE(A597,""price""),"""")"),"")</f>
        <v/>
      </c>
      <c r="C597" s="3" t="str">
        <f t="shared" si="1"/>
        <v/>
      </c>
    </row>
    <row r="598" ht="15.75" customHeight="1">
      <c r="B598" s="3" t="str">
        <f>IFERROR(__xludf.DUMMYFUNCTION("IFERROR(GOOGLEFINANCE(A598,""price""),"""")"),"")</f>
        <v/>
      </c>
      <c r="C598" s="3" t="str">
        <f t="shared" si="1"/>
        <v/>
      </c>
    </row>
    <row r="599" ht="15.75" customHeight="1">
      <c r="B599" s="3" t="str">
        <f>IFERROR(__xludf.DUMMYFUNCTION("IFERROR(GOOGLEFINANCE(A599,""price""),"""")"),"")</f>
        <v/>
      </c>
      <c r="C599" s="3" t="str">
        <f t="shared" si="1"/>
        <v/>
      </c>
    </row>
    <row r="600" ht="15.75" customHeight="1">
      <c r="B600" s="3" t="str">
        <f>IFERROR(__xludf.DUMMYFUNCTION("IFERROR(GOOGLEFINANCE(A600,""price""),"""")"),"")</f>
        <v/>
      </c>
      <c r="C600" s="3" t="str">
        <f t="shared" si="1"/>
        <v/>
      </c>
    </row>
    <row r="601" ht="15.75" customHeight="1">
      <c r="B601" s="3" t="str">
        <f>IFERROR(__xludf.DUMMYFUNCTION("IFERROR(GOOGLEFINANCE(A601,""price""),"""")"),"")</f>
        <v/>
      </c>
      <c r="C601" s="3" t="str">
        <f t="shared" si="1"/>
        <v/>
      </c>
    </row>
    <row r="602" ht="15.75" customHeight="1">
      <c r="B602" s="3" t="str">
        <f>IFERROR(__xludf.DUMMYFUNCTION("IFERROR(GOOGLEFINANCE(A602,""price""),"""")"),"")</f>
        <v/>
      </c>
      <c r="C602" s="3" t="str">
        <f t="shared" si="1"/>
        <v/>
      </c>
    </row>
    <row r="603" ht="15.75" customHeight="1">
      <c r="B603" s="3" t="str">
        <f>IFERROR(__xludf.DUMMYFUNCTION("IFERROR(GOOGLEFINANCE(A603,""price""),"""")"),"")</f>
        <v/>
      </c>
      <c r="C603" s="3" t="str">
        <f t="shared" si="1"/>
        <v/>
      </c>
    </row>
    <row r="604" ht="15.75" customHeight="1">
      <c r="B604" s="3" t="str">
        <f>IFERROR(__xludf.DUMMYFUNCTION("IFERROR(GOOGLEFINANCE(A604,""price""),"""")"),"")</f>
        <v/>
      </c>
      <c r="C604" s="3" t="str">
        <f t="shared" si="1"/>
        <v/>
      </c>
    </row>
    <row r="605" ht="15.75" customHeight="1">
      <c r="B605" s="3" t="str">
        <f>IFERROR(__xludf.DUMMYFUNCTION("IFERROR(GOOGLEFINANCE(A605,""price""),"""")"),"")</f>
        <v/>
      </c>
      <c r="C605" s="3" t="str">
        <f t="shared" si="1"/>
        <v/>
      </c>
    </row>
    <row r="606" ht="15.75" customHeight="1">
      <c r="B606" s="3" t="str">
        <f>IFERROR(__xludf.DUMMYFUNCTION("IFERROR(GOOGLEFINANCE(A606,""price""),"""")"),"")</f>
        <v/>
      </c>
      <c r="C606" s="3" t="str">
        <f t="shared" si="1"/>
        <v/>
      </c>
    </row>
    <row r="607" ht="15.75" customHeight="1">
      <c r="B607" s="3" t="str">
        <f>IFERROR(__xludf.DUMMYFUNCTION("IFERROR(GOOGLEFINANCE(A607,""price""),"""")"),"")</f>
        <v/>
      </c>
      <c r="C607" s="3" t="str">
        <f t="shared" si="1"/>
        <v/>
      </c>
    </row>
    <row r="608" ht="15.75" customHeight="1">
      <c r="B608" s="3" t="str">
        <f>IFERROR(__xludf.DUMMYFUNCTION("IFERROR(GOOGLEFINANCE(A608,""price""),"""")"),"")</f>
        <v/>
      </c>
      <c r="C608" s="3" t="str">
        <f t="shared" si="1"/>
        <v/>
      </c>
    </row>
    <row r="609" ht="15.75" customHeight="1">
      <c r="B609" s="3" t="str">
        <f>IFERROR(__xludf.DUMMYFUNCTION("IFERROR(GOOGLEFINANCE(A609,""price""),"""")"),"")</f>
        <v/>
      </c>
      <c r="C609" s="3" t="str">
        <f t="shared" si="1"/>
        <v/>
      </c>
    </row>
    <row r="610" ht="15.75" customHeight="1">
      <c r="B610" s="3" t="str">
        <f>IFERROR(__xludf.DUMMYFUNCTION("IFERROR(GOOGLEFINANCE(A610,""price""),"""")"),"")</f>
        <v/>
      </c>
      <c r="C610" s="3" t="str">
        <f t="shared" si="1"/>
        <v/>
      </c>
    </row>
    <row r="611" ht="15.75" customHeight="1">
      <c r="B611" s="3" t="str">
        <f>IFERROR(__xludf.DUMMYFUNCTION("IFERROR(GOOGLEFINANCE(A611,""price""),"""")"),"")</f>
        <v/>
      </c>
      <c r="C611" s="3" t="str">
        <f t="shared" si="1"/>
        <v/>
      </c>
    </row>
    <row r="612" ht="15.75" customHeight="1">
      <c r="B612" s="3" t="str">
        <f>IFERROR(__xludf.DUMMYFUNCTION("IFERROR(GOOGLEFINANCE(A612,""price""),"""")"),"")</f>
        <v/>
      </c>
      <c r="C612" s="3" t="str">
        <f t="shared" si="1"/>
        <v/>
      </c>
    </row>
    <row r="613" ht="15.75" customHeight="1">
      <c r="B613" s="3" t="str">
        <f>IFERROR(__xludf.DUMMYFUNCTION("IFERROR(GOOGLEFINANCE(A613,""price""),"""")"),"")</f>
        <v/>
      </c>
      <c r="C613" s="3" t="str">
        <f t="shared" si="1"/>
        <v/>
      </c>
    </row>
    <row r="614" ht="15.75" customHeight="1">
      <c r="B614" s="3" t="str">
        <f>IFERROR(__xludf.DUMMYFUNCTION("IFERROR(GOOGLEFINANCE(A614,""price""),"""")"),"")</f>
        <v/>
      </c>
      <c r="C614" s="3" t="str">
        <f t="shared" si="1"/>
        <v/>
      </c>
    </row>
    <row r="615" ht="15.75" customHeight="1">
      <c r="B615" s="3" t="str">
        <f>IFERROR(__xludf.DUMMYFUNCTION("IFERROR(GOOGLEFINANCE(A615,""price""),"""")"),"")</f>
        <v/>
      </c>
      <c r="C615" s="3" t="str">
        <f t="shared" si="1"/>
        <v/>
      </c>
    </row>
    <row r="616" ht="15.75" customHeight="1">
      <c r="B616" s="3" t="str">
        <f>IFERROR(__xludf.DUMMYFUNCTION("IFERROR(GOOGLEFINANCE(A616,""price""),"""")"),"")</f>
        <v/>
      </c>
      <c r="C616" s="3" t="str">
        <f t="shared" si="1"/>
        <v/>
      </c>
    </row>
    <row r="617" ht="15.75" customHeight="1">
      <c r="B617" s="3" t="str">
        <f>IFERROR(__xludf.DUMMYFUNCTION("IFERROR(GOOGLEFINANCE(A617,""price""),"""")"),"")</f>
        <v/>
      </c>
      <c r="C617" s="3" t="str">
        <f t="shared" si="1"/>
        <v/>
      </c>
    </row>
    <row r="618" ht="15.75" customHeight="1">
      <c r="B618" s="3" t="str">
        <f>IFERROR(__xludf.DUMMYFUNCTION("IFERROR(GOOGLEFINANCE(A618,""price""),"""")"),"")</f>
        <v/>
      </c>
      <c r="C618" s="3" t="str">
        <f t="shared" si="1"/>
        <v/>
      </c>
    </row>
    <row r="619" ht="15.75" customHeight="1">
      <c r="B619" s="3" t="str">
        <f>IFERROR(__xludf.DUMMYFUNCTION("IFERROR(GOOGLEFINANCE(A619,""price""),"""")"),"")</f>
        <v/>
      </c>
      <c r="C619" s="3" t="str">
        <f t="shared" si="1"/>
        <v/>
      </c>
    </row>
    <row r="620" ht="15.75" customHeight="1">
      <c r="B620" s="3" t="str">
        <f>IFERROR(__xludf.DUMMYFUNCTION("IFERROR(GOOGLEFINANCE(A620,""price""),"""")"),"")</f>
        <v/>
      </c>
      <c r="C620" s="3" t="str">
        <f t="shared" si="1"/>
        <v/>
      </c>
    </row>
    <row r="621" ht="15.75" customHeight="1">
      <c r="B621" s="3" t="str">
        <f>IFERROR(__xludf.DUMMYFUNCTION("IFERROR(GOOGLEFINANCE(A621,""price""),"""")"),"")</f>
        <v/>
      </c>
      <c r="C621" s="3" t="str">
        <f t="shared" si="1"/>
        <v/>
      </c>
    </row>
    <row r="622" ht="15.75" customHeight="1">
      <c r="B622" s="3" t="str">
        <f>IFERROR(__xludf.DUMMYFUNCTION("IFERROR(GOOGLEFINANCE(A622,""price""),"""")"),"")</f>
        <v/>
      </c>
      <c r="C622" s="3" t="str">
        <f t="shared" si="1"/>
        <v/>
      </c>
    </row>
    <row r="623" ht="15.75" customHeight="1">
      <c r="B623" s="3" t="str">
        <f>IFERROR(__xludf.DUMMYFUNCTION("IFERROR(GOOGLEFINANCE(A623,""price""),"""")"),"")</f>
        <v/>
      </c>
      <c r="C623" s="3" t="str">
        <f t="shared" si="1"/>
        <v/>
      </c>
    </row>
    <row r="624" ht="15.75" customHeight="1">
      <c r="B624" s="3" t="str">
        <f>IFERROR(__xludf.DUMMYFUNCTION("IFERROR(GOOGLEFINANCE(A624,""price""),"""")"),"")</f>
        <v/>
      </c>
      <c r="C624" s="3" t="str">
        <f t="shared" si="1"/>
        <v/>
      </c>
    </row>
    <row r="625" ht="15.75" customHeight="1">
      <c r="B625" s="3" t="str">
        <f>IFERROR(__xludf.DUMMYFUNCTION("IFERROR(GOOGLEFINANCE(A625,""price""),"""")"),"")</f>
        <v/>
      </c>
      <c r="C625" s="3" t="str">
        <f t="shared" si="1"/>
        <v/>
      </c>
    </row>
    <row r="626" ht="15.75" customHeight="1">
      <c r="B626" s="3" t="str">
        <f>IFERROR(__xludf.DUMMYFUNCTION("IFERROR(GOOGLEFINANCE(A626,""price""),"""")"),"")</f>
        <v/>
      </c>
      <c r="C626" s="3" t="str">
        <f t="shared" si="1"/>
        <v/>
      </c>
    </row>
    <row r="627" ht="15.75" customHeight="1">
      <c r="B627" s="3" t="str">
        <f>IFERROR(__xludf.DUMMYFUNCTION("IFERROR(GOOGLEFINANCE(A627,""price""),"""")"),"")</f>
        <v/>
      </c>
      <c r="C627" s="3" t="str">
        <f t="shared" si="1"/>
        <v/>
      </c>
    </row>
    <row r="628" ht="15.75" customHeight="1">
      <c r="B628" s="3" t="str">
        <f>IFERROR(__xludf.DUMMYFUNCTION("IFERROR(GOOGLEFINANCE(A628,""price""),"""")"),"")</f>
        <v/>
      </c>
      <c r="C628" s="3" t="str">
        <f t="shared" si="1"/>
        <v/>
      </c>
    </row>
    <row r="629" ht="15.75" customHeight="1">
      <c r="B629" s="3" t="str">
        <f>IFERROR(__xludf.DUMMYFUNCTION("IFERROR(GOOGLEFINANCE(A629,""price""),"""")"),"")</f>
        <v/>
      </c>
      <c r="C629" s="3" t="str">
        <f t="shared" si="1"/>
        <v/>
      </c>
    </row>
    <row r="630" ht="15.75" customHeight="1">
      <c r="B630" s="3" t="str">
        <f>IFERROR(__xludf.DUMMYFUNCTION("IFERROR(GOOGLEFINANCE(A630,""price""),"""")"),"")</f>
        <v/>
      </c>
      <c r="C630" s="3" t="str">
        <f t="shared" si="1"/>
        <v/>
      </c>
    </row>
    <row r="631" ht="15.75" customHeight="1">
      <c r="B631" s="3" t="str">
        <f>IFERROR(__xludf.DUMMYFUNCTION("IFERROR(GOOGLEFINANCE(A631,""price""),"""")"),"")</f>
        <v/>
      </c>
      <c r="C631" s="3" t="str">
        <f t="shared" si="1"/>
        <v/>
      </c>
    </row>
    <row r="632" ht="15.75" customHeight="1">
      <c r="B632" s="3" t="str">
        <f>IFERROR(__xludf.DUMMYFUNCTION("IFERROR(GOOGLEFINANCE(A632,""price""),"""")"),"")</f>
        <v/>
      </c>
      <c r="C632" s="3" t="str">
        <f t="shared" si="1"/>
        <v/>
      </c>
    </row>
    <row r="633" ht="15.75" customHeight="1">
      <c r="B633" s="3" t="str">
        <f>IFERROR(__xludf.DUMMYFUNCTION("IFERROR(GOOGLEFINANCE(A633,""price""),"""")"),"")</f>
        <v/>
      </c>
      <c r="C633" s="3" t="str">
        <f t="shared" si="1"/>
        <v/>
      </c>
    </row>
    <row r="634" ht="15.75" customHeight="1">
      <c r="B634" s="3" t="str">
        <f>IFERROR(__xludf.DUMMYFUNCTION("IFERROR(GOOGLEFINANCE(A634,""price""),"""")"),"")</f>
        <v/>
      </c>
      <c r="C634" s="3" t="str">
        <f t="shared" si="1"/>
        <v/>
      </c>
    </row>
    <row r="635" ht="15.75" customHeight="1">
      <c r="B635" s="3" t="str">
        <f>IFERROR(__xludf.DUMMYFUNCTION("IFERROR(GOOGLEFINANCE(A635,""price""),"""")"),"")</f>
        <v/>
      </c>
      <c r="C635" s="3" t="str">
        <f t="shared" si="1"/>
        <v/>
      </c>
    </row>
    <row r="636" ht="15.75" customHeight="1">
      <c r="B636" s="3" t="str">
        <f>IFERROR(__xludf.DUMMYFUNCTION("IFERROR(GOOGLEFINANCE(A636,""price""),"""")"),"")</f>
        <v/>
      </c>
      <c r="C636" s="3" t="str">
        <f t="shared" si="1"/>
        <v/>
      </c>
    </row>
    <row r="637" ht="15.75" customHeight="1">
      <c r="B637" s="3" t="str">
        <f>IFERROR(__xludf.DUMMYFUNCTION("IFERROR(GOOGLEFINANCE(A637,""price""),"""")"),"")</f>
        <v/>
      </c>
      <c r="C637" s="3" t="str">
        <f t="shared" si="1"/>
        <v/>
      </c>
    </row>
    <row r="638" ht="15.75" customHeight="1">
      <c r="B638" s="3" t="str">
        <f>IFERROR(__xludf.DUMMYFUNCTION("IFERROR(GOOGLEFINANCE(A638,""price""),"""")"),"")</f>
        <v/>
      </c>
      <c r="C638" s="3" t="str">
        <f t="shared" si="1"/>
        <v/>
      </c>
    </row>
    <row r="639" ht="15.75" customHeight="1">
      <c r="B639" s="3" t="str">
        <f>IFERROR(__xludf.DUMMYFUNCTION("IFERROR(GOOGLEFINANCE(A639,""price""),"""")"),"")</f>
        <v/>
      </c>
      <c r="C639" s="3" t="str">
        <f t="shared" si="1"/>
        <v/>
      </c>
    </row>
    <row r="640" ht="15.75" customHeight="1">
      <c r="B640" s="3" t="str">
        <f>IFERROR(__xludf.DUMMYFUNCTION("IFERROR(GOOGLEFINANCE(A640,""price""),"""")"),"")</f>
        <v/>
      </c>
      <c r="C640" s="3" t="str">
        <f t="shared" si="1"/>
        <v/>
      </c>
    </row>
    <row r="641" ht="15.75" customHeight="1">
      <c r="B641" s="3" t="str">
        <f>IFERROR(__xludf.DUMMYFUNCTION("IFERROR(GOOGLEFINANCE(A641,""price""),"""")"),"")</f>
        <v/>
      </c>
      <c r="C641" s="3" t="str">
        <f t="shared" si="1"/>
        <v/>
      </c>
    </row>
    <row r="642" ht="15.75" customHeight="1">
      <c r="B642" s="3" t="str">
        <f>IFERROR(__xludf.DUMMYFUNCTION("IFERROR(GOOGLEFINANCE(A642,""price""),"""")"),"")</f>
        <v/>
      </c>
      <c r="C642" s="3" t="str">
        <f t="shared" si="1"/>
        <v/>
      </c>
    </row>
    <row r="643" ht="15.75" customHeight="1">
      <c r="B643" s="3" t="str">
        <f>IFERROR(__xludf.DUMMYFUNCTION("IFERROR(GOOGLEFINANCE(A643,""price""),"""")"),"")</f>
        <v/>
      </c>
      <c r="C643" s="3" t="str">
        <f t="shared" si="1"/>
        <v/>
      </c>
    </row>
    <row r="644" ht="15.75" customHeight="1">
      <c r="B644" s="3" t="str">
        <f>IFERROR(__xludf.DUMMYFUNCTION("IFERROR(GOOGLEFINANCE(A644,""price""),"""")"),"")</f>
        <v/>
      </c>
      <c r="C644" s="3" t="str">
        <f t="shared" si="1"/>
        <v/>
      </c>
    </row>
    <row r="645" ht="15.75" customHeight="1">
      <c r="B645" s="3" t="str">
        <f>IFERROR(__xludf.DUMMYFUNCTION("IFERROR(GOOGLEFINANCE(A645,""price""),"""")"),"")</f>
        <v/>
      </c>
      <c r="C645" s="3" t="str">
        <f t="shared" si="1"/>
        <v/>
      </c>
    </row>
    <row r="646" ht="15.75" customHeight="1">
      <c r="B646" s="3" t="str">
        <f>IFERROR(__xludf.DUMMYFUNCTION("IFERROR(GOOGLEFINANCE(A646,""price""),"""")"),"")</f>
        <v/>
      </c>
      <c r="C646" s="3" t="str">
        <f t="shared" si="1"/>
        <v/>
      </c>
    </row>
    <row r="647" ht="15.75" customHeight="1">
      <c r="B647" s="3" t="str">
        <f>IFERROR(__xludf.DUMMYFUNCTION("IFERROR(GOOGLEFINANCE(A647,""price""),"""")"),"")</f>
        <v/>
      </c>
      <c r="C647" s="3" t="str">
        <f t="shared" si="1"/>
        <v/>
      </c>
    </row>
    <row r="648" ht="15.75" customHeight="1">
      <c r="B648" s="3" t="str">
        <f>IFERROR(__xludf.DUMMYFUNCTION("IFERROR(GOOGLEFINANCE(A648,""price""),"""")"),"")</f>
        <v/>
      </c>
      <c r="C648" s="3" t="str">
        <f t="shared" si="1"/>
        <v/>
      </c>
    </row>
    <row r="649" ht="15.75" customHeight="1">
      <c r="B649" s="3" t="str">
        <f>IFERROR(__xludf.DUMMYFUNCTION("IFERROR(GOOGLEFINANCE(A649,""price""),"""")"),"")</f>
        <v/>
      </c>
      <c r="C649" s="3" t="str">
        <f t="shared" si="1"/>
        <v/>
      </c>
    </row>
    <row r="650" ht="15.75" customHeight="1">
      <c r="B650" s="3" t="str">
        <f>IFERROR(__xludf.DUMMYFUNCTION("IFERROR(GOOGLEFINANCE(A650,""price""),"""")"),"")</f>
        <v/>
      </c>
      <c r="C650" s="3" t="str">
        <f t="shared" si="1"/>
        <v/>
      </c>
    </row>
    <row r="651" ht="15.75" customHeight="1">
      <c r="B651" s="3" t="str">
        <f>IFERROR(__xludf.DUMMYFUNCTION("IFERROR(GOOGLEFINANCE(A651,""price""),"""")"),"")</f>
        <v/>
      </c>
      <c r="C651" s="3" t="str">
        <f t="shared" si="1"/>
        <v/>
      </c>
    </row>
    <row r="652" ht="15.75" customHeight="1">
      <c r="B652" s="3" t="str">
        <f>IFERROR(__xludf.DUMMYFUNCTION("IFERROR(GOOGLEFINANCE(A652,""price""),"""")"),"")</f>
        <v/>
      </c>
      <c r="C652" s="3" t="str">
        <f t="shared" si="1"/>
        <v/>
      </c>
    </row>
    <row r="653" ht="15.75" customHeight="1">
      <c r="B653" s="3" t="str">
        <f>IFERROR(__xludf.DUMMYFUNCTION("IFERROR(GOOGLEFINANCE(A653,""price""),"""")"),"")</f>
        <v/>
      </c>
      <c r="C653" s="3" t="str">
        <f t="shared" si="1"/>
        <v/>
      </c>
    </row>
    <row r="654" ht="15.75" customHeight="1">
      <c r="B654" s="3" t="str">
        <f>IFERROR(__xludf.DUMMYFUNCTION("IFERROR(GOOGLEFINANCE(A654,""price""),"""")"),"")</f>
        <v/>
      </c>
      <c r="C654" s="3" t="str">
        <f t="shared" si="1"/>
        <v/>
      </c>
    </row>
    <row r="655" ht="15.75" customHeight="1">
      <c r="B655" s="3" t="str">
        <f>IFERROR(__xludf.DUMMYFUNCTION("IFERROR(GOOGLEFINANCE(A655,""price""),"""")"),"")</f>
        <v/>
      </c>
      <c r="C655" s="3" t="str">
        <f t="shared" si="1"/>
        <v/>
      </c>
    </row>
    <row r="656" ht="15.75" customHeight="1">
      <c r="B656" s="3" t="str">
        <f>IFERROR(__xludf.DUMMYFUNCTION("IFERROR(GOOGLEFINANCE(A656,""price""),"""")"),"")</f>
        <v/>
      </c>
      <c r="C656" s="3" t="str">
        <f t="shared" si="1"/>
        <v/>
      </c>
    </row>
    <row r="657" ht="15.75" customHeight="1">
      <c r="B657" s="3" t="str">
        <f>IFERROR(__xludf.DUMMYFUNCTION("IFERROR(GOOGLEFINANCE(A657,""price""),"""")"),"")</f>
        <v/>
      </c>
      <c r="C657" s="3" t="str">
        <f t="shared" si="1"/>
        <v/>
      </c>
    </row>
    <row r="658" ht="15.75" customHeight="1">
      <c r="B658" s="3" t="str">
        <f>IFERROR(__xludf.DUMMYFUNCTION("IFERROR(GOOGLEFINANCE(A658,""price""),"""")"),"")</f>
        <v/>
      </c>
      <c r="C658" s="3" t="str">
        <f t="shared" si="1"/>
        <v/>
      </c>
    </row>
    <row r="659" ht="15.75" customHeight="1">
      <c r="B659" s="3" t="str">
        <f>IFERROR(__xludf.DUMMYFUNCTION("IFERROR(GOOGLEFINANCE(A659,""price""),"""")"),"")</f>
        <v/>
      </c>
      <c r="C659" s="3" t="str">
        <f t="shared" si="1"/>
        <v/>
      </c>
    </row>
    <row r="660" ht="15.75" customHeight="1">
      <c r="B660" s="3" t="str">
        <f>IFERROR(__xludf.DUMMYFUNCTION("IFERROR(GOOGLEFINANCE(A660,""price""),"""")"),"")</f>
        <v/>
      </c>
      <c r="C660" s="3" t="str">
        <f t="shared" si="1"/>
        <v/>
      </c>
    </row>
    <row r="661" ht="15.75" customHeight="1">
      <c r="B661" s="3" t="str">
        <f>IFERROR(__xludf.DUMMYFUNCTION("IFERROR(GOOGLEFINANCE(A661,""price""),"""")"),"")</f>
        <v/>
      </c>
      <c r="C661" s="3" t="str">
        <f t="shared" si="1"/>
        <v/>
      </c>
    </row>
    <row r="662" ht="15.75" customHeight="1">
      <c r="B662" s="3" t="str">
        <f>IFERROR(__xludf.DUMMYFUNCTION("IFERROR(GOOGLEFINANCE(A662,""price""),"""")"),"")</f>
        <v/>
      </c>
      <c r="C662" s="3" t="str">
        <f t="shared" si="1"/>
        <v/>
      </c>
    </row>
    <row r="663" ht="15.75" customHeight="1">
      <c r="B663" s="3" t="str">
        <f>IFERROR(__xludf.DUMMYFUNCTION("IFERROR(GOOGLEFINANCE(A663,""price""),"""")"),"")</f>
        <v/>
      </c>
      <c r="C663" s="3" t="str">
        <f t="shared" si="1"/>
        <v/>
      </c>
    </row>
    <row r="664" ht="15.75" customHeight="1">
      <c r="B664" s="3" t="str">
        <f>IFERROR(__xludf.DUMMYFUNCTION("IFERROR(GOOGLEFINANCE(A664,""price""),"""")"),"")</f>
        <v/>
      </c>
      <c r="C664" s="3" t="str">
        <f t="shared" si="1"/>
        <v/>
      </c>
    </row>
    <row r="665" ht="15.75" customHeight="1">
      <c r="B665" s="3" t="str">
        <f>IFERROR(__xludf.DUMMYFUNCTION("IFERROR(GOOGLEFINANCE(A665,""price""),"""")"),"")</f>
        <v/>
      </c>
      <c r="C665" s="3" t="str">
        <f t="shared" si="1"/>
        <v/>
      </c>
    </row>
    <row r="666" ht="15.75" customHeight="1">
      <c r="B666" s="3" t="str">
        <f>IFERROR(__xludf.DUMMYFUNCTION("IFERROR(GOOGLEFINANCE(A666,""price""),"""")"),"")</f>
        <v/>
      </c>
      <c r="C666" s="3" t="str">
        <f t="shared" si="1"/>
        <v/>
      </c>
    </row>
    <row r="667" ht="15.75" customHeight="1">
      <c r="B667" s="3" t="str">
        <f>IFERROR(__xludf.DUMMYFUNCTION("IFERROR(GOOGLEFINANCE(A667,""price""),"""")"),"")</f>
        <v/>
      </c>
      <c r="C667" s="3" t="str">
        <f t="shared" si="1"/>
        <v/>
      </c>
    </row>
    <row r="668" ht="15.75" customHeight="1">
      <c r="B668" s="3" t="str">
        <f>IFERROR(__xludf.DUMMYFUNCTION("IFERROR(GOOGLEFINANCE(A668,""price""),"""")"),"")</f>
        <v/>
      </c>
      <c r="C668" s="3" t="str">
        <f t="shared" si="1"/>
        <v/>
      </c>
    </row>
    <row r="669" ht="15.75" customHeight="1">
      <c r="B669" s="3" t="str">
        <f>IFERROR(__xludf.DUMMYFUNCTION("IFERROR(GOOGLEFINANCE(A669,""price""),"""")"),"")</f>
        <v/>
      </c>
      <c r="C669" s="3" t="str">
        <f t="shared" si="1"/>
        <v/>
      </c>
    </row>
    <row r="670" ht="15.75" customHeight="1">
      <c r="B670" s="3" t="str">
        <f>IFERROR(__xludf.DUMMYFUNCTION("IFERROR(GOOGLEFINANCE(A670,""price""),"""")"),"")</f>
        <v/>
      </c>
      <c r="C670" s="3" t="str">
        <f t="shared" si="1"/>
        <v/>
      </c>
    </row>
    <row r="671" ht="15.75" customHeight="1">
      <c r="B671" s="3" t="str">
        <f>IFERROR(__xludf.DUMMYFUNCTION("IFERROR(GOOGLEFINANCE(A671,""price""),"""")"),"")</f>
        <v/>
      </c>
      <c r="C671" s="3" t="str">
        <f t="shared" si="1"/>
        <v/>
      </c>
    </row>
    <row r="672" ht="15.75" customHeight="1">
      <c r="B672" s="3" t="str">
        <f>IFERROR(__xludf.DUMMYFUNCTION("IFERROR(GOOGLEFINANCE(A672,""price""),"""")"),"")</f>
        <v/>
      </c>
      <c r="C672" s="3" t="str">
        <f t="shared" si="1"/>
        <v/>
      </c>
    </row>
    <row r="673" ht="15.75" customHeight="1">
      <c r="B673" s="3" t="str">
        <f>IFERROR(__xludf.DUMMYFUNCTION("IFERROR(GOOGLEFINANCE(A673,""price""),"""")"),"")</f>
        <v/>
      </c>
      <c r="C673" s="3" t="str">
        <f t="shared" si="1"/>
        <v/>
      </c>
    </row>
    <row r="674" ht="15.75" customHeight="1">
      <c r="B674" s="3" t="str">
        <f>IFERROR(__xludf.DUMMYFUNCTION("IFERROR(GOOGLEFINANCE(A674,""price""),"""")"),"")</f>
        <v/>
      </c>
      <c r="C674" s="3" t="str">
        <f t="shared" si="1"/>
        <v/>
      </c>
    </row>
    <row r="675" ht="15.75" customHeight="1">
      <c r="B675" s="3" t="str">
        <f>IFERROR(__xludf.DUMMYFUNCTION("IFERROR(GOOGLEFINANCE(A675,""price""),"""")"),"")</f>
        <v/>
      </c>
      <c r="C675" s="3" t="str">
        <f t="shared" si="1"/>
        <v/>
      </c>
    </row>
    <row r="676" ht="15.75" customHeight="1">
      <c r="B676" s="3" t="str">
        <f>IFERROR(__xludf.DUMMYFUNCTION("IFERROR(GOOGLEFINANCE(A676,""price""),"""")"),"")</f>
        <v/>
      </c>
      <c r="C676" s="3" t="str">
        <f t="shared" si="1"/>
        <v/>
      </c>
    </row>
    <row r="677" ht="15.75" customHeight="1">
      <c r="B677" s="3" t="str">
        <f>IFERROR(__xludf.DUMMYFUNCTION("IFERROR(GOOGLEFINANCE(A677,""price""),"""")"),"")</f>
        <v/>
      </c>
      <c r="C677" s="3" t="str">
        <f t="shared" si="1"/>
        <v/>
      </c>
    </row>
    <row r="678" ht="15.75" customHeight="1">
      <c r="B678" s="3" t="str">
        <f>IFERROR(__xludf.DUMMYFUNCTION("IFERROR(GOOGLEFINANCE(A678,""price""),"""")"),"")</f>
        <v/>
      </c>
      <c r="C678" s="3" t="str">
        <f t="shared" si="1"/>
        <v/>
      </c>
    </row>
    <row r="679" ht="15.75" customHeight="1">
      <c r="B679" s="3" t="str">
        <f>IFERROR(__xludf.DUMMYFUNCTION("IFERROR(GOOGLEFINANCE(A679,""price""),"""")"),"")</f>
        <v/>
      </c>
      <c r="C679" s="3" t="str">
        <f t="shared" si="1"/>
        <v/>
      </c>
    </row>
    <row r="680" ht="15.75" customHeight="1">
      <c r="B680" s="3" t="str">
        <f>IFERROR(__xludf.DUMMYFUNCTION("IFERROR(GOOGLEFINANCE(A680,""price""),"""")"),"")</f>
        <v/>
      </c>
      <c r="C680" s="3" t="str">
        <f t="shared" si="1"/>
        <v/>
      </c>
    </row>
    <row r="681" ht="15.75" customHeight="1">
      <c r="B681" s="3" t="str">
        <f>IFERROR(__xludf.DUMMYFUNCTION("IFERROR(GOOGLEFINANCE(A681,""price""),"""")"),"")</f>
        <v/>
      </c>
      <c r="C681" s="3" t="str">
        <f t="shared" si="1"/>
        <v/>
      </c>
    </row>
    <row r="682" ht="15.75" customHeight="1">
      <c r="B682" s="3" t="str">
        <f>IFERROR(__xludf.DUMMYFUNCTION("IFERROR(GOOGLEFINANCE(A682,""price""),"""")"),"")</f>
        <v/>
      </c>
      <c r="C682" s="3" t="str">
        <f t="shared" si="1"/>
        <v/>
      </c>
    </row>
    <row r="683" ht="15.75" customHeight="1">
      <c r="B683" s="3" t="str">
        <f>IFERROR(__xludf.DUMMYFUNCTION("IFERROR(GOOGLEFINANCE(A683,""price""),"""")"),"")</f>
        <v/>
      </c>
      <c r="C683" s="3" t="str">
        <f t="shared" si="1"/>
        <v/>
      </c>
    </row>
    <row r="684" ht="15.75" customHeight="1">
      <c r="B684" s="3" t="str">
        <f>IFERROR(__xludf.DUMMYFUNCTION("IFERROR(GOOGLEFINANCE(A684,""price""),"""")"),"")</f>
        <v/>
      </c>
      <c r="C684" s="3" t="str">
        <f t="shared" si="1"/>
        <v/>
      </c>
    </row>
    <row r="685" ht="15.75" customHeight="1">
      <c r="B685" s="3" t="str">
        <f>IFERROR(__xludf.DUMMYFUNCTION("IFERROR(GOOGLEFINANCE(A685,""price""),"""")"),"")</f>
        <v/>
      </c>
      <c r="C685" s="3" t="str">
        <f t="shared" si="1"/>
        <v/>
      </c>
    </row>
    <row r="686" ht="15.75" customHeight="1">
      <c r="B686" s="3" t="str">
        <f>IFERROR(__xludf.DUMMYFUNCTION("IFERROR(GOOGLEFINANCE(A686,""price""),"""")"),"")</f>
        <v/>
      </c>
      <c r="C686" s="3" t="str">
        <f t="shared" si="1"/>
        <v/>
      </c>
    </row>
    <row r="687" ht="15.75" customHeight="1">
      <c r="B687" s="3" t="str">
        <f>IFERROR(__xludf.DUMMYFUNCTION("IFERROR(GOOGLEFINANCE(A687,""price""),"""")"),"")</f>
        <v/>
      </c>
      <c r="C687" s="3" t="str">
        <f t="shared" si="1"/>
        <v/>
      </c>
    </row>
    <row r="688" ht="15.75" customHeight="1">
      <c r="B688" s="3" t="str">
        <f>IFERROR(__xludf.DUMMYFUNCTION("IFERROR(GOOGLEFINANCE(A688,""price""),"""")"),"")</f>
        <v/>
      </c>
      <c r="C688" s="3" t="str">
        <f t="shared" si="1"/>
        <v/>
      </c>
    </row>
    <row r="689" ht="15.75" customHeight="1">
      <c r="B689" s="3" t="str">
        <f>IFERROR(__xludf.DUMMYFUNCTION("IFERROR(GOOGLEFINANCE(A689,""price""),"""")"),"")</f>
        <v/>
      </c>
      <c r="C689" s="3" t="str">
        <f t="shared" si="1"/>
        <v/>
      </c>
    </row>
    <row r="690" ht="15.75" customHeight="1">
      <c r="B690" s="3" t="str">
        <f>IFERROR(__xludf.DUMMYFUNCTION("IFERROR(GOOGLEFINANCE(A690,""price""),"""")"),"")</f>
        <v/>
      </c>
      <c r="C690" s="3" t="str">
        <f t="shared" si="1"/>
        <v/>
      </c>
    </row>
    <row r="691" ht="15.75" customHeight="1">
      <c r="B691" s="3" t="str">
        <f>IFERROR(__xludf.DUMMYFUNCTION("IFERROR(GOOGLEFINANCE(A691,""price""),"""")"),"")</f>
        <v/>
      </c>
      <c r="C691" s="3" t="str">
        <f t="shared" si="1"/>
        <v/>
      </c>
    </row>
    <row r="692" ht="15.75" customHeight="1">
      <c r="B692" s="3" t="str">
        <f>IFERROR(__xludf.DUMMYFUNCTION("IFERROR(GOOGLEFINANCE(A692,""price""),"""")"),"")</f>
        <v/>
      </c>
      <c r="C692" s="3" t="str">
        <f t="shared" si="1"/>
        <v/>
      </c>
    </row>
    <row r="693" ht="15.75" customHeight="1">
      <c r="B693" s="3" t="str">
        <f>IFERROR(__xludf.DUMMYFUNCTION("IFERROR(GOOGLEFINANCE(A693,""price""),"""")"),"")</f>
        <v/>
      </c>
      <c r="C693" s="3" t="str">
        <f t="shared" si="1"/>
        <v/>
      </c>
    </row>
    <row r="694" ht="15.75" customHeight="1">
      <c r="B694" s="3" t="str">
        <f>IFERROR(__xludf.DUMMYFUNCTION("IFERROR(GOOGLEFINANCE(A694,""price""),"""")"),"")</f>
        <v/>
      </c>
      <c r="C694" s="3" t="str">
        <f t="shared" si="1"/>
        <v/>
      </c>
    </row>
    <row r="695" ht="15.75" customHeight="1">
      <c r="B695" s="3" t="str">
        <f>IFERROR(__xludf.DUMMYFUNCTION("IFERROR(GOOGLEFINANCE(A695,""price""),"""")"),"")</f>
        <v/>
      </c>
      <c r="C695" s="3" t="str">
        <f t="shared" si="1"/>
        <v/>
      </c>
    </row>
    <row r="696" ht="15.75" customHeight="1">
      <c r="B696" s="3" t="str">
        <f>IFERROR(__xludf.DUMMYFUNCTION("IFERROR(GOOGLEFINANCE(A696,""price""),"""")"),"")</f>
        <v/>
      </c>
      <c r="C696" s="3" t="str">
        <f t="shared" si="1"/>
        <v/>
      </c>
    </row>
    <row r="697" ht="15.75" customHeight="1">
      <c r="B697" s="3" t="str">
        <f>IFERROR(__xludf.DUMMYFUNCTION("IFERROR(GOOGLEFINANCE(A697,""price""),"""")"),"")</f>
        <v/>
      </c>
      <c r="C697" s="3" t="str">
        <f t="shared" si="1"/>
        <v/>
      </c>
    </row>
    <row r="698" ht="15.75" customHeight="1">
      <c r="B698" s="3" t="str">
        <f>IFERROR(__xludf.DUMMYFUNCTION("IFERROR(GOOGLEFINANCE(A698,""price""),"""")"),"")</f>
        <v/>
      </c>
      <c r="C698" s="3" t="str">
        <f t="shared" si="1"/>
        <v/>
      </c>
    </row>
    <row r="699" ht="15.75" customHeight="1">
      <c r="B699" s="3" t="str">
        <f>IFERROR(__xludf.DUMMYFUNCTION("IFERROR(GOOGLEFINANCE(A699,""price""),"""")"),"")</f>
        <v/>
      </c>
      <c r="C699" s="3" t="str">
        <f t="shared" si="1"/>
        <v/>
      </c>
    </row>
    <row r="700" ht="15.75" customHeight="1">
      <c r="B700" s="3" t="str">
        <f>IFERROR(__xludf.DUMMYFUNCTION("IFERROR(GOOGLEFINANCE(A700,""price""),"""")"),"")</f>
        <v/>
      </c>
      <c r="C700" s="3" t="str">
        <f t="shared" si="1"/>
        <v/>
      </c>
    </row>
    <row r="701" ht="15.75" customHeight="1">
      <c r="B701" s="3" t="str">
        <f>IFERROR(__xludf.DUMMYFUNCTION("IFERROR(GOOGLEFINANCE(A701,""price""),"""")"),"")</f>
        <v/>
      </c>
      <c r="C701" s="3" t="str">
        <f t="shared" si="1"/>
        <v/>
      </c>
    </row>
    <row r="702" ht="15.75" customHeight="1">
      <c r="B702" s="3" t="str">
        <f>IFERROR(__xludf.DUMMYFUNCTION("IFERROR(GOOGLEFINANCE(A702,""price""),"""")"),"")</f>
        <v/>
      </c>
      <c r="C702" s="3" t="str">
        <f t="shared" si="1"/>
        <v/>
      </c>
    </row>
    <row r="703" ht="15.75" customHeight="1">
      <c r="B703" s="3" t="str">
        <f>IFERROR(__xludf.DUMMYFUNCTION("IFERROR(GOOGLEFINANCE(A703,""price""),"""")"),"")</f>
        <v/>
      </c>
      <c r="C703" s="3" t="str">
        <f t="shared" si="1"/>
        <v/>
      </c>
    </row>
    <row r="704" ht="15.75" customHeight="1">
      <c r="B704" s="3" t="str">
        <f>IFERROR(__xludf.DUMMYFUNCTION("IFERROR(GOOGLEFINANCE(A704,""price""),"""")"),"")</f>
        <v/>
      </c>
      <c r="C704" s="3" t="str">
        <f t="shared" si="1"/>
        <v/>
      </c>
    </row>
    <row r="705" ht="15.75" customHeight="1">
      <c r="B705" s="3" t="str">
        <f>IFERROR(__xludf.DUMMYFUNCTION("IFERROR(GOOGLEFINANCE(A705,""price""),"""")"),"")</f>
        <v/>
      </c>
      <c r="C705" s="3" t="str">
        <f t="shared" si="1"/>
        <v/>
      </c>
    </row>
    <row r="706" ht="15.75" customHeight="1">
      <c r="B706" s="3" t="str">
        <f>IFERROR(__xludf.DUMMYFUNCTION("IFERROR(GOOGLEFINANCE(A706,""price""),"""")"),"")</f>
        <v/>
      </c>
      <c r="C706" s="3" t="str">
        <f t="shared" si="1"/>
        <v/>
      </c>
    </row>
    <row r="707" ht="15.75" customHeight="1">
      <c r="B707" s="3" t="str">
        <f>IFERROR(__xludf.DUMMYFUNCTION("IFERROR(GOOGLEFINANCE(A707,""price""),"""")"),"")</f>
        <v/>
      </c>
      <c r="C707" s="3" t="str">
        <f t="shared" si="1"/>
        <v/>
      </c>
    </row>
    <row r="708" ht="15.75" customHeight="1">
      <c r="B708" s="3" t="str">
        <f>IFERROR(__xludf.DUMMYFUNCTION("IFERROR(GOOGLEFINANCE(A708,""price""),"""")"),"")</f>
        <v/>
      </c>
      <c r="C708" s="3" t="str">
        <f t="shared" si="1"/>
        <v/>
      </c>
    </row>
    <row r="709" ht="15.75" customHeight="1">
      <c r="B709" s="3" t="str">
        <f>IFERROR(__xludf.DUMMYFUNCTION("IFERROR(GOOGLEFINANCE(A709,""price""),"""")"),"")</f>
        <v/>
      </c>
      <c r="C709" s="3" t="str">
        <f t="shared" si="1"/>
        <v/>
      </c>
    </row>
    <row r="710" ht="15.75" customHeight="1">
      <c r="B710" s="3" t="str">
        <f>IFERROR(__xludf.DUMMYFUNCTION("IFERROR(GOOGLEFINANCE(A710,""price""),"""")"),"")</f>
        <v/>
      </c>
      <c r="C710" s="3" t="str">
        <f t="shared" si="1"/>
        <v/>
      </c>
    </row>
    <row r="711" ht="15.75" customHeight="1">
      <c r="B711" s="3" t="str">
        <f>IFERROR(__xludf.DUMMYFUNCTION("IFERROR(GOOGLEFINANCE(A711,""price""),"""")"),"")</f>
        <v/>
      </c>
      <c r="C711" s="3" t="str">
        <f t="shared" si="1"/>
        <v/>
      </c>
    </row>
    <row r="712" ht="15.75" customHeight="1">
      <c r="B712" s="3" t="str">
        <f>IFERROR(__xludf.DUMMYFUNCTION("IFERROR(GOOGLEFINANCE(A712,""price""),"""")"),"")</f>
        <v/>
      </c>
      <c r="C712" s="3" t="str">
        <f t="shared" si="1"/>
        <v/>
      </c>
    </row>
    <row r="713" ht="15.75" customHeight="1">
      <c r="B713" s="3" t="str">
        <f>IFERROR(__xludf.DUMMYFUNCTION("IFERROR(GOOGLEFINANCE(A713,""price""),"""")"),"")</f>
        <v/>
      </c>
      <c r="C713" s="3" t="str">
        <f t="shared" si="1"/>
        <v/>
      </c>
    </row>
    <row r="714" ht="15.75" customHeight="1">
      <c r="B714" s="3" t="str">
        <f>IFERROR(__xludf.DUMMYFUNCTION("IFERROR(GOOGLEFINANCE(A714,""price""),"""")"),"")</f>
        <v/>
      </c>
      <c r="C714" s="3" t="str">
        <f t="shared" si="1"/>
        <v/>
      </c>
    </row>
    <row r="715" ht="15.75" customHeight="1">
      <c r="B715" s="3" t="str">
        <f>IFERROR(__xludf.DUMMYFUNCTION("IFERROR(GOOGLEFINANCE(A715,""price""),"""")"),"")</f>
        <v/>
      </c>
      <c r="C715" s="3" t="str">
        <f t="shared" si="1"/>
        <v/>
      </c>
    </row>
    <row r="716" ht="15.75" customHeight="1">
      <c r="B716" s="3" t="str">
        <f>IFERROR(__xludf.DUMMYFUNCTION("IFERROR(GOOGLEFINANCE(A716,""price""),"""")"),"")</f>
        <v/>
      </c>
      <c r="C716" s="3" t="str">
        <f t="shared" si="1"/>
        <v/>
      </c>
    </row>
    <row r="717" ht="15.75" customHeight="1">
      <c r="B717" s="3" t="str">
        <f>IFERROR(__xludf.DUMMYFUNCTION("IFERROR(GOOGLEFINANCE(A717,""price""),"""")"),"")</f>
        <v/>
      </c>
      <c r="C717" s="3" t="str">
        <f t="shared" si="1"/>
        <v/>
      </c>
    </row>
    <row r="718" ht="15.75" customHeight="1">
      <c r="B718" s="3" t="str">
        <f>IFERROR(__xludf.DUMMYFUNCTION("IFERROR(GOOGLEFINANCE(A718,""price""),"""")"),"")</f>
        <v/>
      </c>
      <c r="C718" s="3" t="str">
        <f t="shared" si="1"/>
        <v/>
      </c>
    </row>
    <row r="719" ht="15.75" customHeight="1">
      <c r="B719" s="3" t="str">
        <f>IFERROR(__xludf.DUMMYFUNCTION("IFERROR(GOOGLEFINANCE(A719,""price""),"""")"),"")</f>
        <v/>
      </c>
      <c r="C719" s="3" t="str">
        <f t="shared" si="1"/>
        <v/>
      </c>
    </row>
    <row r="720" ht="15.75" customHeight="1">
      <c r="B720" s="3" t="str">
        <f>IFERROR(__xludf.DUMMYFUNCTION("IFERROR(GOOGLEFINANCE(A720,""price""),"""")"),"")</f>
        <v/>
      </c>
      <c r="C720" s="3" t="str">
        <f t="shared" si="1"/>
        <v/>
      </c>
    </row>
    <row r="721" ht="15.75" customHeight="1">
      <c r="B721" s="3" t="str">
        <f>IFERROR(__xludf.DUMMYFUNCTION("IFERROR(GOOGLEFINANCE(A721,""price""),"""")"),"")</f>
        <v/>
      </c>
      <c r="C721" s="3" t="str">
        <f t="shared" si="1"/>
        <v/>
      </c>
    </row>
    <row r="722" ht="15.75" customHeight="1">
      <c r="B722" s="3" t="str">
        <f>IFERROR(__xludf.DUMMYFUNCTION("IFERROR(GOOGLEFINANCE(A722,""price""),"""")"),"")</f>
        <v/>
      </c>
      <c r="C722" s="3" t="str">
        <f t="shared" si="1"/>
        <v/>
      </c>
    </row>
    <row r="723" ht="15.75" customHeight="1">
      <c r="B723" s="3" t="str">
        <f>IFERROR(__xludf.DUMMYFUNCTION("IFERROR(GOOGLEFINANCE(A723,""price""),"""")"),"")</f>
        <v/>
      </c>
      <c r="C723" s="3" t="str">
        <f t="shared" si="1"/>
        <v/>
      </c>
    </row>
    <row r="724" ht="15.75" customHeight="1">
      <c r="B724" s="3" t="str">
        <f>IFERROR(__xludf.DUMMYFUNCTION("IFERROR(GOOGLEFINANCE(A724,""price""),"""")"),"")</f>
        <v/>
      </c>
      <c r="C724" s="3" t="str">
        <f t="shared" si="1"/>
        <v/>
      </c>
    </row>
    <row r="725" ht="15.75" customHeight="1">
      <c r="B725" s="3" t="str">
        <f>IFERROR(__xludf.DUMMYFUNCTION("IFERROR(GOOGLEFINANCE(A725,""price""),"""")"),"")</f>
        <v/>
      </c>
      <c r="C725" s="3" t="str">
        <f t="shared" si="1"/>
        <v/>
      </c>
    </row>
    <row r="726" ht="15.75" customHeight="1">
      <c r="B726" s="3" t="str">
        <f>IFERROR(__xludf.DUMMYFUNCTION("IFERROR(GOOGLEFINANCE(A726,""price""),"""")"),"")</f>
        <v/>
      </c>
      <c r="C726" s="3" t="str">
        <f t="shared" si="1"/>
        <v/>
      </c>
    </row>
    <row r="727" ht="15.75" customHeight="1">
      <c r="B727" s="3" t="str">
        <f>IFERROR(__xludf.DUMMYFUNCTION("IFERROR(GOOGLEFINANCE(A727,""price""),"""")"),"")</f>
        <v/>
      </c>
      <c r="C727" s="3" t="str">
        <f t="shared" si="1"/>
        <v/>
      </c>
    </row>
    <row r="728" ht="15.75" customHeight="1">
      <c r="B728" s="3" t="str">
        <f>IFERROR(__xludf.DUMMYFUNCTION("IFERROR(GOOGLEFINANCE(A728,""price""),"""")"),"")</f>
        <v/>
      </c>
      <c r="C728" s="3" t="str">
        <f t="shared" si="1"/>
        <v/>
      </c>
    </row>
    <row r="729" ht="15.75" customHeight="1">
      <c r="B729" s="3" t="str">
        <f>IFERROR(__xludf.DUMMYFUNCTION("IFERROR(GOOGLEFINANCE(A729,""price""),"""")"),"")</f>
        <v/>
      </c>
      <c r="C729" s="3" t="str">
        <f t="shared" si="1"/>
        <v/>
      </c>
    </row>
    <row r="730" ht="15.75" customHeight="1">
      <c r="B730" s="3" t="str">
        <f>IFERROR(__xludf.DUMMYFUNCTION("IFERROR(GOOGLEFINANCE(A730,""price""),"""")"),"")</f>
        <v/>
      </c>
      <c r="C730" s="3" t="str">
        <f t="shared" si="1"/>
        <v/>
      </c>
    </row>
    <row r="731" ht="15.75" customHeight="1">
      <c r="B731" s="3" t="str">
        <f>IFERROR(__xludf.DUMMYFUNCTION("IFERROR(GOOGLEFINANCE(A731,""price""),"""")"),"")</f>
        <v/>
      </c>
      <c r="C731" s="3" t="str">
        <f t="shared" si="1"/>
        <v/>
      </c>
    </row>
    <row r="732" ht="15.75" customHeight="1">
      <c r="B732" s="3" t="str">
        <f>IFERROR(__xludf.DUMMYFUNCTION("IFERROR(GOOGLEFINANCE(A732,""price""),"""")"),"")</f>
        <v/>
      </c>
      <c r="C732" s="3" t="str">
        <f t="shared" si="1"/>
        <v/>
      </c>
    </row>
    <row r="733" ht="15.75" customHeight="1">
      <c r="B733" s="3" t="str">
        <f>IFERROR(__xludf.DUMMYFUNCTION("IFERROR(GOOGLEFINANCE(A733,""price""),"""")"),"")</f>
        <v/>
      </c>
      <c r="C733" s="3" t="str">
        <f t="shared" si="1"/>
        <v/>
      </c>
    </row>
    <row r="734" ht="15.75" customHeight="1">
      <c r="B734" s="3" t="str">
        <f>IFERROR(__xludf.DUMMYFUNCTION("IFERROR(GOOGLEFINANCE(A734,""price""),"""")"),"")</f>
        <v/>
      </c>
      <c r="C734" s="3" t="str">
        <f t="shared" si="1"/>
        <v/>
      </c>
    </row>
    <row r="735" ht="15.75" customHeight="1">
      <c r="B735" s="3" t="str">
        <f>IFERROR(__xludf.DUMMYFUNCTION("IFERROR(GOOGLEFINANCE(A735,""price""),"""")"),"")</f>
        <v/>
      </c>
      <c r="C735" s="3" t="str">
        <f t="shared" si="1"/>
        <v/>
      </c>
    </row>
    <row r="736" ht="15.75" customHeight="1">
      <c r="B736" s="3" t="str">
        <f>IFERROR(__xludf.DUMMYFUNCTION("IFERROR(GOOGLEFINANCE(A736,""price""),"""")"),"")</f>
        <v/>
      </c>
      <c r="C736" s="3" t="str">
        <f t="shared" si="1"/>
        <v/>
      </c>
    </row>
    <row r="737" ht="15.75" customHeight="1">
      <c r="B737" s="3" t="str">
        <f>IFERROR(__xludf.DUMMYFUNCTION("IFERROR(GOOGLEFINANCE(A737,""price""),"""")"),"")</f>
        <v/>
      </c>
      <c r="C737" s="3" t="str">
        <f t="shared" si="1"/>
        <v/>
      </c>
    </row>
    <row r="738" ht="15.75" customHeight="1">
      <c r="B738" s="3" t="str">
        <f>IFERROR(__xludf.DUMMYFUNCTION("IFERROR(GOOGLEFINANCE(A738,""price""),"""")"),"")</f>
        <v/>
      </c>
      <c r="C738" s="3" t="str">
        <f t="shared" si="1"/>
        <v/>
      </c>
    </row>
    <row r="739" ht="15.75" customHeight="1">
      <c r="B739" s="3" t="str">
        <f>IFERROR(__xludf.DUMMYFUNCTION("IFERROR(GOOGLEFINANCE(A739,""price""),"""")"),"")</f>
        <v/>
      </c>
      <c r="C739" s="3" t="str">
        <f t="shared" si="1"/>
        <v/>
      </c>
    </row>
    <row r="740" ht="15.75" customHeight="1">
      <c r="B740" s="3" t="str">
        <f>IFERROR(__xludf.DUMMYFUNCTION("IFERROR(GOOGLEFINANCE(A740,""price""),"""")"),"")</f>
        <v/>
      </c>
      <c r="C740" s="3" t="str">
        <f t="shared" si="1"/>
        <v/>
      </c>
    </row>
    <row r="741" ht="15.75" customHeight="1">
      <c r="B741" s="3" t="str">
        <f>IFERROR(__xludf.DUMMYFUNCTION("IFERROR(GOOGLEFINANCE(A741,""price""),"""")"),"")</f>
        <v/>
      </c>
      <c r="C741" s="3" t="str">
        <f t="shared" si="1"/>
        <v/>
      </c>
    </row>
    <row r="742" ht="15.75" customHeight="1">
      <c r="B742" s="3" t="str">
        <f>IFERROR(__xludf.DUMMYFUNCTION("IFERROR(GOOGLEFINANCE(A742,""price""),"""")"),"")</f>
        <v/>
      </c>
      <c r="C742" s="3" t="str">
        <f t="shared" si="1"/>
        <v/>
      </c>
    </row>
    <row r="743" ht="15.75" customHeight="1">
      <c r="B743" s="3" t="str">
        <f>IFERROR(__xludf.DUMMYFUNCTION("IFERROR(GOOGLEFINANCE(A743,""price""),"""")"),"")</f>
        <v/>
      </c>
      <c r="C743" s="3" t="str">
        <f t="shared" si="1"/>
        <v/>
      </c>
    </row>
    <row r="744" ht="15.75" customHeight="1">
      <c r="B744" s="3" t="str">
        <f>IFERROR(__xludf.DUMMYFUNCTION("IFERROR(GOOGLEFINANCE(A744,""price""),"""")"),"")</f>
        <v/>
      </c>
      <c r="C744" s="3" t="str">
        <f t="shared" si="1"/>
        <v/>
      </c>
    </row>
    <row r="745" ht="15.75" customHeight="1">
      <c r="B745" s="3" t="str">
        <f>IFERROR(__xludf.DUMMYFUNCTION("IFERROR(GOOGLEFINANCE(A745,""price""),"""")"),"")</f>
        <v/>
      </c>
      <c r="C745" s="3" t="str">
        <f t="shared" si="1"/>
        <v/>
      </c>
    </row>
    <row r="746" ht="15.75" customHeight="1">
      <c r="B746" s="3" t="str">
        <f>IFERROR(__xludf.DUMMYFUNCTION("IFERROR(GOOGLEFINANCE(A746,""price""),"""")"),"")</f>
        <v/>
      </c>
      <c r="C746" s="3" t="str">
        <f t="shared" si="1"/>
        <v/>
      </c>
    </row>
    <row r="747" ht="15.75" customHeight="1">
      <c r="B747" s="3" t="str">
        <f>IFERROR(__xludf.DUMMYFUNCTION("IFERROR(GOOGLEFINANCE(A747,""price""),"""")"),"")</f>
        <v/>
      </c>
      <c r="C747" s="3" t="str">
        <f t="shared" si="1"/>
        <v/>
      </c>
    </row>
    <row r="748" ht="15.75" customHeight="1">
      <c r="B748" s="3" t="str">
        <f>IFERROR(__xludf.DUMMYFUNCTION("IFERROR(GOOGLEFINANCE(A748,""price""),"""")"),"")</f>
        <v/>
      </c>
      <c r="C748" s="3" t="str">
        <f t="shared" si="1"/>
        <v/>
      </c>
    </row>
    <row r="749" ht="15.75" customHeight="1">
      <c r="B749" s="3" t="str">
        <f>IFERROR(__xludf.DUMMYFUNCTION("IFERROR(GOOGLEFINANCE(A749,""price""),"""")"),"")</f>
        <v/>
      </c>
      <c r="C749" s="3" t="str">
        <f t="shared" si="1"/>
        <v/>
      </c>
    </row>
    <row r="750" ht="15.75" customHeight="1">
      <c r="B750" s="3" t="str">
        <f>IFERROR(__xludf.DUMMYFUNCTION("IFERROR(GOOGLEFINANCE(A750,""price""),"""")"),"")</f>
        <v/>
      </c>
      <c r="C750" s="3" t="str">
        <f t="shared" si="1"/>
        <v/>
      </c>
    </row>
    <row r="751" ht="15.75" customHeight="1">
      <c r="B751" s="3" t="str">
        <f>IFERROR(__xludf.DUMMYFUNCTION("IFERROR(GOOGLEFINANCE(A751,""price""),"""")"),"")</f>
        <v/>
      </c>
      <c r="C751" s="3" t="str">
        <f t="shared" si="1"/>
        <v/>
      </c>
    </row>
    <row r="752" ht="15.75" customHeight="1">
      <c r="B752" s="3" t="str">
        <f>IFERROR(__xludf.DUMMYFUNCTION("IFERROR(GOOGLEFINANCE(A752,""price""),"""")"),"")</f>
        <v/>
      </c>
      <c r="C752" s="3" t="str">
        <f t="shared" si="1"/>
        <v/>
      </c>
    </row>
    <row r="753" ht="15.75" customHeight="1">
      <c r="B753" s="3" t="str">
        <f>IFERROR(__xludf.DUMMYFUNCTION("IFERROR(GOOGLEFINANCE(A753,""price""),"""")"),"")</f>
        <v/>
      </c>
      <c r="C753" s="3" t="str">
        <f t="shared" si="1"/>
        <v/>
      </c>
    </row>
    <row r="754" ht="15.75" customHeight="1">
      <c r="B754" s="3" t="str">
        <f>IFERROR(__xludf.DUMMYFUNCTION("IFERROR(GOOGLEFINANCE(A754,""price""),"""")"),"")</f>
        <v/>
      </c>
      <c r="C754" s="3" t="str">
        <f t="shared" si="1"/>
        <v/>
      </c>
    </row>
    <row r="755" ht="15.75" customHeight="1">
      <c r="B755" s="3" t="str">
        <f>IFERROR(__xludf.DUMMYFUNCTION("IFERROR(GOOGLEFINANCE(A755,""price""),"""")"),"")</f>
        <v/>
      </c>
      <c r="C755" s="3" t="str">
        <f t="shared" si="1"/>
        <v/>
      </c>
    </row>
    <row r="756" ht="15.75" customHeight="1">
      <c r="B756" s="3" t="str">
        <f>IFERROR(__xludf.DUMMYFUNCTION("IFERROR(GOOGLEFINANCE(A756,""price""),"""")"),"")</f>
        <v/>
      </c>
      <c r="C756" s="3" t="str">
        <f t="shared" si="1"/>
        <v/>
      </c>
    </row>
    <row r="757" ht="15.75" customHeight="1">
      <c r="B757" s="3" t="str">
        <f>IFERROR(__xludf.DUMMYFUNCTION("IFERROR(GOOGLEFINANCE(A757,""price""),"""")"),"")</f>
        <v/>
      </c>
      <c r="C757" s="3" t="str">
        <f t="shared" si="1"/>
        <v/>
      </c>
    </row>
    <row r="758" ht="15.75" customHeight="1">
      <c r="B758" s="3" t="str">
        <f>IFERROR(__xludf.DUMMYFUNCTION("IFERROR(GOOGLEFINANCE(A758,""price""),"""")"),"")</f>
        <v/>
      </c>
      <c r="C758" s="3" t="str">
        <f t="shared" si="1"/>
        <v/>
      </c>
    </row>
    <row r="759" ht="15.75" customHeight="1">
      <c r="B759" s="3" t="str">
        <f>IFERROR(__xludf.DUMMYFUNCTION("IFERROR(GOOGLEFINANCE(A759,""price""),"""")"),"")</f>
        <v/>
      </c>
      <c r="C759" s="3" t="str">
        <f t="shared" si="1"/>
        <v/>
      </c>
    </row>
    <row r="760" ht="15.75" customHeight="1">
      <c r="B760" s="3" t="str">
        <f>IFERROR(__xludf.DUMMYFUNCTION("IFERROR(GOOGLEFINANCE(A760,""price""),"""")"),"")</f>
        <v/>
      </c>
      <c r="C760" s="3" t="str">
        <f t="shared" si="1"/>
        <v/>
      </c>
    </row>
    <row r="761" ht="15.75" customHeight="1">
      <c r="B761" s="3" t="str">
        <f>IFERROR(__xludf.DUMMYFUNCTION("IFERROR(GOOGLEFINANCE(A761,""price""),"""")"),"")</f>
        <v/>
      </c>
      <c r="C761" s="3" t="str">
        <f t="shared" si="1"/>
        <v/>
      </c>
    </row>
    <row r="762" ht="15.75" customHeight="1">
      <c r="B762" s="3" t="str">
        <f>IFERROR(__xludf.DUMMYFUNCTION("IFERROR(GOOGLEFINANCE(A762,""price""),"""")"),"")</f>
        <v/>
      </c>
      <c r="C762" s="3" t="str">
        <f t="shared" si="1"/>
        <v/>
      </c>
    </row>
    <row r="763" ht="15.75" customHeight="1">
      <c r="B763" s="3" t="str">
        <f>IFERROR(__xludf.DUMMYFUNCTION("IFERROR(GOOGLEFINANCE(A763,""price""),"""")"),"")</f>
        <v/>
      </c>
      <c r="C763" s="3" t="str">
        <f t="shared" si="1"/>
        <v/>
      </c>
    </row>
    <row r="764" ht="15.75" customHeight="1">
      <c r="B764" s="3" t="str">
        <f>IFERROR(__xludf.DUMMYFUNCTION("IFERROR(GOOGLEFINANCE(A764,""price""),"""")"),"")</f>
        <v/>
      </c>
      <c r="C764" s="3" t="str">
        <f t="shared" si="1"/>
        <v/>
      </c>
    </row>
    <row r="765" ht="15.75" customHeight="1">
      <c r="B765" s="3" t="str">
        <f>IFERROR(__xludf.DUMMYFUNCTION("IFERROR(GOOGLEFINANCE(A765,""price""),"""")"),"")</f>
        <v/>
      </c>
      <c r="C765" s="3" t="str">
        <f t="shared" si="1"/>
        <v/>
      </c>
    </row>
    <row r="766" ht="15.75" customHeight="1">
      <c r="B766" s="3" t="str">
        <f>IFERROR(__xludf.DUMMYFUNCTION("IFERROR(GOOGLEFINANCE(A766,""price""),"""")"),"")</f>
        <v/>
      </c>
      <c r="C766" s="3" t="str">
        <f t="shared" si="1"/>
        <v/>
      </c>
    </row>
    <row r="767" ht="15.75" customHeight="1">
      <c r="B767" s="3" t="str">
        <f>IFERROR(__xludf.DUMMYFUNCTION("IFERROR(GOOGLEFINANCE(A767,""price""),"""")"),"")</f>
        <v/>
      </c>
      <c r="C767" s="3" t="str">
        <f t="shared" si="1"/>
        <v/>
      </c>
    </row>
    <row r="768" ht="15.75" customHeight="1">
      <c r="B768" s="3" t="str">
        <f>IFERROR(__xludf.DUMMYFUNCTION("IFERROR(GOOGLEFINANCE(A768,""price""),"""")"),"")</f>
        <v/>
      </c>
      <c r="C768" s="3" t="str">
        <f t="shared" si="1"/>
        <v/>
      </c>
    </row>
    <row r="769" ht="15.75" customHeight="1">
      <c r="B769" s="3" t="str">
        <f>IFERROR(__xludf.DUMMYFUNCTION("IFERROR(GOOGLEFINANCE(A769,""price""),"""")"),"")</f>
        <v/>
      </c>
      <c r="C769" s="3" t="str">
        <f t="shared" si="1"/>
        <v/>
      </c>
    </row>
    <row r="770" ht="15.75" customHeight="1">
      <c r="B770" s="3" t="str">
        <f>IFERROR(__xludf.DUMMYFUNCTION("IFERROR(GOOGLEFINANCE(A770,""price""),"""")"),"")</f>
        <v/>
      </c>
      <c r="C770" s="3" t="str">
        <f t="shared" si="1"/>
        <v/>
      </c>
    </row>
    <row r="771" ht="15.75" customHeight="1">
      <c r="B771" s="3" t="str">
        <f>IFERROR(__xludf.DUMMYFUNCTION("IFERROR(GOOGLEFINANCE(A771,""price""),"""")"),"")</f>
        <v/>
      </c>
      <c r="C771" s="3" t="str">
        <f t="shared" si="1"/>
        <v/>
      </c>
    </row>
    <row r="772" ht="15.75" customHeight="1">
      <c r="B772" s="3" t="str">
        <f>IFERROR(__xludf.DUMMYFUNCTION("IFERROR(GOOGLEFINANCE(A772,""price""),"""")"),"")</f>
        <v/>
      </c>
      <c r="C772" s="3" t="str">
        <f t="shared" si="1"/>
        <v/>
      </c>
    </row>
    <row r="773" ht="15.75" customHeight="1">
      <c r="B773" s="3" t="str">
        <f>IFERROR(__xludf.DUMMYFUNCTION("IFERROR(GOOGLEFINANCE(A773,""price""),"""")"),"")</f>
        <v/>
      </c>
      <c r="C773" s="3" t="str">
        <f t="shared" si="1"/>
        <v/>
      </c>
    </row>
    <row r="774" ht="15.75" customHeight="1">
      <c r="B774" s="3" t="str">
        <f>IFERROR(__xludf.DUMMYFUNCTION("IFERROR(GOOGLEFINANCE(A774,""price""),"""")"),"")</f>
        <v/>
      </c>
      <c r="C774" s="3" t="str">
        <f t="shared" si="1"/>
        <v/>
      </c>
    </row>
    <row r="775" ht="15.75" customHeight="1">
      <c r="B775" s="3" t="str">
        <f>IFERROR(__xludf.DUMMYFUNCTION("IFERROR(GOOGLEFINANCE(A775,""price""),"""")"),"")</f>
        <v/>
      </c>
      <c r="C775" s="3" t="str">
        <f t="shared" si="1"/>
        <v/>
      </c>
    </row>
    <row r="776" ht="15.75" customHeight="1">
      <c r="B776" s="3" t="str">
        <f>IFERROR(__xludf.DUMMYFUNCTION("IFERROR(GOOGLEFINANCE(A776,""price""),"""")"),"")</f>
        <v/>
      </c>
      <c r="C776" s="3" t="str">
        <f t="shared" si="1"/>
        <v/>
      </c>
    </row>
    <row r="777" ht="15.75" customHeight="1">
      <c r="B777" s="3" t="str">
        <f>IFERROR(__xludf.DUMMYFUNCTION("IFERROR(GOOGLEFINANCE(A777,""price""),"""")"),"")</f>
        <v/>
      </c>
      <c r="C777" s="3" t="str">
        <f t="shared" si="1"/>
        <v/>
      </c>
    </row>
    <row r="778" ht="15.75" customHeight="1">
      <c r="B778" s="3" t="str">
        <f>IFERROR(__xludf.DUMMYFUNCTION("IFERROR(GOOGLEFINANCE(A778,""price""),"""")"),"")</f>
        <v/>
      </c>
      <c r="C778" s="3" t="str">
        <f t="shared" si="1"/>
        <v/>
      </c>
    </row>
    <row r="779" ht="15.75" customHeight="1">
      <c r="B779" s="3" t="str">
        <f>IFERROR(__xludf.DUMMYFUNCTION("IFERROR(GOOGLEFINANCE(A779,""price""),"""")"),"")</f>
        <v/>
      </c>
      <c r="C779" s="3" t="str">
        <f t="shared" si="1"/>
        <v/>
      </c>
    </row>
    <row r="780" ht="15.75" customHeight="1">
      <c r="B780" s="3" t="str">
        <f>IFERROR(__xludf.DUMMYFUNCTION("IFERROR(GOOGLEFINANCE(A780,""price""),"""")"),"")</f>
        <v/>
      </c>
      <c r="C780" s="3" t="str">
        <f t="shared" si="1"/>
        <v/>
      </c>
    </row>
    <row r="781" ht="15.75" customHeight="1">
      <c r="B781" s="3" t="str">
        <f>IFERROR(__xludf.DUMMYFUNCTION("IFERROR(GOOGLEFINANCE(A781,""price""),"""")"),"")</f>
        <v/>
      </c>
      <c r="C781" s="3" t="str">
        <f t="shared" si="1"/>
        <v/>
      </c>
    </row>
    <row r="782" ht="15.75" customHeight="1">
      <c r="B782" s="3" t="str">
        <f>IFERROR(__xludf.DUMMYFUNCTION("IFERROR(GOOGLEFINANCE(A782,""price""),"""")"),"")</f>
        <v/>
      </c>
      <c r="C782" s="3" t="str">
        <f t="shared" si="1"/>
        <v/>
      </c>
    </row>
    <row r="783" ht="15.75" customHeight="1">
      <c r="B783" s="3" t="str">
        <f>IFERROR(__xludf.DUMMYFUNCTION("IFERROR(GOOGLEFINANCE(A783,""price""),"""")"),"")</f>
        <v/>
      </c>
      <c r="C783" s="3" t="str">
        <f t="shared" si="1"/>
        <v/>
      </c>
    </row>
    <row r="784" ht="15.75" customHeight="1">
      <c r="B784" s="3" t="str">
        <f>IFERROR(__xludf.DUMMYFUNCTION("IFERROR(GOOGLEFINANCE(A784,""price""),"""")"),"")</f>
        <v/>
      </c>
      <c r="C784" s="3" t="str">
        <f t="shared" si="1"/>
        <v/>
      </c>
    </row>
    <row r="785" ht="15.75" customHeight="1">
      <c r="B785" s="3" t="str">
        <f>IFERROR(__xludf.DUMMYFUNCTION("IFERROR(GOOGLEFINANCE(A785,""price""),"""")"),"")</f>
        <v/>
      </c>
      <c r="C785" s="3" t="str">
        <f t="shared" si="1"/>
        <v/>
      </c>
    </row>
    <row r="786" ht="15.75" customHeight="1">
      <c r="B786" s="3" t="str">
        <f>IFERROR(__xludf.DUMMYFUNCTION("IFERROR(GOOGLEFINANCE(A786,""price""),"""")"),"")</f>
        <v/>
      </c>
      <c r="C786" s="3" t="str">
        <f t="shared" si="1"/>
        <v/>
      </c>
    </row>
    <row r="787" ht="15.75" customHeight="1">
      <c r="B787" s="3" t="str">
        <f>IFERROR(__xludf.DUMMYFUNCTION("IFERROR(GOOGLEFINANCE(A787,""price""),"""")"),"")</f>
        <v/>
      </c>
      <c r="C787" s="3" t="str">
        <f t="shared" si="1"/>
        <v/>
      </c>
    </row>
    <row r="788" ht="15.75" customHeight="1">
      <c r="B788" s="3" t="str">
        <f>IFERROR(__xludf.DUMMYFUNCTION("IFERROR(GOOGLEFINANCE(A788,""price""),"""")"),"")</f>
        <v/>
      </c>
      <c r="C788" s="3" t="str">
        <f t="shared" si="1"/>
        <v/>
      </c>
    </row>
    <row r="789" ht="15.75" customHeight="1">
      <c r="B789" s="3" t="str">
        <f>IFERROR(__xludf.DUMMYFUNCTION("IFERROR(GOOGLEFINANCE(A789,""price""),"""")"),"")</f>
        <v/>
      </c>
      <c r="C789" s="3" t="str">
        <f t="shared" si="1"/>
        <v/>
      </c>
    </row>
    <row r="790" ht="15.75" customHeight="1">
      <c r="B790" s="3" t="str">
        <f>IFERROR(__xludf.DUMMYFUNCTION("IFERROR(GOOGLEFINANCE(A790,""price""),"""")"),"")</f>
        <v/>
      </c>
      <c r="C790" s="3" t="str">
        <f t="shared" si="1"/>
        <v/>
      </c>
    </row>
    <row r="791" ht="15.75" customHeight="1">
      <c r="B791" s="3" t="str">
        <f>IFERROR(__xludf.DUMMYFUNCTION("IFERROR(GOOGLEFINANCE(A791,""price""),"""")"),"")</f>
        <v/>
      </c>
      <c r="C791" s="3" t="str">
        <f t="shared" si="1"/>
        <v/>
      </c>
    </row>
    <row r="792" ht="15.75" customHeight="1">
      <c r="B792" s="3" t="str">
        <f>IFERROR(__xludf.DUMMYFUNCTION("IFERROR(GOOGLEFINANCE(A792,""price""),"""")"),"")</f>
        <v/>
      </c>
      <c r="C792" s="3" t="str">
        <f t="shared" si="1"/>
        <v/>
      </c>
    </row>
    <row r="793" ht="15.75" customHeight="1">
      <c r="B793" s="3" t="str">
        <f>IFERROR(__xludf.DUMMYFUNCTION("IFERROR(GOOGLEFINANCE(A793,""price""),"""")"),"")</f>
        <v/>
      </c>
      <c r="C793" s="3" t="str">
        <f t="shared" si="1"/>
        <v/>
      </c>
    </row>
    <row r="794" ht="15.75" customHeight="1">
      <c r="B794" s="3" t="str">
        <f>IFERROR(__xludf.DUMMYFUNCTION("IFERROR(GOOGLEFINANCE(A794,""price""),"""")"),"")</f>
        <v/>
      </c>
      <c r="C794" s="3" t="str">
        <f t="shared" si="1"/>
        <v/>
      </c>
    </row>
    <row r="795" ht="15.75" customHeight="1">
      <c r="B795" s="3" t="str">
        <f>IFERROR(__xludf.DUMMYFUNCTION("IFERROR(GOOGLEFINANCE(A795,""price""),"""")"),"")</f>
        <v/>
      </c>
      <c r="C795" s="3" t="str">
        <f t="shared" si="1"/>
        <v/>
      </c>
    </row>
    <row r="796" ht="15.75" customHeight="1">
      <c r="B796" s="3" t="str">
        <f>IFERROR(__xludf.DUMMYFUNCTION("IFERROR(GOOGLEFINANCE(A796,""price""),"""")"),"")</f>
        <v/>
      </c>
      <c r="C796" s="3" t="str">
        <f t="shared" si="1"/>
        <v/>
      </c>
    </row>
    <row r="797" ht="15.75" customHeight="1">
      <c r="B797" s="3" t="str">
        <f>IFERROR(__xludf.DUMMYFUNCTION("IFERROR(GOOGLEFINANCE(A797,""price""),"""")"),"")</f>
        <v/>
      </c>
      <c r="C797" s="3" t="str">
        <f t="shared" si="1"/>
        <v/>
      </c>
    </row>
    <row r="798" ht="15.75" customHeight="1">
      <c r="B798" s="3" t="str">
        <f>IFERROR(__xludf.DUMMYFUNCTION("IFERROR(GOOGLEFINANCE(A798,""price""),"""")"),"")</f>
        <v/>
      </c>
      <c r="C798" s="3" t="str">
        <f t="shared" si="1"/>
        <v/>
      </c>
    </row>
    <row r="799" ht="15.75" customHeight="1">
      <c r="B799" s="3" t="str">
        <f>IFERROR(__xludf.DUMMYFUNCTION("IFERROR(GOOGLEFINANCE(A799,""price""),"""")"),"")</f>
        <v/>
      </c>
      <c r="C799" s="3" t="str">
        <f t="shared" si="1"/>
        <v/>
      </c>
    </row>
    <row r="800" ht="15.75" customHeight="1">
      <c r="B800" s="3" t="str">
        <f>IFERROR(__xludf.DUMMYFUNCTION("IFERROR(GOOGLEFINANCE(A800,""price""),"""")"),"")</f>
        <v/>
      </c>
      <c r="C800" s="3" t="str">
        <f t="shared" si="1"/>
        <v/>
      </c>
    </row>
    <row r="801" ht="15.75" customHeight="1">
      <c r="B801" s="3" t="str">
        <f>IFERROR(__xludf.DUMMYFUNCTION("IFERROR(GOOGLEFINANCE(A801,""price""),"""")"),"")</f>
        <v/>
      </c>
      <c r="C801" s="3" t="str">
        <f t="shared" si="1"/>
        <v/>
      </c>
    </row>
    <row r="802" ht="15.75" customHeight="1">
      <c r="B802" s="3" t="str">
        <f>IFERROR(__xludf.DUMMYFUNCTION("IFERROR(GOOGLEFINANCE(A802,""price""),"""")"),"")</f>
        <v/>
      </c>
      <c r="C802" s="3" t="str">
        <f t="shared" si="1"/>
        <v/>
      </c>
    </row>
    <row r="803" ht="15.75" customHeight="1">
      <c r="B803" s="3" t="str">
        <f>IFERROR(__xludf.DUMMYFUNCTION("IFERROR(GOOGLEFINANCE(A803,""price""),"""")"),"")</f>
        <v/>
      </c>
      <c r="C803" s="3" t="str">
        <f t="shared" si="1"/>
        <v/>
      </c>
    </row>
    <row r="804" ht="15.75" customHeight="1">
      <c r="B804" s="3" t="str">
        <f>IFERROR(__xludf.DUMMYFUNCTION("IFERROR(GOOGLEFINANCE(A804,""price""),"""")"),"")</f>
        <v/>
      </c>
      <c r="C804" s="3" t="str">
        <f t="shared" si="1"/>
        <v/>
      </c>
    </row>
    <row r="805" ht="15.75" customHeight="1">
      <c r="B805" s="3" t="str">
        <f>IFERROR(__xludf.DUMMYFUNCTION("IFERROR(GOOGLEFINANCE(A805,""price""),"""")"),"")</f>
        <v/>
      </c>
      <c r="C805" s="3" t="str">
        <f t="shared" si="1"/>
        <v/>
      </c>
    </row>
    <row r="806" ht="15.75" customHeight="1">
      <c r="B806" s="3" t="str">
        <f>IFERROR(__xludf.DUMMYFUNCTION("IFERROR(GOOGLEFINANCE(A806,""price""),"""")"),"")</f>
        <v/>
      </c>
      <c r="C806" s="3" t="str">
        <f t="shared" si="1"/>
        <v/>
      </c>
    </row>
    <row r="807" ht="15.75" customHeight="1">
      <c r="B807" s="3" t="str">
        <f>IFERROR(__xludf.DUMMYFUNCTION("IFERROR(GOOGLEFINANCE(A807,""price""),"""")"),"")</f>
        <v/>
      </c>
      <c r="C807" s="3" t="str">
        <f t="shared" si="1"/>
        <v/>
      </c>
    </row>
    <row r="808" ht="15.75" customHeight="1">
      <c r="B808" s="3" t="str">
        <f>IFERROR(__xludf.DUMMYFUNCTION("IFERROR(GOOGLEFINANCE(A808,""price""),"""")"),"")</f>
        <v/>
      </c>
      <c r="C808" s="3" t="str">
        <f t="shared" si="1"/>
        <v/>
      </c>
    </row>
    <row r="809" ht="15.75" customHeight="1">
      <c r="B809" s="3" t="str">
        <f>IFERROR(__xludf.DUMMYFUNCTION("IFERROR(GOOGLEFINANCE(A809,""price""),"""")"),"")</f>
        <v/>
      </c>
      <c r="C809" s="3" t="str">
        <f t="shared" si="1"/>
        <v/>
      </c>
    </row>
    <row r="810" ht="15.75" customHeight="1">
      <c r="B810" s="3" t="str">
        <f>IFERROR(__xludf.DUMMYFUNCTION("IFERROR(GOOGLEFINANCE(A810,""price""),"""")"),"")</f>
        <v/>
      </c>
      <c r="C810" s="3" t="str">
        <f t="shared" si="1"/>
        <v/>
      </c>
    </row>
    <row r="811" ht="15.75" customHeight="1">
      <c r="B811" s="3" t="str">
        <f>IFERROR(__xludf.DUMMYFUNCTION("IFERROR(GOOGLEFINANCE(A811,""price""),"""")"),"")</f>
        <v/>
      </c>
      <c r="C811" s="3" t="str">
        <f t="shared" si="1"/>
        <v/>
      </c>
    </row>
    <row r="812" ht="15.75" customHeight="1">
      <c r="B812" s="3" t="str">
        <f>IFERROR(__xludf.DUMMYFUNCTION("IFERROR(GOOGLEFINANCE(A812,""price""),"""")"),"")</f>
        <v/>
      </c>
      <c r="C812" s="3" t="str">
        <f t="shared" si="1"/>
        <v/>
      </c>
    </row>
    <row r="813" ht="15.75" customHeight="1">
      <c r="B813" s="3" t="str">
        <f>IFERROR(__xludf.DUMMYFUNCTION("IFERROR(GOOGLEFINANCE(A813,""price""),"""")"),"")</f>
        <v/>
      </c>
      <c r="C813" s="3" t="str">
        <f t="shared" si="1"/>
        <v/>
      </c>
    </row>
    <row r="814" ht="15.75" customHeight="1">
      <c r="B814" s="3" t="str">
        <f>IFERROR(__xludf.DUMMYFUNCTION("IFERROR(GOOGLEFINANCE(A814,""price""),"""")"),"")</f>
        <v/>
      </c>
      <c r="C814" s="3" t="str">
        <f t="shared" si="1"/>
        <v/>
      </c>
    </row>
    <row r="815" ht="15.75" customHeight="1">
      <c r="B815" s="3" t="str">
        <f>IFERROR(__xludf.DUMMYFUNCTION("IFERROR(GOOGLEFINANCE(A815,""price""),"""")"),"")</f>
        <v/>
      </c>
      <c r="C815" s="3" t="str">
        <f t="shared" si="1"/>
        <v/>
      </c>
    </row>
    <row r="816" ht="15.75" customHeight="1">
      <c r="B816" s="3" t="str">
        <f>IFERROR(__xludf.DUMMYFUNCTION("IFERROR(GOOGLEFINANCE(A816,""price""),"""")"),"")</f>
        <v/>
      </c>
      <c r="C816" s="3" t="str">
        <f t="shared" si="1"/>
        <v/>
      </c>
    </row>
    <row r="817" ht="15.75" customHeight="1">
      <c r="B817" s="3" t="str">
        <f>IFERROR(__xludf.DUMMYFUNCTION("IFERROR(GOOGLEFINANCE(A817,""price""),"""")"),"")</f>
        <v/>
      </c>
      <c r="C817" s="3" t="str">
        <f t="shared" si="1"/>
        <v/>
      </c>
    </row>
    <row r="818" ht="15.75" customHeight="1">
      <c r="B818" s="3" t="str">
        <f>IFERROR(__xludf.DUMMYFUNCTION("IFERROR(GOOGLEFINANCE(A818,""price""),"""")"),"")</f>
        <v/>
      </c>
      <c r="C818" s="3" t="str">
        <f t="shared" si="1"/>
        <v/>
      </c>
    </row>
    <row r="819" ht="15.75" customHeight="1">
      <c r="B819" s="3" t="str">
        <f>IFERROR(__xludf.DUMMYFUNCTION("IFERROR(GOOGLEFINANCE(A819,""price""),"""")"),"")</f>
        <v/>
      </c>
      <c r="C819" s="3" t="str">
        <f t="shared" si="1"/>
        <v/>
      </c>
    </row>
    <row r="820" ht="15.75" customHeight="1">
      <c r="B820" s="3" t="str">
        <f>IFERROR(__xludf.DUMMYFUNCTION("IFERROR(GOOGLEFINANCE(A820,""price""),"""")"),"")</f>
        <v/>
      </c>
      <c r="C820" s="3" t="str">
        <f t="shared" si="1"/>
        <v/>
      </c>
    </row>
    <row r="821" ht="15.75" customHeight="1">
      <c r="B821" s="3" t="str">
        <f>IFERROR(__xludf.DUMMYFUNCTION("IFERROR(GOOGLEFINANCE(A821,""price""),"""")"),"")</f>
        <v/>
      </c>
      <c r="C821" s="3" t="str">
        <f t="shared" si="1"/>
        <v/>
      </c>
    </row>
    <row r="822" ht="15.75" customHeight="1">
      <c r="B822" s="3" t="str">
        <f>IFERROR(__xludf.DUMMYFUNCTION("IFERROR(GOOGLEFINANCE(A822,""price""),"""")"),"")</f>
        <v/>
      </c>
      <c r="C822" s="3" t="str">
        <f t="shared" si="1"/>
        <v/>
      </c>
    </row>
    <row r="823" ht="15.75" customHeight="1">
      <c r="B823" s="3" t="str">
        <f>IFERROR(__xludf.DUMMYFUNCTION("IFERROR(GOOGLEFINANCE(A823,""price""),"""")"),"")</f>
        <v/>
      </c>
      <c r="C823" s="3" t="str">
        <f t="shared" si="1"/>
        <v/>
      </c>
    </row>
    <row r="824" ht="15.75" customHeight="1">
      <c r="B824" s="3" t="str">
        <f>IFERROR(__xludf.DUMMYFUNCTION("IFERROR(GOOGLEFINANCE(A824,""price""),"""")"),"")</f>
        <v/>
      </c>
      <c r="C824" s="3" t="str">
        <f t="shared" si="1"/>
        <v/>
      </c>
    </row>
    <row r="825" ht="15.75" customHeight="1">
      <c r="B825" s="3" t="str">
        <f>IFERROR(__xludf.DUMMYFUNCTION("IFERROR(GOOGLEFINANCE(A825,""price""),"""")"),"")</f>
        <v/>
      </c>
      <c r="C825" s="3" t="str">
        <f t="shared" si="1"/>
        <v/>
      </c>
    </row>
    <row r="826" ht="15.75" customHeight="1">
      <c r="B826" s="3" t="str">
        <f>IFERROR(__xludf.DUMMYFUNCTION("IFERROR(GOOGLEFINANCE(A826,""price""),"""")"),"")</f>
        <v/>
      </c>
      <c r="C826" s="3" t="str">
        <f t="shared" si="1"/>
        <v/>
      </c>
    </row>
    <row r="827" ht="15.75" customHeight="1">
      <c r="B827" s="3" t="str">
        <f>IFERROR(__xludf.DUMMYFUNCTION("IFERROR(GOOGLEFINANCE(A827,""price""),"""")"),"")</f>
        <v/>
      </c>
      <c r="C827" s="3" t="str">
        <f t="shared" si="1"/>
        <v/>
      </c>
    </row>
    <row r="828" ht="15.75" customHeight="1">
      <c r="B828" s="3" t="str">
        <f>IFERROR(__xludf.DUMMYFUNCTION("IFERROR(GOOGLEFINANCE(A828,""price""),"""")"),"")</f>
        <v/>
      </c>
      <c r="C828" s="3" t="str">
        <f t="shared" si="1"/>
        <v/>
      </c>
    </row>
    <row r="829" ht="15.75" customHeight="1">
      <c r="B829" s="3" t="str">
        <f>IFERROR(__xludf.DUMMYFUNCTION("IFERROR(GOOGLEFINANCE(A829,""price""),"""")"),"")</f>
        <v/>
      </c>
      <c r="C829" s="3" t="str">
        <f t="shared" si="1"/>
        <v/>
      </c>
    </row>
    <row r="830" ht="15.75" customHeight="1">
      <c r="B830" s="3" t="str">
        <f>IFERROR(__xludf.DUMMYFUNCTION("IFERROR(GOOGLEFINANCE(A830,""price""),"""")"),"")</f>
        <v/>
      </c>
      <c r="C830" s="3" t="str">
        <f t="shared" si="1"/>
        <v/>
      </c>
    </row>
    <row r="831" ht="15.75" customHeight="1">
      <c r="B831" s="3" t="str">
        <f>IFERROR(__xludf.DUMMYFUNCTION("IFERROR(GOOGLEFINANCE(A831,""price""),"""")"),"")</f>
        <v/>
      </c>
      <c r="C831" s="3" t="str">
        <f t="shared" si="1"/>
        <v/>
      </c>
    </row>
    <row r="832" ht="15.75" customHeight="1">
      <c r="B832" s="3" t="str">
        <f>IFERROR(__xludf.DUMMYFUNCTION("IFERROR(GOOGLEFINANCE(A832,""price""),"""")"),"")</f>
        <v/>
      </c>
      <c r="C832" s="3" t="str">
        <f t="shared" si="1"/>
        <v/>
      </c>
    </row>
    <row r="833" ht="15.75" customHeight="1">
      <c r="B833" s="3" t="str">
        <f>IFERROR(__xludf.DUMMYFUNCTION("IFERROR(GOOGLEFINANCE(A833,""price""),"""")"),"")</f>
        <v/>
      </c>
      <c r="C833" s="3" t="str">
        <f t="shared" si="1"/>
        <v/>
      </c>
    </row>
    <row r="834" ht="15.75" customHeight="1">
      <c r="B834" s="3" t="str">
        <f>IFERROR(__xludf.DUMMYFUNCTION("IFERROR(GOOGLEFINANCE(A834,""price""),"""")"),"")</f>
        <v/>
      </c>
      <c r="C834" s="3" t="str">
        <f t="shared" si="1"/>
        <v/>
      </c>
    </row>
    <row r="835" ht="15.75" customHeight="1">
      <c r="B835" s="3" t="str">
        <f>IFERROR(__xludf.DUMMYFUNCTION("IFERROR(GOOGLEFINANCE(A835,""price""),"""")"),"")</f>
        <v/>
      </c>
      <c r="C835" s="3" t="str">
        <f t="shared" si="1"/>
        <v/>
      </c>
    </row>
    <row r="836" ht="15.75" customHeight="1">
      <c r="B836" s="3" t="str">
        <f>IFERROR(__xludf.DUMMYFUNCTION("IFERROR(GOOGLEFINANCE(A836,""price""),"""")"),"")</f>
        <v/>
      </c>
      <c r="C836" s="3" t="str">
        <f t="shared" si="1"/>
        <v/>
      </c>
    </row>
    <row r="837" ht="15.75" customHeight="1">
      <c r="B837" s="3" t="str">
        <f>IFERROR(__xludf.DUMMYFUNCTION("IFERROR(GOOGLEFINANCE(A837,""price""),"""")"),"")</f>
        <v/>
      </c>
      <c r="C837" s="3" t="str">
        <f t="shared" si="1"/>
        <v/>
      </c>
    </row>
    <row r="838" ht="15.75" customHeight="1">
      <c r="B838" s="3" t="str">
        <f>IFERROR(__xludf.DUMMYFUNCTION("IFERROR(GOOGLEFINANCE(A838,""price""),"""")"),"")</f>
        <v/>
      </c>
      <c r="C838" s="3" t="str">
        <f t="shared" si="1"/>
        <v/>
      </c>
    </row>
    <row r="839" ht="15.75" customHeight="1">
      <c r="B839" s="3" t="str">
        <f>IFERROR(__xludf.DUMMYFUNCTION("IFERROR(GOOGLEFINANCE(A839,""price""),"""")"),"")</f>
        <v/>
      </c>
      <c r="C839" s="3" t="str">
        <f t="shared" si="1"/>
        <v/>
      </c>
    </row>
    <row r="840" ht="15.75" customHeight="1">
      <c r="B840" s="3" t="str">
        <f>IFERROR(__xludf.DUMMYFUNCTION("IFERROR(GOOGLEFINANCE(A840,""price""),"""")"),"")</f>
        <v/>
      </c>
      <c r="C840" s="3" t="str">
        <f t="shared" si="1"/>
        <v/>
      </c>
    </row>
    <row r="841" ht="15.75" customHeight="1">
      <c r="B841" s="3" t="str">
        <f>IFERROR(__xludf.DUMMYFUNCTION("IFERROR(GOOGLEFINANCE(A841,""price""),"""")"),"")</f>
        <v/>
      </c>
      <c r="C841" s="3" t="str">
        <f t="shared" si="1"/>
        <v/>
      </c>
    </row>
    <row r="842" ht="15.75" customHeight="1">
      <c r="B842" s="3" t="str">
        <f>IFERROR(__xludf.DUMMYFUNCTION("IFERROR(GOOGLEFINANCE(A842,""price""),"""")"),"")</f>
        <v/>
      </c>
      <c r="C842" s="3" t="str">
        <f t="shared" si="1"/>
        <v/>
      </c>
    </row>
    <row r="843" ht="15.75" customHeight="1">
      <c r="B843" s="3" t="str">
        <f>IFERROR(__xludf.DUMMYFUNCTION("IFERROR(GOOGLEFINANCE(A843,""price""),"""")"),"")</f>
        <v/>
      </c>
      <c r="C843" s="3" t="str">
        <f t="shared" si="1"/>
        <v/>
      </c>
    </row>
    <row r="844" ht="15.75" customHeight="1">
      <c r="B844" s="3" t="str">
        <f>IFERROR(__xludf.DUMMYFUNCTION("IFERROR(GOOGLEFINANCE(A844,""price""),"""")"),"")</f>
        <v/>
      </c>
      <c r="C844" s="3" t="str">
        <f t="shared" si="1"/>
        <v/>
      </c>
    </row>
    <row r="845" ht="15.75" customHeight="1">
      <c r="B845" s="3" t="str">
        <f>IFERROR(__xludf.DUMMYFUNCTION("IFERROR(GOOGLEFINANCE(A845,""price""),"""")"),"")</f>
        <v/>
      </c>
      <c r="C845" s="3" t="str">
        <f t="shared" si="1"/>
        <v/>
      </c>
    </row>
    <row r="846" ht="15.75" customHeight="1">
      <c r="B846" s="3" t="str">
        <f>IFERROR(__xludf.DUMMYFUNCTION("IFERROR(GOOGLEFINANCE(A846,""price""),"""")"),"")</f>
        <v/>
      </c>
      <c r="C846" s="3" t="str">
        <f t="shared" si="1"/>
        <v/>
      </c>
    </row>
    <row r="847" ht="15.75" customHeight="1">
      <c r="B847" s="3" t="str">
        <f>IFERROR(__xludf.DUMMYFUNCTION("IFERROR(GOOGLEFINANCE(A847,""price""),"""")"),"")</f>
        <v/>
      </c>
      <c r="C847" s="3" t="str">
        <f t="shared" si="1"/>
        <v/>
      </c>
    </row>
    <row r="848" ht="15.75" customHeight="1">
      <c r="B848" s="3" t="str">
        <f>IFERROR(__xludf.DUMMYFUNCTION("IFERROR(GOOGLEFINANCE(A848,""price""),"""")"),"")</f>
        <v/>
      </c>
      <c r="C848" s="3" t="str">
        <f t="shared" si="1"/>
        <v/>
      </c>
    </row>
    <row r="849" ht="15.75" customHeight="1">
      <c r="B849" s="3" t="str">
        <f>IFERROR(__xludf.DUMMYFUNCTION("IFERROR(GOOGLEFINANCE(A849,""price""),"""")"),"")</f>
        <v/>
      </c>
      <c r="C849" s="3" t="str">
        <f t="shared" si="1"/>
        <v/>
      </c>
    </row>
    <row r="850" ht="15.75" customHeight="1">
      <c r="B850" s="3" t="str">
        <f>IFERROR(__xludf.DUMMYFUNCTION("IFERROR(GOOGLEFINANCE(A850,""price""),"""")"),"")</f>
        <v/>
      </c>
      <c r="C850" s="3" t="str">
        <f t="shared" si="1"/>
        <v/>
      </c>
    </row>
    <row r="851" ht="15.75" customHeight="1">
      <c r="B851" s="3" t="str">
        <f>IFERROR(__xludf.DUMMYFUNCTION("IFERROR(GOOGLEFINANCE(A851,""price""),"""")"),"")</f>
        <v/>
      </c>
      <c r="C851" s="3" t="str">
        <f t="shared" si="1"/>
        <v/>
      </c>
    </row>
    <row r="852" ht="15.75" customHeight="1">
      <c r="B852" s="3" t="str">
        <f>IFERROR(__xludf.DUMMYFUNCTION("IFERROR(GOOGLEFINANCE(A852,""price""),"""")"),"")</f>
        <v/>
      </c>
      <c r="C852" s="3" t="str">
        <f t="shared" si="1"/>
        <v/>
      </c>
    </row>
    <row r="853" ht="15.75" customHeight="1">
      <c r="B853" s="3" t="str">
        <f>IFERROR(__xludf.DUMMYFUNCTION("IFERROR(GOOGLEFINANCE(A853,""price""),"""")"),"")</f>
        <v/>
      </c>
      <c r="C853" s="3" t="str">
        <f t="shared" si="1"/>
        <v/>
      </c>
    </row>
    <row r="854" ht="15.75" customHeight="1">
      <c r="B854" s="3" t="str">
        <f>IFERROR(__xludf.DUMMYFUNCTION("IFERROR(GOOGLEFINANCE(A854,""price""),"""")"),"")</f>
        <v/>
      </c>
      <c r="C854" s="3" t="str">
        <f t="shared" si="1"/>
        <v/>
      </c>
    </row>
    <row r="855" ht="15.75" customHeight="1">
      <c r="B855" s="3" t="str">
        <f>IFERROR(__xludf.DUMMYFUNCTION("IFERROR(GOOGLEFINANCE(A855,""price""),"""")"),"")</f>
        <v/>
      </c>
      <c r="C855" s="3" t="str">
        <f t="shared" si="1"/>
        <v/>
      </c>
    </row>
    <row r="856" ht="15.75" customHeight="1">
      <c r="B856" s="3" t="str">
        <f>IFERROR(__xludf.DUMMYFUNCTION("IFERROR(GOOGLEFINANCE(A856,""price""),"""")"),"")</f>
        <v/>
      </c>
      <c r="C856" s="3" t="str">
        <f t="shared" si="1"/>
        <v/>
      </c>
    </row>
    <row r="857" ht="15.75" customHeight="1">
      <c r="B857" s="3" t="str">
        <f>IFERROR(__xludf.DUMMYFUNCTION("IFERROR(GOOGLEFINANCE(A857,""price""),"""")"),"")</f>
        <v/>
      </c>
      <c r="C857" s="3" t="str">
        <f t="shared" si="1"/>
        <v/>
      </c>
    </row>
    <row r="858" ht="15.75" customHeight="1">
      <c r="B858" s="3" t="str">
        <f>IFERROR(__xludf.DUMMYFUNCTION("IFERROR(GOOGLEFINANCE(A858,""price""),"""")"),"")</f>
        <v/>
      </c>
      <c r="C858" s="3" t="str">
        <f t="shared" si="1"/>
        <v/>
      </c>
    </row>
    <row r="859" ht="15.75" customHeight="1">
      <c r="B859" s="3" t="str">
        <f>IFERROR(__xludf.DUMMYFUNCTION("IFERROR(GOOGLEFINANCE(A859,""price""),"""")"),"")</f>
        <v/>
      </c>
      <c r="C859" s="3" t="str">
        <f t="shared" si="1"/>
        <v/>
      </c>
    </row>
    <row r="860" ht="15.75" customHeight="1">
      <c r="B860" s="3" t="str">
        <f>IFERROR(__xludf.DUMMYFUNCTION("IFERROR(GOOGLEFINANCE(A860,""price""),"""")"),"")</f>
        <v/>
      </c>
      <c r="C860" s="3" t="str">
        <f t="shared" si="1"/>
        <v/>
      </c>
    </row>
    <row r="861" ht="15.75" customHeight="1">
      <c r="B861" s="3" t="str">
        <f>IFERROR(__xludf.DUMMYFUNCTION("IFERROR(GOOGLEFINANCE(A861,""price""),"""")"),"")</f>
        <v/>
      </c>
      <c r="C861" s="3" t="str">
        <f t="shared" si="1"/>
        <v/>
      </c>
    </row>
    <row r="862" ht="15.75" customHeight="1">
      <c r="B862" s="3" t="str">
        <f>IFERROR(__xludf.DUMMYFUNCTION("IFERROR(GOOGLEFINANCE(A862,""price""),"""")"),"")</f>
        <v/>
      </c>
      <c r="C862" s="3" t="str">
        <f t="shared" si="1"/>
        <v/>
      </c>
    </row>
    <row r="863" ht="15.75" customHeight="1">
      <c r="B863" s="3" t="str">
        <f>IFERROR(__xludf.DUMMYFUNCTION("IFERROR(GOOGLEFINANCE(A863,""price""),"""")"),"")</f>
        <v/>
      </c>
      <c r="C863" s="3" t="str">
        <f t="shared" si="1"/>
        <v/>
      </c>
    </row>
    <row r="864" ht="15.75" customHeight="1">
      <c r="B864" s="3" t="str">
        <f>IFERROR(__xludf.DUMMYFUNCTION("IFERROR(GOOGLEFINANCE(A864,""price""),"""")"),"")</f>
        <v/>
      </c>
      <c r="C864" s="3" t="str">
        <f t="shared" si="1"/>
        <v/>
      </c>
    </row>
    <row r="865" ht="15.75" customHeight="1">
      <c r="B865" s="3" t="str">
        <f>IFERROR(__xludf.DUMMYFUNCTION("IFERROR(GOOGLEFINANCE(A865,""price""),"""")"),"")</f>
        <v/>
      </c>
      <c r="C865" s="3" t="str">
        <f t="shared" si="1"/>
        <v/>
      </c>
    </row>
    <row r="866" ht="15.75" customHeight="1">
      <c r="B866" s="3" t="str">
        <f>IFERROR(__xludf.DUMMYFUNCTION("IFERROR(GOOGLEFINANCE(A866,""price""),"""")"),"")</f>
        <v/>
      </c>
      <c r="C866" s="3" t="str">
        <f t="shared" si="1"/>
        <v/>
      </c>
    </row>
    <row r="867" ht="15.75" customHeight="1">
      <c r="B867" s="3" t="str">
        <f>IFERROR(__xludf.DUMMYFUNCTION("IFERROR(GOOGLEFINANCE(A867,""price""),"""")"),"")</f>
        <v/>
      </c>
      <c r="C867" s="3" t="str">
        <f t="shared" si="1"/>
        <v/>
      </c>
    </row>
    <row r="868" ht="15.75" customHeight="1">
      <c r="B868" s="3" t="str">
        <f>IFERROR(__xludf.DUMMYFUNCTION("IFERROR(GOOGLEFINANCE(A868,""price""),"""")"),"")</f>
        <v/>
      </c>
      <c r="C868" s="3" t="str">
        <f t="shared" si="1"/>
        <v/>
      </c>
    </row>
    <row r="869" ht="15.75" customHeight="1">
      <c r="B869" s="3" t="str">
        <f>IFERROR(__xludf.DUMMYFUNCTION("IFERROR(GOOGLEFINANCE(A869,""price""),"""")"),"")</f>
        <v/>
      </c>
      <c r="C869" s="3" t="str">
        <f t="shared" si="1"/>
        <v/>
      </c>
    </row>
    <row r="870" ht="15.75" customHeight="1">
      <c r="B870" s="3" t="str">
        <f>IFERROR(__xludf.DUMMYFUNCTION("IFERROR(GOOGLEFINANCE(A870,""price""),"""")"),"")</f>
        <v/>
      </c>
      <c r="C870" s="3" t="str">
        <f t="shared" si="1"/>
        <v/>
      </c>
    </row>
    <row r="871" ht="15.75" customHeight="1">
      <c r="B871" s="3" t="str">
        <f>IFERROR(__xludf.DUMMYFUNCTION("IFERROR(GOOGLEFINANCE(A871,""price""),"""")"),"")</f>
        <v/>
      </c>
      <c r="C871" s="3" t="str">
        <f t="shared" si="1"/>
        <v/>
      </c>
    </row>
    <row r="872" ht="15.75" customHeight="1">
      <c r="B872" s="3" t="str">
        <f>IFERROR(__xludf.DUMMYFUNCTION("IFERROR(GOOGLEFINANCE(A872,""price""),"""")"),"")</f>
        <v/>
      </c>
      <c r="C872" s="3" t="str">
        <f t="shared" si="1"/>
        <v/>
      </c>
    </row>
    <row r="873" ht="15.75" customHeight="1">
      <c r="B873" s="3" t="str">
        <f>IFERROR(__xludf.DUMMYFUNCTION("IFERROR(GOOGLEFINANCE(A873,""price""),"""")"),"")</f>
        <v/>
      </c>
      <c r="C873" s="3" t="str">
        <f t="shared" si="1"/>
        <v/>
      </c>
    </row>
    <row r="874" ht="15.75" customHeight="1">
      <c r="B874" s="3" t="str">
        <f>IFERROR(__xludf.DUMMYFUNCTION("IFERROR(GOOGLEFINANCE(A874,""price""),"""")"),"")</f>
        <v/>
      </c>
      <c r="C874" s="3" t="str">
        <f t="shared" si="1"/>
        <v/>
      </c>
    </row>
    <row r="875" ht="15.75" customHeight="1">
      <c r="B875" s="3" t="str">
        <f>IFERROR(__xludf.DUMMYFUNCTION("IFERROR(GOOGLEFINANCE(A875,""price""),"""")"),"")</f>
        <v/>
      </c>
      <c r="C875" s="3" t="str">
        <f t="shared" si="1"/>
        <v/>
      </c>
    </row>
    <row r="876" ht="15.75" customHeight="1">
      <c r="B876" s="3" t="str">
        <f>IFERROR(__xludf.DUMMYFUNCTION("IFERROR(GOOGLEFINANCE(A876,""price""),"""")"),"")</f>
        <v/>
      </c>
      <c r="C876" s="3" t="str">
        <f t="shared" si="1"/>
        <v/>
      </c>
    </row>
    <row r="877" ht="15.75" customHeight="1">
      <c r="B877" s="3" t="str">
        <f>IFERROR(__xludf.DUMMYFUNCTION("IFERROR(GOOGLEFINANCE(A877,""price""),"""")"),"")</f>
        <v/>
      </c>
      <c r="C877" s="3" t="str">
        <f t="shared" si="1"/>
        <v/>
      </c>
    </row>
    <row r="878" ht="15.75" customHeight="1">
      <c r="B878" s="3" t="str">
        <f>IFERROR(__xludf.DUMMYFUNCTION("IFERROR(GOOGLEFINANCE(A878,""price""),"""")"),"")</f>
        <v/>
      </c>
      <c r="C878" s="3" t="str">
        <f t="shared" si="1"/>
        <v/>
      </c>
    </row>
    <row r="879" ht="15.75" customHeight="1">
      <c r="B879" s="3" t="str">
        <f>IFERROR(__xludf.DUMMYFUNCTION("IFERROR(GOOGLEFINANCE(A879,""price""),"""")"),"")</f>
        <v/>
      </c>
      <c r="C879" s="3" t="str">
        <f t="shared" si="1"/>
        <v/>
      </c>
    </row>
    <row r="880" ht="15.75" customHeight="1">
      <c r="B880" s="3" t="str">
        <f>IFERROR(__xludf.DUMMYFUNCTION("IFERROR(GOOGLEFINANCE(A880,""price""),"""")"),"")</f>
        <v/>
      </c>
      <c r="C880" s="3" t="str">
        <f t="shared" si="1"/>
        <v/>
      </c>
    </row>
    <row r="881" ht="15.75" customHeight="1">
      <c r="B881" s="3" t="str">
        <f>IFERROR(__xludf.DUMMYFUNCTION("IFERROR(GOOGLEFINANCE(A881,""price""),"""")"),"")</f>
        <v/>
      </c>
      <c r="C881" s="3" t="str">
        <f t="shared" si="1"/>
        <v/>
      </c>
    </row>
    <row r="882" ht="15.75" customHeight="1">
      <c r="B882" s="3" t="str">
        <f>IFERROR(__xludf.DUMMYFUNCTION("IFERROR(GOOGLEFINANCE(A882,""price""),"""")"),"")</f>
        <v/>
      </c>
      <c r="C882" s="3" t="str">
        <f t="shared" si="1"/>
        <v/>
      </c>
    </row>
    <row r="883" ht="15.75" customHeight="1">
      <c r="B883" s="3" t="str">
        <f>IFERROR(__xludf.DUMMYFUNCTION("IFERROR(GOOGLEFINANCE(A883,""price""),"""")"),"")</f>
        <v/>
      </c>
      <c r="C883" s="3" t="str">
        <f t="shared" si="1"/>
        <v/>
      </c>
    </row>
    <row r="884" ht="15.75" customHeight="1">
      <c r="B884" s="3" t="str">
        <f>IFERROR(__xludf.DUMMYFUNCTION("IFERROR(GOOGLEFINANCE(A884,""price""),"""")"),"")</f>
        <v/>
      </c>
      <c r="C884" s="3" t="str">
        <f t="shared" si="1"/>
        <v/>
      </c>
    </row>
    <row r="885" ht="15.75" customHeight="1">
      <c r="B885" s="3" t="str">
        <f>IFERROR(__xludf.DUMMYFUNCTION("IFERROR(GOOGLEFINANCE(A885,""price""),"""")"),"")</f>
        <v/>
      </c>
      <c r="C885" s="3" t="str">
        <f t="shared" si="1"/>
        <v/>
      </c>
    </row>
    <row r="886" ht="15.75" customHeight="1">
      <c r="B886" s="3" t="str">
        <f>IFERROR(__xludf.DUMMYFUNCTION("IFERROR(GOOGLEFINANCE(A886,""price""),"""")"),"")</f>
        <v/>
      </c>
      <c r="C886" s="3" t="str">
        <f t="shared" si="1"/>
        <v/>
      </c>
    </row>
    <row r="887" ht="15.75" customHeight="1">
      <c r="B887" s="3" t="str">
        <f>IFERROR(__xludf.DUMMYFUNCTION("IFERROR(GOOGLEFINANCE(A887,""price""),"""")"),"")</f>
        <v/>
      </c>
      <c r="C887" s="3" t="str">
        <f t="shared" si="1"/>
        <v/>
      </c>
    </row>
    <row r="888" ht="15.75" customHeight="1">
      <c r="B888" s="3" t="str">
        <f>IFERROR(__xludf.DUMMYFUNCTION("IFERROR(GOOGLEFINANCE(A888,""price""),"""")"),"")</f>
        <v/>
      </c>
      <c r="C888" s="3" t="str">
        <f t="shared" si="1"/>
        <v/>
      </c>
    </row>
    <row r="889" ht="15.75" customHeight="1">
      <c r="B889" s="3" t="str">
        <f>IFERROR(__xludf.DUMMYFUNCTION("IFERROR(GOOGLEFINANCE(A889,""price""),"""")"),"")</f>
        <v/>
      </c>
      <c r="C889" s="3" t="str">
        <f t="shared" si="1"/>
        <v/>
      </c>
    </row>
    <row r="890" ht="15.75" customHeight="1">
      <c r="B890" s="3" t="str">
        <f>IFERROR(__xludf.DUMMYFUNCTION("IFERROR(GOOGLEFINANCE(A890,""price""),"""")"),"")</f>
        <v/>
      </c>
      <c r="C890" s="3" t="str">
        <f t="shared" si="1"/>
        <v/>
      </c>
    </row>
    <row r="891" ht="15.75" customHeight="1">
      <c r="B891" s="3" t="str">
        <f>IFERROR(__xludf.DUMMYFUNCTION("IFERROR(GOOGLEFINANCE(A891,""price""),"""")"),"")</f>
        <v/>
      </c>
      <c r="C891" s="3" t="str">
        <f t="shared" si="1"/>
        <v/>
      </c>
    </row>
    <row r="892" ht="15.75" customHeight="1">
      <c r="B892" s="3" t="str">
        <f>IFERROR(__xludf.DUMMYFUNCTION("IFERROR(GOOGLEFINANCE(A892,""price""),"""")"),"")</f>
        <v/>
      </c>
      <c r="C892" s="3" t="str">
        <f t="shared" si="1"/>
        <v/>
      </c>
    </row>
    <row r="893" ht="15.75" customHeight="1">
      <c r="B893" s="3" t="str">
        <f>IFERROR(__xludf.DUMMYFUNCTION("IFERROR(GOOGLEFINANCE(A893,""price""),"""")"),"")</f>
        <v/>
      </c>
      <c r="C893" s="3" t="str">
        <f t="shared" si="1"/>
        <v/>
      </c>
    </row>
    <row r="894" ht="15.75" customHeight="1">
      <c r="B894" s="3" t="str">
        <f>IFERROR(__xludf.DUMMYFUNCTION("IFERROR(GOOGLEFINANCE(A894,""price""),"""")"),"")</f>
        <v/>
      </c>
      <c r="C894" s="3" t="str">
        <f t="shared" si="1"/>
        <v/>
      </c>
    </row>
    <row r="895" ht="15.75" customHeight="1">
      <c r="B895" s="3" t="str">
        <f>IFERROR(__xludf.DUMMYFUNCTION("IFERROR(GOOGLEFINANCE(A895,""price""),"""")"),"")</f>
        <v/>
      </c>
      <c r="C895" s="3" t="str">
        <f t="shared" si="1"/>
        <v/>
      </c>
    </row>
    <row r="896" ht="15.75" customHeight="1">
      <c r="B896" s="3" t="str">
        <f>IFERROR(__xludf.DUMMYFUNCTION("IFERROR(GOOGLEFINANCE(A896,""price""),"""")"),"")</f>
        <v/>
      </c>
      <c r="C896" s="3" t="str">
        <f t="shared" si="1"/>
        <v/>
      </c>
    </row>
    <row r="897" ht="15.75" customHeight="1">
      <c r="B897" s="3" t="str">
        <f>IFERROR(__xludf.DUMMYFUNCTION("IFERROR(GOOGLEFINANCE(A897,""price""),"""")"),"")</f>
        <v/>
      </c>
      <c r="C897" s="3" t="str">
        <f t="shared" si="1"/>
        <v/>
      </c>
    </row>
    <row r="898" ht="15.75" customHeight="1">
      <c r="B898" s="3" t="str">
        <f>IFERROR(__xludf.DUMMYFUNCTION("IFERROR(GOOGLEFINANCE(A898,""price""),"""")"),"")</f>
        <v/>
      </c>
      <c r="C898" s="3" t="str">
        <f t="shared" si="1"/>
        <v/>
      </c>
    </row>
    <row r="899" ht="15.75" customHeight="1">
      <c r="B899" s="3" t="str">
        <f>IFERROR(__xludf.DUMMYFUNCTION("IFERROR(GOOGLEFINANCE(A899,""price""),"""")"),"")</f>
        <v/>
      </c>
      <c r="C899" s="3" t="str">
        <f t="shared" si="1"/>
        <v/>
      </c>
    </row>
    <row r="900" ht="15.75" customHeight="1">
      <c r="B900" s="3" t="str">
        <f>IFERROR(__xludf.DUMMYFUNCTION("IFERROR(GOOGLEFINANCE(A900,""price""),"""")"),"")</f>
        <v/>
      </c>
      <c r="C900" s="3" t="str">
        <f t="shared" si="1"/>
        <v/>
      </c>
    </row>
    <row r="901" ht="15.75" customHeight="1">
      <c r="B901" s="3" t="str">
        <f>IFERROR(__xludf.DUMMYFUNCTION("IFERROR(GOOGLEFINANCE(A901,""price""),"""")"),"")</f>
        <v/>
      </c>
      <c r="C901" s="3" t="str">
        <f t="shared" si="1"/>
        <v/>
      </c>
    </row>
    <row r="902" ht="15.75" customHeight="1">
      <c r="B902" s="3" t="str">
        <f>IFERROR(__xludf.DUMMYFUNCTION("IFERROR(GOOGLEFINANCE(A902,""price""),"""")"),"")</f>
        <v/>
      </c>
      <c r="C902" s="3" t="str">
        <f t="shared" si="1"/>
        <v/>
      </c>
    </row>
    <row r="903" ht="15.75" customHeight="1">
      <c r="B903" s="3" t="str">
        <f>IFERROR(__xludf.DUMMYFUNCTION("IFERROR(GOOGLEFINANCE(A903,""price""),"""")"),"")</f>
        <v/>
      </c>
      <c r="C903" s="3" t="str">
        <f t="shared" si="1"/>
        <v/>
      </c>
    </row>
    <row r="904" ht="15.75" customHeight="1">
      <c r="B904" s="3" t="str">
        <f>IFERROR(__xludf.DUMMYFUNCTION("IFERROR(GOOGLEFINANCE(A904,""price""),"""")"),"")</f>
        <v/>
      </c>
      <c r="C904" s="3" t="str">
        <f t="shared" si="1"/>
        <v/>
      </c>
    </row>
    <row r="905" ht="15.75" customHeight="1">
      <c r="B905" s="3" t="str">
        <f>IFERROR(__xludf.DUMMYFUNCTION("IFERROR(GOOGLEFINANCE(A905,""price""),"""")"),"")</f>
        <v/>
      </c>
      <c r="C905" s="3" t="str">
        <f t="shared" si="1"/>
        <v/>
      </c>
    </row>
    <row r="906" ht="15.75" customHeight="1">
      <c r="B906" s="3" t="str">
        <f>IFERROR(__xludf.DUMMYFUNCTION("IFERROR(GOOGLEFINANCE(A906,""price""),"""")"),"")</f>
        <v/>
      </c>
      <c r="C906" s="3" t="str">
        <f t="shared" si="1"/>
        <v/>
      </c>
    </row>
    <row r="907" ht="15.75" customHeight="1">
      <c r="B907" s="3" t="str">
        <f>IFERROR(__xludf.DUMMYFUNCTION("IFERROR(GOOGLEFINANCE(A907,""price""),"""")"),"")</f>
        <v/>
      </c>
      <c r="C907" s="3" t="str">
        <f t="shared" si="1"/>
        <v/>
      </c>
    </row>
    <row r="908" ht="15.75" customHeight="1">
      <c r="B908" s="3" t="str">
        <f>IFERROR(__xludf.DUMMYFUNCTION("IFERROR(GOOGLEFINANCE(A908,""price""),"""")"),"")</f>
        <v/>
      </c>
      <c r="C908" s="3" t="str">
        <f t="shared" si="1"/>
        <v/>
      </c>
    </row>
    <row r="909" ht="15.75" customHeight="1">
      <c r="B909" s="3" t="str">
        <f>IFERROR(__xludf.DUMMYFUNCTION("IFERROR(GOOGLEFINANCE(A909,""price""),"""")"),"")</f>
        <v/>
      </c>
      <c r="C909" s="3" t="str">
        <f t="shared" si="1"/>
        <v/>
      </c>
    </row>
    <row r="910" ht="15.75" customHeight="1">
      <c r="B910" s="3" t="str">
        <f>IFERROR(__xludf.DUMMYFUNCTION("IFERROR(GOOGLEFINANCE(A910,""price""),"""")"),"")</f>
        <v/>
      </c>
      <c r="C910" s="3" t="str">
        <f t="shared" si="1"/>
        <v/>
      </c>
    </row>
    <row r="911" ht="15.75" customHeight="1">
      <c r="B911" s="3" t="str">
        <f>IFERROR(__xludf.DUMMYFUNCTION("IFERROR(GOOGLEFINANCE(A911,""price""),"""")"),"")</f>
        <v/>
      </c>
      <c r="C911" s="3" t="str">
        <f t="shared" si="1"/>
        <v/>
      </c>
    </row>
    <row r="912" ht="15.75" customHeight="1">
      <c r="B912" s="3" t="str">
        <f>IFERROR(__xludf.DUMMYFUNCTION("IFERROR(GOOGLEFINANCE(A912,""price""),"""")"),"")</f>
        <v/>
      </c>
      <c r="C912" s="3" t="str">
        <f t="shared" si="1"/>
        <v/>
      </c>
    </row>
    <row r="913" ht="15.75" customHeight="1">
      <c r="B913" s="3" t="str">
        <f>IFERROR(__xludf.DUMMYFUNCTION("IFERROR(GOOGLEFINANCE(A913,""price""),"""")"),"")</f>
        <v/>
      </c>
      <c r="C913" s="3" t="str">
        <f t="shared" si="1"/>
        <v/>
      </c>
    </row>
    <row r="914" ht="15.75" customHeight="1">
      <c r="B914" s="3" t="str">
        <f>IFERROR(__xludf.DUMMYFUNCTION("IFERROR(GOOGLEFINANCE(A914,""price""),"""")"),"")</f>
        <v/>
      </c>
      <c r="C914" s="3" t="str">
        <f t="shared" si="1"/>
        <v/>
      </c>
    </row>
    <row r="915" ht="15.75" customHeight="1">
      <c r="B915" s="3" t="str">
        <f>IFERROR(__xludf.DUMMYFUNCTION("IFERROR(GOOGLEFINANCE(A915,""price""),"""")"),"")</f>
        <v/>
      </c>
      <c r="C915" s="3" t="str">
        <f t="shared" si="1"/>
        <v/>
      </c>
    </row>
    <row r="916" ht="15.75" customHeight="1">
      <c r="B916" s="3" t="str">
        <f>IFERROR(__xludf.DUMMYFUNCTION("IFERROR(GOOGLEFINANCE(A916,""price""),"""")"),"")</f>
        <v/>
      </c>
      <c r="C916" s="3" t="str">
        <f t="shared" si="1"/>
        <v/>
      </c>
    </row>
    <row r="917" ht="15.75" customHeight="1">
      <c r="B917" s="3" t="str">
        <f>IFERROR(__xludf.DUMMYFUNCTION("IFERROR(GOOGLEFINANCE(A917,""price""),"""")"),"")</f>
        <v/>
      </c>
      <c r="C917" s="3" t="str">
        <f t="shared" si="1"/>
        <v/>
      </c>
    </row>
    <row r="918" ht="15.75" customHeight="1">
      <c r="B918" s="3" t="str">
        <f>IFERROR(__xludf.DUMMYFUNCTION("IFERROR(GOOGLEFINANCE(A918,""price""),"""")"),"")</f>
        <v/>
      </c>
      <c r="C918" s="3" t="str">
        <f t="shared" si="1"/>
        <v/>
      </c>
    </row>
    <row r="919" ht="15.75" customHeight="1">
      <c r="B919" s="3" t="str">
        <f>IFERROR(__xludf.DUMMYFUNCTION("IFERROR(GOOGLEFINANCE(A919,""price""),"""")"),"")</f>
        <v/>
      </c>
      <c r="C919" s="3" t="str">
        <f t="shared" si="1"/>
        <v/>
      </c>
    </row>
    <row r="920" ht="15.75" customHeight="1">
      <c r="B920" s="3" t="str">
        <f>IFERROR(__xludf.DUMMYFUNCTION("IFERROR(GOOGLEFINANCE(A920,""price""),"""")"),"")</f>
        <v/>
      </c>
      <c r="C920" s="3" t="str">
        <f t="shared" si="1"/>
        <v/>
      </c>
    </row>
    <row r="921" ht="15.75" customHeight="1">
      <c r="B921" s="3" t="str">
        <f>IFERROR(__xludf.DUMMYFUNCTION("IFERROR(GOOGLEFINANCE(A921,""price""),"""")"),"")</f>
        <v/>
      </c>
      <c r="C921" s="3" t="str">
        <f t="shared" si="1"/>
        <v/>
      </c>
    </row>
    <row r="922" ht="15.75" customHeight="1">
      <c r="B922" s="3" t="str">
        <f>IFERROR(__xludf.DUMMYFUNCTION("IFERROR(GOOGLEFINANCE(A922,""price""),"""")"),"")</f>
        <v/>
      </c>
      <c r="C922" s="3" t="str">
        <f t="shared" si="1"/>
        <v/>
      </c>
    </row>
    <row r="923" ht="15.75" customHeight="1">
      <c r="B923" s="3" t="str">
        <f>IFERROR(__xludf.DUMMYFUNCTION("IFERROR(GOOGLEFINANCE(A923,""price""),"""")"),"")</f>
        <v/>
      </c>
      <c r="C923" s="3" t="str">
        <f t="shared" si="1"/>
        <v/>
      </c>
    </row>
    <row r="924" ht="15.75" customHeight="1">
      <c r="B924" s="3" t="str">
        <f>IFERROR(__xludf.DUMMYFUNCTION("IFERROR(GOOGLEFINANCE(A924,""price""),"""")"),"")</f>
        <v/>
      </c>
      <c r="C924" s="3" t="str">
        <f t="shared" si="1"/>
        <v/>
      </c>
    </row>
    <row r="925" ht="15.75" customHeight="1">
      <c r="B925" s="3" t="str">
        <f>IFERROR(__xludf.DUMMYFUNCTION("IFERROR(GOOGLEFINANCE(A925,""price""),"""")"),"")</f>
        <v/>
      </c>
      <c r="C925" s="3" t="str">
        <f t="shared" si="1"/>
        <v/>
      </c>
    </row>
    <row r="926" ht="15.75" customHeight="1">
      <c r="B926" s="3" t="str">
        <f>IFERROR(__xludf.DUMMYFUNCTION("IFERROR(GOOGLEFINANCE(A926,""price""),"""")"),"")</f>
        <v/>
      </c>
      <c r="C926" s="3" t="str">
        <f t="shared" si="1"/>
        <v/>
      </c>
    </row>
    <row r="927" ht="15.75" customHeight="1">
      <c r="B927" s="3" t="str">
        <f>IFERROR(__xludf.DUMMYFUNCTION("IFERROR(GOOGLEFINANCE(A927,""price""),"""")"),"")</f>
        <v/>
      </c>
      <c r="C927" s="3" t="str">
        <f t="shared" si="1"/>
        <v/>
      </c>
    </row>
    <row r="928" ht="15.75" customHeight="1">
      <c r="B928" s="3" t="str">
        <f>IFERROR(__xludf.DUMMYFUNCTION("IFERROR(GOOGLEFINANCE(A928,""price""),"""")"),"")</f>
        <v/>
      </c>
      <c r="C928" s="3" t="str">
        <f t="shared" si="1"/>
        <v/>
      </c>
    </row>
    <row r="929" ht="15.75" customHeight="1">
      <c r="B929" s="3" t="str">
        <f>IFERROR(__xludf.DUMMYFUNCTION("IFERROR(GOOGLEFINANCE(A929,""price""),"""")"),"")</f>
        <v/>
      </c>
      <c r="C929" s="3" t="str">
        <f t="shared" si="1"/>
        <v/>
      </c>
    </row>
    <row r="930" ht="15.75" customHeight="1">
      <c r="B930" s="3" t="str">
        <f>IFERROR(__xludf.DUMMYFUNCTION("IFERROR(GOOGLEFINANCE(A930,""price""),"""")"),"")</f>
        <v/>
      </c>
      <c r="C930" s="3" t="str">
        <f t="shared" si="1"/>
        <v/>
      </c>
    </row>
    <row r="931" ht="15.75" customHeight="1">
      <c r="B931" s="3" t="str">
        <f>IFERROR(__xludf.DUMMYFUNCTION("IFERROR(GOOGLEFINANCE(A931,""price""),"""")"),"")</f>
        <v/>
      </c>
      <c r="C931" s="3" t="str">
        <f t="shared" si="1"/>
        <v/>
      </c>
    </row>
    <row r="932" ht="15.75" customHeight="1">
      <c r="B932" s="3" t="str">
        <f>IFERROR(__xludf.DUMMYFUNCTION("IFERROR(GOOGLEFINANCE(A932,""price""),"""")"),"")</f>
        <v/>
      </c>
      <c r="C932" s="3" t="str">
        <f t="shared" si="1"/>
        <v/>
      </c>
    </row>
    <row r="933" ht="15.75" customHeight="1">
      <c r="B933" s="3" t="str">
        <f>IFERROR(__xludf.DUMMYFUNCTION("IFERROR(GOOGLEFINANCE(A933,""price""),"""")"),"")</f>
        <v/>
      </c>
      <c r="C933" s="3" t="str">
        <f t="shared" si="1"/>
        <v/>
      </c>
    </row>
    <row r="934" ht="15.75" customHeight="1">
      <c r="B934" s="3" t="str">
        <f>IFERROR(__xludf.DUMMYFUNCTION("IFERROR(GOOGLEFINANCE(A934,""price""),"""")"),"")</f>
        <v/>
      </c>
      <c r="C934" s="3" t="str">
        <f t="shared" si="1"/>
        <v/>
      </c>
    </row>
    <row r="935" ht="15.75" customHeight="1">
      <c r="B935" s="3" t="str">
        <f>IFERROR(__xludf.DUMMYFUNCTION("IFERROR(GOOGLEFINANCE(A935,""price""),"""")"),"")</f>
        <v/>
      </c>
      <c r="C935" s="3" t="str">
        <f t="shared" si="1"/>
        <v/>
      </c>
    </row>
    <row r="936" ht="15.75" customHeight="1">
      <c r="B936" s="3" t="str">
        <f>IFERROR(__xludf.DUMMYFUNCTION("IFERROR(GOOGLEFINANCE(A936,""price""),"""")"),"")</f>
        <v/>
      </c>
      <c r="C936" s="3" t="str">
        <f t="shared" si="1"/>
        <v/>
      </c>
    </row>
    <row r="937" ht="15.75" customHeight="1">
      <c r="B937" s="3" t="str">
        <f>IFERROR(__xludf.DUMMYFUNCTION("IFERROR(GOOGLEFINANCE(A937,""price""),"""")"),"")</f>
        <v/>
      </c>
      <c r="C937" s="3" t="str">
        <f t="shared" si="1"/>
        <v/>
      </c>
    </row>
    <row r="938" ht="15.75" customHeight="1">
      <c r="B938" s="3" t="str">
        <f>IFERROR(__xludf.DUMMYFUNCTION("IFERROR(GOOGLEFINANCE(A938,""price""),"""")"),"")</f>
        <v/>
      </c>
      <c r="C938" s="3" t="str">
        <f t="shared" si="1"/>
        <v/>
      </c>
    </row>
    <row r="939" ht="15.75" customHeight="1">
      <c r="B939" s="3" t="str">
        <f>IFERROR(__xludf.DUMMYFUNCTION("IFERROR(GOOGLEFINANCE(A939,""price""),"""")"),"")</f>
        <v/>
      </c>
      <c r="C939" s="3" t="str">
        <f t="shared" si="1"/>
        <v/>
      </c>
    </row>
    <row r="940" ht="15.75" customHeight="1">
      <c r="B940" s="3" t="str">
        <f>IFERROR(__xludf.DUMMYFUNCTION("IFERROR(GOOGLEFINANCE(A940,""price""),"""")"),"")</f>
        <v/>
      </c>
      <c r="C940" s="3" t="str">
        <f t="shared" si="1"/>
        <v/>
      </c>
    </row>
    <row r="941" ht="15.75" customHeight="1">
      <c r="B941" s="3" t="str">
        <f>IFERROR(__xludf.DUMMYFUNCTION("IFERROR(GOOGLEFINANCE(A941,""price""),"""")"),"")</f>
        <v/>
      </c>
      <c r="C941" s="3" t="str">
        <f t="shared" si="1"/>
        <v/>
      </c>
    </row>
    <row r="942" ht="15.75" customHeight="1">
      <c r="B942" s="3" t="str">
        <f>IFERROR(__xludf.DUMMYFUNCTION("IFERROR(GOOGLEFINANCE(A942,""price""),"""")"),"")</f>
        <v/>
      </c>
      <c r="C942" s="3" t="str">
        <f t="shared" si="1"/>
        <v/>
      </c>
    </row>
    <row r="943" ht="15.75" customHeight="1">
      <c r="B943" s="3" t="str">
        <f>IFERROR(__xludf.DUMMYFUNCTION("IFERROR(GOOGLEFINANCE(A943,""price""),"""")"),"")</f>
        <v/>
      </c>
      <c r="C943" s="3" t="str">
        <f t="shared" si="1"/>
        <v/>
      </c>
    </row>
    <row r="944" ht="15.75" customHeight="1">
      <c r="B944" s="3" t="str">
        <f>IFERROR(__xludf.DUMMYFUNCTION("IFERROR(GOOGLEFINANCE(A944,""price""),"""")"),"")</f>
        <v/>
      </c>
      <c r="C944" s="3" t="str">
        <f t="shared" si="1"/>
        <v/>
      </c>
    </row>
    <row r="945" ht="15.75" customHeight="1">
      <c r="B945" s="3" t="str">
        <f>IFERROR(__xludf.DUMMYFUNCTION("IFERROR(GOOGLEFINANCE(A945,""price""),"""")"),"")</f>
        <v/>
      </c>
      <c r="C945" s="3" t="str">
        <f t="shared" si="1"/>
        <v/>
      </c>
    </row>
    <row r="946" ht="15.75" customHeight="1">
      <c r="B946" s="3" t="str">
        <f>IFERROR(__xludf.DUMMYFUNCTION("IFERROR(GOOGLEFINANCE(A946,""price""),"""")"),"")</f>
        <v/>
      </c>
      <c r="C946" s="3" t="str">
        <f t="shared" si="1"/>
        <v/>
      </c>
    </row>
    <row r="947" ht="15.75" customHeight="1">
      <c r="B947" s="3" t="str">
        <f>IFERROR(__xludf.DUMMYFUNCTION("IFERROR(GOOGLEFINANCE(A947,""price""),"""")"),"")</f>
        <v/>
      </c>
      <c r="C947" s="3" t="str">
        <f t="shared" si="1"/>
        <v/>
      </c>
    </row>
    <row r="948" ht="15.75" customHeight="1">
      <c r="B948" s="3" t="str">
        <f>IFERROR(__xludf.DUMMYFUNCTION("IFERROR(GOOGLEFINANCE(A948,""price""),"""")"),"")</f>
        <v/>
      </c>
      <c r="C948" s="3" t="str">
        <f t="shared" si="1"/>
        <v/>
      </c>
    </row>
    <row r="949" ht="15.75" customHeight="1">
      <c r="B949" s="3" t="str">
        <f>IFERROR(__xludf.DUMMYFUNCTION("IFERROR(GOOGLEFINANCE(A949,""price""),"""")"),"")</f>
        <v/>
      </c>
      <c r="C949" s="3" t="str">
        <f t="shared" si="1"/>
        <v/>
      </c>
    </row>
    <row r="950" ht="15.75" customHeight="1">
      <c r="B950" s="3" t="str">
        <f>IFERROR(__xludf.DUMMYFUNCTION("IFERROR(GOOGLEFINANCE(A950,""price""),"""")"),"")</f>
        <v/>
      </c>
      <c r="C950" s="3" t="str">
        <f t="shared" si="1"/>
        <v/>
      </c>
    </row>
    <row r="951" ht="15.75" customHeight="1">
      <c r="B951" s="3" t="str">
        <f>IFERROR(__xludf.DUMMYFUNCTION("IFERROR(GOOGLEFINANCE(A951,""price""),"""")"),"")</f>
        <v/>
      </c>
      <c r="C951" s="3" t="str">
        <f t="shared" si="1"/>
        <v/>
      </c>
    </row>
    <row r="952" ht="15.75" customHeight="1">
      <c r="B952" s="3" t="str">
        <f>IFERROR(__xludf.DUMMYFUNCTION("IFERROR(GOOGLEFINANCE(A952,""price""),"""")"),"")</f>
        <v/>
      </c>
      <c r="C952" s="3" t="str">
        <f t="shared" si="1"/>
        <v/>
      </c>
    </row>
    <row r="953" ht="15.75" customHeight="1">
      <c r="B953" s="3" t="str">
        <f>IFERROR(__xludf.DUMMYFUNCTION("IFERROR(GOOGLEFINANCE(A953,""price""),"""")"),"")</f>
        <v/>
      </c>
      <c r="C953" s="3" t="str">
        <f t="shared" si="1"/>
        <v/>
      </c>
    </row>
    <row r="954" ht="15.75" customHeight="1">
      <c r="B954" s="3" t="str">
        <f>IFERROR(__xludf.DUMMYFUNCTION("IFERROR(GOOGLEFINANCE(A954,""price""),"""")"),"")</f>
        <v/>
      </c>
      <c r="C954" s="3" t="str">
        <f t="shared" si="1"/>
        <v/>
      </c>
    </row>
    <row r="955" ht="15.75" customHeight="1">
      <c r="B955" s="3" t="str">
        <f>IFERROR(__xludf.DUMMYFUNCTION("IFERROR(GOOGLEFINANCE(A955,""price""),"""")"),"")</f>
        <v/>
      </c>
      <c r="C955" s="3" t="str">
        <f t="shared" si="1"/>
        <v/>
      </c>
    </row>
    <row r="956" ht="15.75" customHeight="1">
      <c r="B956" s="3" t="str">
        <f>IFERROR(__xludf.DUMMYFUNCTION("IFERROR(GOOGLEFINANCE(A956,""price""),"""")"),"")</f>
        <v/>
      </c>
      <c r="C956" s="3" t="str">
        <f t="shared" si="1"/>
        <v/>
      </c>
    </row>
    <row r="957" ht="15.75" customHeight="1">
      <c r="B957" s="3" t="str">
        <f>IFERROR(__xludf.DUMMYFUNCTION("IFERROR(GOOGLEFINANCE(A957,""price""),"""")"),"")</f>
        <v/>
      </c>
      <c r="C957" s="3" t="str">
        <f t="shared" si="1"/>
        <v/>
      </c>
    </row>
    <row r="958" ht="15.75" customHeight="1">
      <c r="B958" s="3" t="str">
        <f>IFERROR(__xludf.DUMMYFUNCTION("IFERROR(GOOGLEFINANCE(A958,""price""),"""")"),"")</f>
        <v/>
      </c>
      <c r="C958" s="3" t="str">
        <f t="shared" si="1"/>
        <v/>
      </c>
    </row>
    <row r="959" ht="15.75" customHeight="1">
      <c r="B959" s="3" t="str">
        <f>IFERROR(__xludf.DUMMYFUNCTION("IFERROR(GOOGLEFINANCE(A959,""price""),"""")"),"")</f>
        <v/>
      </c>
      <c r="C959" s="3" t="str">
        <f t="shared" si="1"/>
        <v/>
      </c>
    </row>
    <row r="960" ht="15.75" customHeight="1">
      <c r="B960" s="3" t="str">
        <f>IFERROR(__xludf.DUMMYFUNCTION("IFERROR(GOOGLEFINANCE(A960,""price""),"""")"),"")</f>
        <v/>
      </c>
      <c r="C960" s="3" t="str">
        <f t="shared" si="1"/>
        <v/>
      </c>
    </row>
    <row r="961" ht="15.75" customHeight="1">
      <c r="B961" s="3" t="str">
        <f>IFERROR(__xludf.DUMMYFUNCTION("IFERROR(GOOGLEFINANCE(A961,""price""),"""")"),"")</f>
        <v/>
      </c>
      <c r="C961" s="3" t="str">
        <f t="shared" si="1"/>
        <v/>
      </c>
    </row>
    <row r="962" ht="15.75" customHeight="1">
      <c r="B962" s="3" t="str">
        <f>IFERROR(__xludf.DUMMYFUNCTION("IFERROR(GOOGLEFINANCE(A962,""price""),"""")"),"")</f>
        <v/>
      </c>
      <c r="C962" s="3" t="str">
        <f t="shared" si="1"/>
        <v/>
      </c>
    </row>
    <row r="963" ht="15.75" customHeight="1">
      <c r="B963" s="3" t="str">
        <f>IFERROR(__xludf.DUMMYFUNCTION("IFERROR(GOOGLEFINANCE(A963,""price""),"""")"),"")</f>
        <v/>
      </c>
      <c r="C963" s="3" t="str">
        <f t="shared" si="1"/>
        <v/>
      </c>
    </row>
    <row r="964" ht="15.75" customHeight="1">
      <c r="B964" s="3" t="str">
        <f>IFERROR(__xludf.DUMMYFUNCTION("IFERROR(GOOGLEFINANCE(A964,""price""),"""")"),"")</f>
        <v/>
      </c>
      <c r="C964" s="3" t="str">
        <f t="shared" si="1"/>
        <v/>
      </c>
    </row>
    <row r="965" ht="15.75" customHeight="1">
      <c r="B965" s="3" t="str">
        <f>IFERROR(__xludf.DUMMYFUNCTION("IFERROR(GOOGLEFINANCE(A965,""price""),"""")"),"")</f>
        <v/>
      </c>
      <c r="C965" s="3" t="str">
        <f t="shared" si="1"/>
        <v/>
      </c>
    </row>
    <row r="966" ht="15.75" customHeight="1">
      <c r="B966" s="3" t="str">
        <f>IFERROR(__xludf.DUMMYFUNCTION("IFERROR(GOOGLEFINANCE(A966,""price""),"""")"),"")</f>
        <v/>
      </c>
      <c r="C966" s="3" t="str">
        <f t="shared" si="1"/>
        <v/>
      </c>
    </row>
    <row r="967" ht="15.75" customHeight="1">
      <c r="B967" s="3" t="str">
        <f>IFERROR(__xludf.DUMMYFUNCTION("IFERROR(GOOGLEFINANCE(A967,""price""),"""")"),"")</f>
        <v/>
      </c>
      <c r="C967" s="3" t="str">
        <f t="shared" si="1"/>
        <v/>
      </c>
    </row>
    <row r="968" ht="15.75" customHeight="1">
      <c r="B968" s="3" t="str">
        <f>IFERROR(__xludf.DUMMYFUNCTION("IFERROR(GOOGLEFINANCE(A968,""price""),"""")"),"")</f>
        <v/>
      </c>
      <c r="C968" s="3" t="str">
        <f t="shared" si="1"/>
        <v/>
      </c>
    </row>
    <row r="969" ht="15.75" customHeight="1">
      <c r="B969" s="3" t="str">
        <f>IFERROR(__xludf.DUMMYFUNCTION("IFERROR(GOOGLEFINANCE(A969,""price""),"""")"),"")</f>
        <v/>
      </c>
      <c r="C969" s="3" t="str">
        <f t="shared" si="1"/>
        <v/>
      </c>
    </row>
    <row r="970" ht="15.75" customHeight="1">
      <c r="B970" s="3" t="str">
        <f>IFERROR(__xludf.DUMMYFUNCTION("IFERROR(GOOGLEFINANCE(A970,""price""),"""")"),"")</f>
        <v/>
      </c>
      <c r="C970" s="3" t="str">
        <f t="shared" si="1"/>
        <v/>
      </c>
    </row>
    <row r="971" ht="15.75" customHeight="1">
      <c r="B971" s="3" t="str">
        <f>IFERROR(__xludf.DUMMYFUNCTION("IFERROR(GOOGLEFINANCE(A971,""price""),"""")"),"")</f>
        <v/>
      </c>
      <c r="C971" s="3" t="str">
        <f t="shared" si="1"/>
        <v/>
      </c>
    </row>
    <row r="972" ht="15.75" customHeight="1">
      <c r="B972" s="3" t="str">
        <f>IFERROR(__xludf.DUMMYFUNCTION("IFERROR(GOOGLEFINANCE(A972,""price""),"""")"),"")</f>
        <v/>
      </c>
      <c r="C972" s="3" t="str">
        <f t="shared" si="1"/>
        <v/>
      </c>
    </row>
    <row r="973" ht="15.75" customHeight="1">
      <c r="B973" s="3" t="str">
        <f>IFERROR(__xludf.DUMMYFUNCTION("IFERROR(GOOGLEFINANCE(A973,""price""),"""")"),"")</f>
        <v/>
      </c>
      <c r="C973" s="3" t="str">
        <f t="shared" si="1"/>
        <v/>
      </c>
    </row>
    <row r="974" ht="15.75" customHeight="1">
      <c r="B974" s="3" t="str">
        <f>IFERROR(__xludf.DUMMYFUNCTION("IFERROR(GOOGLEFINANCE(A974,""price""),"""")"),"")</f>
        <v/>
      </c>
      <c r="C974" s="3" t="str">
        <f t="shared" si="1"/>
        <v/>
      </c>
    </row>
    <row r="975" ht="15.75" customHeight="1">
      <c r="B975" s="3" t="str">
        <f>IFERROR(__xludf.DUMMYFUNCTION("IFERROR(GOOGLEFINANCE(A975,""price""),"""")"),"")</f>
        <v/>
      </c>
      <c r="C975" s="3" t="str">
        <f t="shared" si="1"/>
        <v/>
      </c>
    </row>
    <row r="976" ht="15.75" customHeight="1">
      <c r="B976" s="3" t="str">
        <f>IFERROR(__xludf.DUMMYFUNCTION("IFERROR(GOOGLEFINANCE(A976,""price""),"""")"),"")</f>
        <v/>
      </c>
      <c r="C976" s="3" t="str">
        <f t="shared" si="1"/>
        <v/>
      </c>
    </row>
    <row r="977" ht="15.75" customHeight="1">
      <c r="B977" s="3" t="str">
        <f>IFERROR(__xludf.DUMMYFUNCTION("IFERROR(GOOGLEFINANCE(A977,""price""),"""")"),"")</f>
        <v/>
      </c>
      <c r="C977" s="3" t="str">
        <f t="shared" si="1"/>
        <v/>
      </c>
    </row>
    <row r="978" ht="15.75" customHeight="1">
      <c r="B978" s="3" t="str">
        <f>IFERROR(__xludf.DUMMYFUNCTION("IFERROR(GOOGLEFINANCE(A978,""price""),"""")"),"")</f>
        <v/>
      </c>
      <c r="C978" s="3" t="str">
        <f t="shared" si="1"/>
        <v/>
      </c>
    </row>
    <row r="979" ht="15.75" customHeight="1">
      <c r="B979" s="3" t="str">
        <f>IFERROR(__xludf.DUMMYFUNCTION("IFERROR(GOOGLEFINANCE(A979,""price""),"""")"),"")</f>
        <v/>
      </c>
      <c r="C979" s="3" t="str">
        <f t="shared" si="1"/>
        <v/>
      </c>
    </row>
    <row r="980" ht="15.75" customHeight="1">
      <c r="B980" s="3" t="str">
        <f>IFERROR(__xludf.DUMMYFUNCTION("IFERROR(GOOGLEFINANCE(A980,""price""),"""")"),"")</f>
        <v/>
      </c>
      <c r="C980" s="3" t="str">
        <f t="shared" si="1"/>
        <v/>
      </c>
    </row>
    <row r="981" ht="15.75" customHeight="1">
      <c r="B981" s="3" t="str">
        <f>IFERROR(__xludf.DUMMYFUNCTION("IFERROR(GOOGLEFINANCE(A981,""price""),"""")"),"")</f>
        <v/>
      </c>
      <c r="C981" s="3" t="str">
        <f t="shared" si="1"/>
        <v/>
      </c>
    </row>
    <row r="982" ht="15.75" customHeight="1">
      <c r="B982" s="3" t="str">
        <f>IFERROR(__xludf.DUMMYFUNCTION("IFERROR(GOOGLEFINANCE(A982,""price""),"""")"),"")</f>
        <v/>
      </c>
      <c r="C982" s="3" t="str">
        <f t="shared" si="1"/>
        <v/>
      </c>
    </row>
    <row r="983" ht="15.75" customHeight="1">
      <c r="B983" s="3" t="str">
        <f>IFERROR(__xludf.DUMMYFUNCTION("IFERROR(GOOGLEFINANCE(A983,""price""),"""")"),"")</f>
        <v/>
      </c>
      <c r="C983" s="3" t="str">
        <f t="shared" si="1"/>
        <v/>
      </c>
    </row>
    <row r="984" ht="15.75" customHeight="1">
      <c r="B984" s="3" t="str">
        <f>IFERROR(__xludf.DUMMYFUNCTION("IFERROR(GOOGLEFINANCE(A984,""price""),"""")"),"")</f>
        <v/>
      </c>
      <c r="C984" s="3" t="str">
        <f t="shared" si="1"/>
        <v/>
      </c>
    </row>
    <row r="985" ht="15.75" customHeight="1">
      <c r="B985" s="3" t="str">
        <f>IFERROR(__xludf.DUMMYFUNCTION("IFERROR(GOOGLEFINANCE(A985,""price""),"""")"),"")</f>
        <v/>
      </c>
      <c r="C985" s="3" t="str">
        <f t="shared" si="1"/>
        <v/>
      </c>
    </row>
    <row r="986" ht="15.75" customHeight="1">
      <c r="B986" s="3" t="str">
        <f>IFERROR(__xludf.DUMMYFUNCTION("IFERROR(GOOGLEFINANCE(A986,""price""),"""")"),"")</f>
        <v/>
      </c>
      <c r="C986" s="3" t="str">
        <f t="shared" si="1"/>
        <v/>
      </c>
    </row>
    <row r="987" ht="15.75" customHeight="1">
      <c r="B987" s="3" t="str">
        <f>IFERROR(__xludf.DUMMYFUNCTION("IFERROR(GOOGLEFINANCE(A987,""price""),"""")"),"")</f>
        <v/>
      </c>
      <c r="C987" s="3" t="str">
        <f t="shared" si="1"/>
        <v/>
      </c>
    </row>
    <row r="988" ht="15.75" customHeight="1">
      <c r="B988" s="3" t="str">
        <f>IFERROR(__xludf.DUMMYFUNCTION("IFERROR(GOOGLEFINANCE(A988,""price""),"""")"),"")</f>
        <v/>
      </c>
      <c r="C988" s="3" t="str">
        <f t="shared" si="1"/>
        <v/>
      </c>
    </row>
    <row r="989" ht="15.75" customHeight="1">
      <c r="B989" s="3" t="str">
        <f>IFERROR(__xludf.DUMMYFUNCTION("IFERROR(GOOGLEFINANCE(A989,""price""),"""")"),"")</f>
        <v/>
      </c>
      <c r="C989" s="3" t="str">
        <f t="shared" si="1"/>
        <v/>
      </c>
    </row>
    <row r="990" ht="15.75" customHeight="1">
      <c r="B990" s="3" t="str">
        <f>IFERROR(__xludf.DUMMYFUNCTION("IFERROR(GOOGLEFINANCE(A990,""price""),"""")"),"")</f>
        <v/>
      </c>
      <c r="C990" s="3" t="str">
        <f t="shared" si="1"/>
        <v/>
      </c>
    </row>
    <row r="991" ht="15.75" customHeight="1">
      <c r="B991" s="3" t="str">
        <f>IFERROR(__xludf.DUMMYFUNCTION("IFERROR(GOOGLEFINANCE(A991,""price""),"""")"),"")</f>
        <v/>
      </c>
      <c r="C991" s="3" t="str">
        <f t="shared" si="1"/>
        <v/>
      </c>
    </row>
    <row r="992" ht="15.75" customHeight="1">
      <c r="B992" s="3" t="str">
        <f>IFERROR(__xludf.DUMMYFUNCTION("IFERROR(GOOGLEFINANCE(A992,""price""),"""")"),"")</f>
        <v/>
      </c>
      <c r="C992" s="3" t="str">
        <f t="shared" si="1"/>
        <v/>
      </c>
    </row>
    <row r="993" ht="15.75" customHeight="1">
      <c r="B993" s="3" t="str">
        <f>IFERROR(__xludf.DUMMYFUNCTION("IFERROR(GOOGLEFINANCE(A993,""price""),"""")"),"")</f>
        <v/>
      </c>
      <c r="C993" s="3" t="str">
        <f t="shared" si="1"/>
        <v/>
      </c>
    </row>
    <row r="994" ht="15.75" customHeight="1">
      <c r="B994" s="3" t="str">
        <f>IFERROR(__xludf.DUMMYFUNCTION("IFERROR(GOOGLEFINANCE(A994,""price""),"""")"),"")</f>
        <v/>
      </c>
      <c r="C994" s="3" t="str">
        <f t="shared" si="1"/>
        <v/>
      </c>
    </row>
    <row r="995" ht="15.75" customHeight="1">
      <c r="B995" s="3" t="str">
        <f>IFERROR(__xludf.DUMMYFUNCTION("IFERROR(GOOGLEFINANCE(A995,""price""),"""")"),"")</f>
        <v/>
      </c>
      <c r="C995" s="3" t="str">
        <f t="shared" si="1"/>
        <v/>
      </c>
    </row>
    <row r="996" ht="15.75" customHeight="1">
      <c r="B996" s="3" t="str">
        <f>IFERROR(__xludf.DUMMYFUNCTION("IFERROR(GOOGLEFINANCE(A996,""price""),"""")"),"")</f>
        <v/>
      </c>
      <c r="C996" s="3" t="str">
        <f t="shared" si="1"/>
        <v/>
      </c>
    </row>
    <row r="997" ht="15.75" customHeight="1">
      <c r="B997" s="3" t="str">
        <f>IFERROR(__xludf.DUMMYFUNCTION("IFERROR(GOOGLEFINANCE(A997,""price""),"""")"),"")</f>
        <v/>
      </c>
      <c r="C997" s="3" t="str">
        <f t="shared" si="1"/>
        <v/>
      </c>
    </row>
    <row r="998" ht="15.75" customHeight="1">
      <c r="B998" s="3" t="str">
        <f>IFERROR(__xludf.DUMMYFUNCTION("IFERROR(GOOGLEFINANCE(A998,""price""),"""")"),"")</f>
        <v/>
      </c>
      <c r="C998" s="3" t="str">
        <f t="shared" si="1"/>
        <v/>
      </c>
    </row>
    <row r="999" ht="15.75" customHeight="1">
      <c r="B999" s="3" t="str">
        <f>IFERROR(__xludf.DUMMYFUNCTION("IFERROR(GOOGLEFINANCE(A999,""price""),"""")"),"")</f>
        <v/>
      </c>
      <c r="C999" s="3" t="str">
        <f t="shared" si="1"/>
        <v/>
      </c>
    </row>
    <row r="1000" ht="15.75" customHeight="1">
      <c r="B1000" s="3" t="str">
        <f>IFERROR(__xludf.DUMMYFUNCTION("IFERROR(GOOGLEFINANCE(A1000,""price""),"""")"),"")</f>
        <v/>
      </c>
      <c r="C1000" s="3" t="str">
        <f t="shared" si="1"/>
        <v/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8.0"/>
    <col customWidth="1" min="4" max="4" width="16.0"/>
    <col customWidth="1" min="5" max="5" width="17.86"/>
    <col customWidth="1" min="6" max="26" width="8.71"/>
  </cols>
  <sheetData>
    <row r="1">
      <c r="A1" s="1" t="s">
        <v>69</v>
      </c>
      <c r="B1" s="1" t="s">
        <v>77</v>
      </c>
      <c r="C1" s="1" t="s">
        <v>78</v>
      </c>
      <c r="D1" s="1" t="s">
        <v>79</v>
      </c>
    </row>
    <row r="2">
      <c r="A2" s="3" t="s">
        <v>72</v>
      </c>
      <c r="B2" s="12" t="str">
        <f>IFERROR(__xludf.DUMMYFUNCTION("GOOGLEFINANCE(A2,""yieldpct"")"),"#N/A")</f>
        <v>#N/A</v>
      </c>
      <c r="C2" s="10" t="str">
        <f>IFERROR(__xludf.DUMMYFUNCTION("GOOGLEFINANCE(A2, ""dividend"")"),"#N/A")</f>
        <v>#N/A</v>
      </c>
      <c r="D2" s="4">
        <v>45898.0</v>
      </c>
      <c r="E2" s="15">
        <v>45900.100173611114</v>
      </c>
    </row>
    <row r="3">
      <c r="A3" s="3" t="s">
        <v>73</v>
      </c>
      <c r="B3" s="12" t="str">
        <f>IFERROR(__xludf.DUMMYFUNCTION("(SUBSTITUTE(index(importhtml(""http://finviz.com/quote.ashx?t=""&amp;A3,""table"",10),7,2),""*"",""""))"),"#REF!")</f>
        <v>#REF!</v>
      </c>
      <c r="C3" s="12">
        <v>18.727</v>
      </c>
      <c r="D3" s="4">
        <v>45897.0</v>
      </c>
      <c r="E3" s="15">
        <v>45900.100173611114</v>
      </c>
    </row>
    <row r="4">
      <c r="A4" s="3" t="s">
        <v>43</v>
      </c>
      <c r="B4" s="12" t="str">
        <f>IFERROR(__xludf.DUMMYFUNCTION("GOOGLEFINANCE(A4,""yieldpct"")"),"#N/A")</f>
        <v>#N/A</v>
      </c>
      <c r="C4" s="12">
        <v>7.343</v>
      </c>
      <c r="D4" s="4">
        <v>45897.0</v>
      </c>
      <c r="E4" s="15">
        <v>45900.100173611114</v>
      </c>
    </row>
    <row r="5">
      <c r="A5" s="3" t="s">
        <v>74</v>
      </c>
      <c r="B5" s="12" t="str">
        <f>IFERROR(__xludf.DUMMYFUNCTION("GOOGLEFINANCE(A5,""yieldpct"")"),"#N/A")</f>
        <v>#N/A</v>
      </c>
      <c r="C5" s="12">
        <v>4.867</v>
      </c>
      <c r="D5" s="4">
        <v>45898.0</v>
      </c>
      <c r="E5" s="15">
        <v>45900.100173611114</v>
      </c>
    </row>
    <row r="6">
      <c r="A6" s="3" t="s">
        <v>75</v>
      </c>
      <c r="B6" s="12" t="str">
        <f>IFERROR(__xludf.DUMMYFUNCTION("GOOGLEFINANCE(A6,""yieldpct"")"),"#N/A")</f>
        <v>#N/A</v>
      </c>
      <c r="C6" s="12">
        <v>48.397</v>
      </c>
      <c r="D6" s="4">
        <v>45883.0</v>
      </c>
      <c r="E6" s="15">
        <v>45900.100173611114</v>
      </c>
    </row>
    <row r="7">
      <c r="A7" s="3" t="s">
        <v>76</v>
      </c>
      <c r="B7" s="12" t="str">
        <f>IFERROR(__xludf.DUMMYFUNCTION("GOOGLEFINANCE(A7,""yieldpct"")"),"#N/A")</f>
        <v>#N/A</v>
      </c>
      <c r="C7" s="12">
        <v>13.773</v>
      </c>
      <c r="D7" s="4">
        <v>45894.0</v>
      </c>
      <c r="E7" s="15">
        <v>45900.100173611114</v>
      </c>
    </row>
    <row r="8">
      <c r="B8" s="3" t="str">
        <f>IFERROR(__xludf.DUMMYFUNCTION("IFERROR(GOOGLEFINANCE(A8,""yield"")*100,"""")"),"")</f>
        <v/>
      </c>
      <c r="C8" s="3" t="str">
        <f>IFERROR(__xludf.DUMMYFUNCTION("IFERROR(GOOGLEFINANCE(A8,""trail_dividend""),"""")"),"")</f>
        <v/>
      </c>
      <c r="D8" s="3" t="str">
        <f>IFERROR(__xludf.DUMMYFUNCTION("IFERROR(INDEX(IMPORTXML(""https://finance.yahoo.com/quote/""&amp;A8, ""//td[@data-test='EX_DIVIDEND_DATE-value']""),1),"""")"),"")</f>
        <v/>
      </c>
    </row>
    <row r="9">
      <c r="B9" s="3" t="str">
        <f>IFERROR(__xludf.DUMMYFUNCTION("IFERROR(GOOGLEFINANCE(A9,""yield"")*100,"""")"),"")</f>
        <v/>
      </c>
      <c r="C9" s="3" t="str">
        <f>IFERROR(__xludf.DUMMYFUNCTION("IFERROR(GOOGLEFINANCE(A9,""trail_dividend""),"""")"),"")</f>
        <v/>
      </c>
      <c r="D9" s="3" t="str">
        <f>IFERROR(__xludf.DUMMYFUNCTION("IFERROR(INDEX(IMPORTXML(""https://finance.yahoo.com/quote/""&amp;A9, ""//td[@data-test='EX_DIVIDEND_DATE-value']""),1),"""")"),"")</f>
        <v/>
      </c>
    </row>
    <row r="10">
      <c r="B10" s="3" t="str">
        <f>IFERROR(__xludf.DUMMYFUNCTION("IFERROR(GOOGLEFINANCE(A10,""yield"")*100,"""")"),"")</f>
        <v/>
      </c>
      <c r="C10" s="3" t="str">
        <f>IFERROR(__xludf.DUMMYFUNCTION("IFERROR(GOOGLEFINANCE(A10,""trail_dividend""),"""")"),"")</f>
        <v/>
      </c>
      <c r="D10" s="3" t="str">
        <f>IFERROR(__xludf.DUMMYFUNCTION("IFERROR(INDEX(IMPORTXML(""https://finance.yahoo.com/quote/""&amp;A10, ""//td[@data-test='EX_DIVIDEND_DATE-value']""),1),"""")"),"")</f>
        <v/>
      </c>
    </row>
    <row r="11">
      <c r="B11" s="3" t="str">
        <f>IFERROR(__xludf.DUMMYFUNCTION("IFERROR(GOOGLEFINANCE(A11,""yield"")*100,"""")"),"")</f>
        <v/>
      </c>
      <c r="C11" s="3" t="str">
        <f>IFERROR(__xludf.DUMMYFUNCTION("IFERROR(GOOGLEFINANCE(A11,""trail_dividend""),"""")"),"")</f>
        <v/>
      </c>
      <c r="D11" s="3" t="str">
        <f>IFERROR(__xludf.DUMMYFUNCTION("IFERROR(INDEX(IMPORTXML(""https://finance.yahoo.com/quote/""&amp;A11, ""//td[@data-test='EX_DIVIDEND_DATE-value']""),1),"""")"),"")</f>
        <v/>
      </c>
    </row>
    <row r="12">
      <c r="B12" s="3" t="str">
        <f>IFERROR(__xludf.DUMMYFUNCTION("IFERROR(GOOGLEFINANCE(A12,""yield"")*100,"""")"),"")</f>
        <v/>
      </c>
      <c r="C12" s="3" t="str">
        <f>IFERROR(__xludf.DUMMYFUNCTION("IFERROR(GOOGLEFINANCE(A12,""trail_dividend""),"""")"),"")</f>
        <v/>
      </c>
      <c r="D12" s="3" t="str">
        <f>IFERROR(__xludf.DUMMYFUNCTION("IFERROR(INDEX(IMPORTXML(""https://finance.yahoo.com/quote/""&amp;A12, ""//td[@data-test='EX_DIVIDEND_DATE-value']""),1),"""")"),"")</f>
        <v/>
      </c>
    </row>
    <row r="13">
      <c r="B13" s="3" t="str">
        <f>IFERROR(__xludf.DUMMYFUNCTION("IFERROR(GOOGLEFINANCE(A13,""yield"")*100,"""")"),"")</f>
        <v/>
      </c>
      <c r="C13" s="3" t="str">
        <f>IFERROR(__xludf.DUMMYFUNCTION("IFERROR(GOOGLEFINANCE(A13,""trail_dividend""),"""")"),"")</f>
        <v/>
      </c>
      <c r="D13" s="3" t="str">
        <f>IFERROR(__xludf.DUMMYFUNCTION("IFERROR(INDEX(IMPORTXML(""https://finance.yahoo.com/quote/""&amp;A13, ""//td[@data-test='EX_DIVIDEND_DATE-value']""),1),"""")"),"")</f>
        <v/>
      </c>
    </row>
    <row r="14">
      <c r="B14" s="3" t="str">
        <f>IFERROR(__xludf.DUMMYFUNCTION("IFERROR(GOOGLEFINANCE(A14,""yield"")*100,"""")"),"")</f>
        <v/>
      </c>
      <c r="C14" s="3" t="str">
        <f>IFERROR(__xludf.DUMMYFUNCTION("IFERROR(GOOGLEFINANCE(A14,""trail_dividend""),"""")"),"")</f>
        <v/>
      </c>
      <c r="D14" s="3" t="str">
        <f>IFERROR(__xludf.DUMMYFUNCTION("IFERROR(INDEX(IMPORTXML(""https://finance.yahoo.com/quote/""&amp;A14, ""//td[@data-test='EX_DIVIDEND_DATE-value']""),1),"""")"),"")</f>
        <v/>
      </c>
    </row>
    <row r="15">
      <c r="B15" s="3" t="str">
        <f>IFERROR(__xludf.DUMMYFUNCTION("IFERROR(GOOGLEFINANCE(A15,""yield"")*100,"""")"),"")</f>
        <v/>
      </c>
      <c r="C15" s="3" t="str">
        <f>IFERROR(__xludf.DUMMYFUNCTION("IFERROR(GOOGLEFINANCE(A15,""trail_dividend""),"""")"),"")</f>
        <v/>
      </c>
      <c r="D15" s="3" t="str">
        <f>IFERROR(__xludf.DUMMYFUNCTION("IFERROR(INDEX(IMPORTXML(""https://finance.yahoo.com/quote/""&amp;A15, ""//td[@data-test='EX_DIVIDEND_DATE-value']""),1),"""")"),"")</f>
        <v/>
      </c>
    </row>
    <row r="16">
      <c r="B16" s="3" t="str">
        <f>IFERROR(__xludf.DUMMYFUNCTION("IFERROR(GOOGLEFINANCE(A16,""yield"")*100,"""")"),"")</f>
        <v/>
      </c>
      <c r="C16" s="3" t="str">
        <f>IFERROR(__xludf.DUMMYFUNCTION("IFERROR(GOOGLEFINANCE(A16,""trail_dividend""),"""")"),"")</f>
        <v/>
      </c>
      <c r="D16" s="3" t="str">
        <f>IFERROR(__xludf.DUMMYFUNCTION("IFERROR(INDEX(IMPORTXML(""https://finance.yahoo.com/quote/""&amp;A16, ""//td[@data-test='EX_DIVIDEND_DATE-value']""),1),"""")"),"")</f>
        <v/>
      </c>
    </row>
    <row r="17">
      <c r="B17" s="3" t="str">
        <f>IFERROR(__xludf.DUMMYFUNCTION("IFERROR(GOOGLEFINANCE(A17,""yield"")*100,"""")"),"")</f>
        <v/>
      </c>
      <c r="C17" s="3" t="str">
        <f>IFERROR(__xludf.DUMMYFUNCTION("IFERROR(GOOGLEFINANCE(A17,""trail_dividend""),"""")"),"")</f>
        <v/>
      </c>
      <c r="D17" s="3" t="str">
        <f>IFERROR(__xludf.DUMMYFUNCTION("IFERROR(INDEX(IMPORTXML(""https://finance.yahoo.com/quote/""&amp;A17, ""//td[@data-test='EX_DIVIDEND_DATE-value']""),1),"""")"),"")</f>
        <v/>
      </c>
    </row>
    <row r="18">
      <c r="B18" s="3" t="str">
        <f>IFERROR(__xludf.DUMMYFUNCTION("IFERROR(GOOGLEFINANCE(A18,""yield"")*100,"""")"),"")</f>
        <v/>
      </c>
      <c r="C18" s="3" t="str">
        <f>IFERROR(__xludf.DUMMYFUNCTION("IFERROR(GOOGLEFINANCE(A18,""trail_dividend""),"""")"),"")</f>
        <v/>
      </c>
      <c r="D18" s="3" t="str">
        <f>IFERROR(__xludf.DUMMYFUNCTION("IFERROR(INDEX(IMPORTXML(""https://finance.yahoo.com/quote/""&amp;A18, ""//td[@data-test='EX_DIVIDEND_DATE-value']""),1),"""")"),"")</f>
        <v/>
      </c>
    </row>
    <row r="19">
      <c r="B19" s="3" t="str">
        <f>IFERROR(__xludf.DUMMYFUNCTION("IFERROR(GOOGLEFINANCE(A19,""yield"")*100,"""")"),"")</f>
        <v/>
      </c>
      <c r="C19" s="3" t="str">
        <f>IFERROR(__xludf.DUMMYFUNCTION("IFERROR(GOOGLEFINANCE(A19,""trail_dividend""),"""")"),"")</f>
        <v/>
      </c>
      <c r="D19" s="3" t="str">
        <f>IFERROR(__xludf.DUMMYFUNCTION("IFERROR(INDEX(IMPORTXML(""https://finance.yahoo.com/quote/""&amp;A19, ""//td[@data-test='EX_DIVIDEND_DATE-value']""),1),"""")"),"")</f>
        <v/>
      </c>
    </row>
    <row r="20">
      <c r="B20" s="3" t="str">
        <f>IFERROR(__xludf.DUMMYFUNCTION("IFERROR(GOOGLEFINANCE(A20,""yield"")*100,"""")"),"")</f>
        <v/>
      </c>
      <c r="C20" s="3" t="str">
        <f>IFERROR(__xludf.DUMMYFUNCTION("IFERROR(GOOGLEFINANCE(A20,""trail_dividend""),"""")"),"")</f>
        <v/>
      </c>
      <c r="D20" s="3" t="str">
        <f>IFERROR(__xludf.DUMMYFUNCTION("IFERROR(INDEX(IMPORTXML(""https://finance.yahoo.com/quote/""&amp;A20, ""//td[@data-test='EX_DIVIDEND_DATE-value']""),1),"""")"),"")</f>
        <v/>
      </c>
    </row>
    <row r="21" ht="15.75" customHeight="1">
      <c r="B21" s="3" t="str">
        <f>IFERROR(__xludf.DUMMYFUNCTION("IFERROR(GOOGLEFINANCE(A21,""yield"")*100,"""")"),"")</f>
        <v/>
      </c>
      <c r="C21" s="3" t="str">
        <f>IFERROR(__xludf.DUMMYFUNCTION("IFERROR(GOOGLEFINANCE(A21,""trail_dividend""),"""")"),"")</f>
        <v/>
      </c>
      <c r="D21" s="3" t="str">
        <f>IFERROR(__xludf.DUMMYFUNCTION("IFERROR(INDEX(IMPORTXML(""https://finance.yahoo.com/quote/""&amp;A21, ""//td[@data-test='EX_DIVIDEND_DATE-value']""),1),"""")"),"")</f>
        <v/>
      </c>
    </row>
    <row r="22" ht="15.75" customHeight="1">
      <c r="B22" s="3" t="str">
        <f>IFERROR(__xludf.DUMMYFUNCTION("IFERROR(GOOGLEFINANCE(A22,""yield"")*100,"""")"),"")</f>
        <v/>
      </c>
      <c r="C22" s="3" t="str">
        <f>IFERROR(__xludf.DUMMYFUNCTION("IFERROR(GOOGLEFINANCE(A22,""trail_dividend""),"""")"),"")</f>
        <v/>
      </c>
      <c r="D22" s="3" t="str">
        <f>IFERROR(__xludf.DUMMYFUNCTION("IFERROR(INDEX(IMPORTXML(""https://finance.yahoo.com/quote/""&amp;A22, ""//td[@data-test='EX_DIVIDEND_DATE-value']""),1),"""")"),"")</f>
        <v/>
      </c>
    </row>
    <row r="23" ht="15.75" customHeight="1">
      <c r="B23" s="3" t="str">
        <f>IFERROR(__xludf.DUMMYFUNCTION("IFERROR(GOOGLEFINANCE(A23,""yield"")*100,"""")"),"")</f>
        <v/>
      </c>
      <c r="C23" s="3" t="str">
        <f>IFERROR(__xludf.DUMMYFUNCTION("IFERROR(GOOGLEFINANCE(A23,""trail_dividend""),"""")"),"")</f>
        <v/>
      </c>
      <c r="D23" s="3" t="str">
        <f>IFERROR(__xludf.DUMMYFUNCTION("IFERROR(INDEX(IMPORTXML(""https://finance.yahoo.com/quote/""&amp;A23, ""//td[@data-test='EX_DIVIDEND_DATE-value']""),1),"""")"),"")</f>
        <v/>
      </c>
    </row>
    <row r="24" ht="15.75" customHeight="1">
      <c r="B24" s="3" t="str">
        <f>IFERROR(__xludf.DUMMYFUNCTION("IFERROR(GOOGLEFINANCE(A24,""yield"")*100,"""")"),"")</f>
        <v/>
      </c>
      <c r="C24" s="3" t="str">
        <f>IFERROR(__xludf.DUMMYFUNCTION("IFERROR(GOOGLEFINANCE(A24,""trail_dividend""),"""")"),"")</f>
        <v/>
      </c>
      <c r="D24" s="3" t="str">
        <f>IFERROR(__xludf.DUMMYFUNCTION("IFERROR(INDEX(IMPORTXML(""https://finance.yahoo.com/quote/""&amp;A24, ""//td[@data-test='EX_DIVIDEND_DATE-value']""),1),"""")"),"")</f>
        <v/>
      </c>
    </row>
    <row r="25" ht="15.75" customHeight="1">
      <c r="B25" s="3" t="str">
        <f>IFERROR(__xludf.DUMMYFUNCTION("IFERROR(GOOGLEFINANCE(A25,""yield"")*100,"""")"),"")</f>
        <v/>
      </c>
      <c r="C25" s="3" t="str">
        <f>IFERROR(__xludf.DUMMYFUNCTION("IFERROR(GOOGLEFINANCE(A25,""trail_dividend""),"""")"),"")</f>
        <v/>
      </c>
      <c r="D25" s="3" t="str">
        <f>IFERROR(__xludf.DUMMYFUNCTION("IFERROR(INDEX(IMPORTXML(""https://finance.yahoo.com/quote/""&amp;A25, ""//td[@data-test='EX_DIVIDEND_DATE-value']""),1),"""")"),"")</f>
        <v/>
      </c>
    </row>
    <row r="26" ht="15.75" customHeight="1">
      <c r="B26" s="3" t="str">
        <f>IFERROR(__xludf.DUMMYFUNCTION("IFERROR(GOOGLEFINANCE(A26,""yield"")*100,"""")"),"")</f>
        <v/>
      </c>
      <c r="C26" s="3" t="str">
        <f>IFERROR(__xludf.DUMMYFUNCTION("IFERROR(GOOGLEFINANCE(A26,""trail_dividend""),"""")"),"")</f>
        <v/>
      </c>
      <c r="D26" s="3" t="str">
        <f>IFERROR(__xludf.DUMMYFUNCTION("IFERROR(INDEX(IMPORTXML(""https://finance.yahoo.com/quote/""&amp;A26, ""//td[@data-test='EX_DIVIDEND_DATE-value']""),1),"""")"),"")</f>
        <v/>
      </c>
    </row>
    <row r="27" ht="15.75" customHeight="1">
      <c r="B27" s="3" t="str">
        <f>IFERROR(__xludf.DUMMYFUNCTION("IFERROR(GOOGLEFINANCE(A27,""yield"")*100,"""")"),"")</f>
        <v/>
      </c>
      <c r="C27" s="3" t="str">
        <f>IFERROR(__xludf.DUMMYFUNCTION("IFERROR(GOOGLEFINANCE(A27,""trail_dividend""),"""")"),"")</f>
        <v/>
      </c>
      <c r="D27" s="3" t="str">
        <f>IFERROR(__xludf.DUMMYFUNCTION("IFERROR(INDEX(IMPORTXML(""https://finance.yahoo.com/quote/""&amp;A27, ""//td[@data-test='EX_DIVIDEND_DATE-value']""),1),"""")"),"")</f>
        <v/>
      </c>
    </row>
    <row r="28" ht="15.75" customHeight="1">
      <c r="B28" s="3" t="str">
        <f>IFERROR(__xludf.DUMMYFUNCTION("IFERROR(GOOGLEFINANCE(A28,""yield"")*100,"""")"),"")</f>
        <v/>
      </c>
      <c r="C28" s="3" t="str">
        <f>IFERROR(__xludf.DUMMYFUNCTION("IFERROR(GOOGLEFINANCE(A28,""trail_dividend""),"""")"),"")</f>
        <v/>
      </c>
      <c r="D28" s="3" t="str">
        <f>IFERROR(__xludf.DUMMYFUNCTION("IFERROR(INDEX(IMPORTXML(""https://finance.yahoo.com/quote/""&amp;A28, ""//td[@data-test='EX_DIVIDEND_DATE-value']""),1),"""")"),"")</f>
        <v/>
      </c>
    </row>
    <row r="29" ht="15.75" customHeight="1">
      <c r="B29" s="3" t="str">
        <f>IFERROR(__xludf.DUMMYFUNCTION("IFERROR(GOOGLEFINANCE(A29,""yield"")*100,"""")"),"")</f>
        <v/>
      </c>
      <c r="C29" s="3" t="str">
        <f>IFERROR(__xludf.DUMMYFUNCTION("IFERROR(GOOGLEFINANCE(A29,""trail_dividend""),"""")"),"")</f>
        <v/>
      </c>
      <c r="D29" s="3" t="str">
        <f>IFERROR(__xludf.DUMMYFUNCTION("IFERROR(INDEX(IMPORTXML(""https://finance.yahoo.com/quote/""&amp;A29, ""//td[@data-test='EX_DIVIDEND_DATE-value']""),1),"""")"),"")</f>
        <v/>
      </c>
    </row>
    <row r="30" ht="15.75" customHeight="1">
      <c r="B30" s="3" t="str">
        <f>IFERROR(__xludf.DUMMYFUNCTION("IFERROR(GOOGLEFINANCE(A30,""yield"")*100,"""")"),"")</f>
        <v/>
      </c>
      <c r="C30" s="3" t="str">
        <f>IFERROR(__xludf.DUMMYFUNCTION("IFERROR(GOOGLEFINANCE(A30,""trail_dividend""),"""")"),"")</f>
        <v/>
      </c>
      <c r="D30" s="3" t="str">
        <f>IFERROR(__xludf.DUMMYFUNCTION("IFERROR(INDEX(IMPORTXML(""https://finance.yahoo.com/quote/""&amp;A30, ""//td[@data-test='EX_DIVIDEND_DATE-value']""),1),"""")"),"")</f>
        <v/>
      </c>
    </row>
    <row r="31" ht="15.75" customHeight="1">
      <c r="B31" s="3" t="str">
        <f>IFERROR(__xludf.DUMMYFUNCTION("IFERROR(GOOGLEFINANCE(A31,""yield"")*100,"""")"),"")</f>
        <v/>
      </c>
      <c r="C31" s="3" t="str">
        <f>IFERROR(__xludf.DUMMYFUNCTION("IFERROR(GOOGLEFINANCE(A31,""trail_dividend""),"""")"),"")</f>
        <v/>
      </c>
      <c r="D31" s="3" t="str">
        <f>IFERROR(__xludf.DUMMYFUNCTION("IFERROR(INDEX(IMPORTXML(""https://finance.yahoo.com/quote/""&amp;A31, ""//td[@data-test='EX_DIVIDEND_DATE-value']""),1),"""")"),"")</f>
        <v/>
      </c>
    </row>
    <row r="32" ht="15.75" customHeight="1">
      <c r="B32" s="3" t="str">
        <f>IFERROR(__xludf.DUMMYFUNCTION("IFERROR(GOOGLEFINANCE(A32,""yield"")*100,"""")"),"")</f>
        <v/>
      </c>
      <c r="C32" s="3" t="str">
        <f>IFERROR(__xludf.DUMMYFUNCTION("IFERROR(GOOGLEFINANCE(A32,""trail_dividend""),"""")"),"")</f>
        <v/>
      </c>
      <c r="D32" s="3" t="str">
        <f>IFERROR(__xludf.DUMMYFUNCTION("IFERROR(INDEX(IMPORTXML(""https://finance.yahoo.com/quote/""&amp;A32, ""//td[@data-test='EX_DIVIDEND_DATE-value']""),1),"""")"),"")</f>
        <v/>
      </c>
    </row>
    <row r="33" ht="15.75" customHeight="1">
      <c r="B33" s="3" t="str">
        <f>IFERROR(__xludf.DUMMYFUNCTION("IFERROR(GOOGLEFINANCE(A33,""yield"")*100,"""")"),"")</f>
        <v/>
      </c>
      <c r="C33" s="3" t="str">
        <f>IFERROR(__xludf.DUMMYFUNCTION("IFERROR(GOOGLEFINANCE(A33,""trail_dividend""),"""")"),"")</f>
        <v/>
      </c>
      <c r="D33" s="3" t="str">
        <f>IFERROR(__xludf.DUMMYFUNCTION("IFERROR(INDEX(IMPORTXML(""https://finance.yahoo.com/quote/""&amp;A33, ""//td[@data-test='EX_DIVIDEND_DATE-value']""),1),"""")"),"")</f>
        <v/>
      </c>
    </row>
    <row r="34" ht="15.75" customHeight="1">
      <c r="B34" s="3" t="str">
        <f>IFERROR(__xludf.DUMMYFUNCTION("IFERROR(GOOGLEFINANCE(A34,""yield"")*100,"""")"),"")</f>
        <v/>
      </c>
      <c r="C34" s="3" t="str">
        <f>IFERROR(__xludf.DUMMYFUNCTION("IFERROR(GOOGLEFINANCE(A34,""trail_dividend""),"""")"),"")</f>
        <v/>
      </c>
      <c r="D34" s="3" t="str">
        <f>IFERROR(__xludf.DUMMYFUNCTION("IFERROR(INDEX(IMPORTXML(""https://finance.yahoo.com/quote/""&amp;A34, ""//td[@data-test='EX_DIVIDEND_DATE-value']""),1),"""")"),"")</f>
        <v/>
      </c>
    </row>
    <row r="35" ht="15.75" customHeight="1">
      <c r="B35" s="3" t="str">
        <f>IFERROR(__xludf.DUMMYFUNCTION("IFERROR(GOOGLEFINANCE(A35,""yield"")*100,"""")"),"")</f>
        <v/>
      </c>
      <c r="C35" s="3" t="str">
        <f>IFERROR(__xludf.DUMMYFUNCTION("IFERROR(GOOGLEFINANCE(A35,""trail_dividend""),"""")"),"")</f>
        <v/>
      </c>
      <c r="D35" s="3" t="str">
        <f>IFERROR(__xludf.DUMMYFUNCTION("IFERROR(INDEX(IMPORTXML(""https://finance.yahoo.com/quote/""&amp;A35, ""//td[@data-test='EX_DIVIDEND_DATE-value']""),1),"""")"),"")</f>
        <v/>
      </c>
    </row>
    <row r="36" ht="15.75" customHeight="1">
      <c r="B36" s="3" t="str">
        <f>IFERROR(__xludf.DUMMYFUNCTION("IFERROR(GOOGLEFINANCE(A36,""yield"")*100,"""")"),"")</f>
        <v/>
      </c>
      <c r="C36" s="3" t="str">
        <f>IFERROR(__xludf.DUMMYFUNCTION("IFERROR(GOOGLEFINANCE(A36,""trail_dividend""),"""")"),"")</f>
        <v/>
      </c>
      <c r="D36" s="3" t="str">
        <f>IFERROR(__xludf.DUMMYFUNCTION("IFERROR(INDEX(IMPORTXML(""https://finance.yahoo.com/quote/""&amp;A36, ""//td[@data-test='EX_DIVIDEND_DATE-value']""),1),"""")"),"")</f>
        <v/>
      </c>
    </row>
    <row r="37" ht="15.75" customHeight="1">
      <c r="B37" s="3" t="str">
        <f>IFERROR(__xludf.DUMMYFUNCTION("IFERROR(GOOGLEFINANCE(A37,""yield"")*100,"""")"),"")</f>
        <v/>
      </c>
      <c r="C37" s="3" t="str">
        <f>IFERROR(__xludf.DUMMYFUNCTION("IFERROR(GOOGLEFINANCE(A37,""trail_dividend""),"""")"),"")</f>
        <v/>
      </c>
      <c r="D37" s="3" t="str">
        <f>IFERROR(__xludf.DUMMYFUNCTION("IFERROR(INDEX(IMPORTXML(""https://finance.yahoo.com/quote/""&amp;A37, ""//td[@data-test='EX_DIVIDEND_DATE-value']""),1),"""")"),"")</f>
        <v/>
      </c>
    </row>
    <row r="38" ht="15.75" customHeight="1">
      <c r="B38" s="3" t="str">
        <f>IFERROR(__xludf.DUMMYFUNCTION("IFERROR(GOOGLEFINANCE(A38,""yield"")*100,"""")"),"")</f>
        <v/>
      </c>
      <c r="C38" s="3" t="str">
        <f>IFERROR(__xludf.DUMMYFUNCTION("IFERROR(GOOGLEFINANCE(A38,""trail_dividend""),"""")"),"")</f>
        <v/>
      </c>
      <c r="D38" s="3" t="str">
        <f>IFERROR(__xludf.DUMMYFUNCTION("IFERROR(INDEX(IMPORTXML(""https://finance.yahoo.com/quote/""&amp;A38, ""//td[@data-test='EX_DIVIDEND_DATE-value']""),1),"""")"),"")</f>
        <v/>
      </c>
    </row>
    <row r="39" ht="15.75" customHeight="1">
      <c r="B39" s="3" t="str">
        <f>IFERROR(__xludf.DUMMYFUNCTION("IFERROR(GOOGLEFINANCE(A39,""yield"")*100,"""")"),"")</f>
        <v/>
      </c>
      <c r="C39" s="3" t="str">
        <f>IFERROR(__xludf.DUMMYFUNCTION("IFERROR(GOOGLEFINANCE(A39,""trail_dividend""),"""")"),"")</f>
        <v/>
      </c>
      <c r="D39" s="3" t="str">
        <f>IFERROR(__xludf.DUMMYFUNCTION("IFERROR(INDEX(IMPORTXML(""https://finance.yahoo.com/quote/""&amp;A39, ""//td[@data-test='EX_DIVIDEND_DATE-value']""),1),"""")"),"")</f>
        <v/>
      </c>
    </row>
    <row r="40" ht="15.75" customHeight="1">
      <c r="B40" s="3" t="str">
        <f>IFERROR(__xludf.DUMMYFUNCTION("IFERROR(GOOGLEFINANCE(A40,""yield"")*100,"""")"),"")</f>
        <v/>
      </c>
      <c r="C40" s="3" t="str">
        <f>IFERROR(__xludf.DUMMYFUNCTION("IFERROR(GOOGLEFINANCE(A40,""trail_dividend""),"""")"),"")</f>
        <v/>
      </c>
      <c r="D40" s="3" t="str">
        <f>IFERROR(__xludf.DUMMYFUNCTION("IFERROR(INDEX(IMPORTXML(""https://finance.yahoo.com/quote/""&amp;A40, ""//td[@data-test='EX_DIVIDEND_DATE-value']""),1),"""")"),"")</f>
        <v/>
      </c>
    </row>
    <row r="41" ht="15.75" customHeight="1">
      <c r="B41" s="3" t="str">
        <f>IFERROR(__xludf.DUMMYFUNCTION("IFERROR(GOOGLEFINANCE(A41,""yield"")*100,"""")"),"")</f>
        <v/>
      </c>
      <c r="C41" s="3" t="str">
        <f>IFERROR(__xludf.DUMMYFUNCTION("IFERROR(GOOGLEFINANCE(A41,""trail_dividend""),"""")"),"")</f>
        <v/>
      </c>
      <c r="D41" s="3" t="str">
        <f>IFERROR(__xludf.DUMMYFUNCTION("IFERROR(INDEX(IMPORTXML(""https://finance.yahoo.com/quote/""&amp;A41, ""//td[@data-test='EX_DIVIDEND_DATE-value']""),1),"""")"),"")</f>
        <v/>
      </c>
    </row>
    <row r="42" ht="15.75" customHeight="1">
      <c r="B42" s="3" t="str">
        <f>IFERROR(__xludf.DUMMYFUNCTION("IFERROR(GOOGLEFINANCE(A42,""yield"")*100,"""")"),"")</f>
        <v/>
      </c>
      <c r="C42" s="3" t="str">
        <f>IFERROR(__xludf.DUMMYFUNCTION("IFERROR(GOOGLEFINANCE(A42,""trail_dividend""),"""")"),"")</f>
        <v/>
      </c>
      <c r="D42" s="3" t="str">
        <f>IFERROR(__xludf.DUMMYFUNCTION("IFERROR(INDEX(IMPORTXML(""https://finance.yahoo.com/quote/""&amp;A42, ""//td[@data-test='EX_DIVIDEND_DATE-value']""),1),"""")"),"")</f>
        <v/>
      </c>
    </row>
    <row r="43" ht="15.75" customHeight="1">
      <c r="B43" s="3" t="str">
        <f>IFERROR(__xludf.DUMMYFUNCTION("IFERROR(GOOGLEFINANCE(A43,""yield"")*100,"""")"),"")</f>
        <v/>
      </c>
      <c r="C43" s="3" t="str">
        <f>IFERROR(__xludf.DUMMYFUNCTION("IFERROR(GOOGLEFINANCE(A43,""trail_dividend""),"""")"),"")</f>
        <v/>
      </c>
      <c r="D43" s="3" t="str">
        <f>IFERROR(__xludf.DUMMYFUNCTION("IFERROR(INDEX(IMPORTXML(""https://finance.yahoo.com/quote/""&amp;A43, ""//td[@data-test='EX_DIVIDEND_DATE-value']""),1),"""")"),"")</f>
        <v/>
      </c>
    </row>
    <row r="44" ht="15.75" customHeight="1">
      <c r="B44" s="3" t="str">
        <f>IFERROR(__xludf.DUMMYFUNCTION("IFERROR(GOOGLEFINANCE(A44,""yield"")*100,"""")"),"")</f>
        <v/>
      </c>
      <c r="C44" s="3" t="str">
        <f>IFERROR(__xludf.DUMMYFUNCTION("IFERROR(GOOGLEFINANCE(A44,""trail_dividend""),"""")"),"")</f>
        <v/>
      </c>
      <c r="D44" s="3" t="str">
        <f>IFERROR(__xludf.DUMMYFUNCTION("IFERROR(INDEX(IMPORTXML(""https://finance.yahoo.com/quote/""&amp;A44, ""//td[@data-test='EX_DIVIDEND_DATE-value']""),1),"""")"),"")</f>
        <v/>
      </c>
    </row>
    <row r="45" ht="15.75" customHeight="1">
      <c r="B45" s="3" t="str">
        <f>IFERROR(__xludf.DUMMYFUNCTION("IFERROR(GOOGLEFINANCE(A45,""yield"")*100,"""")"),"")</f>
        <v/>
      </c>
      <c r="C45" s="3" t="str">
        <f>IFERROR(__xludf.DUMMYFUNCTION("IFERROR(GOOGLEFINANCE(A45,""trail_dividend""),"""")"),"")</f>
        <v/>
      </c>
      <c r="D45" s="3" t="str">
        <f>IFERROR(__xludf.DUMMYFUNCTION("IFERROR(INDEX(IMPORTXML(""https://finance.yahoo.com/quote/""&amp;A45, ""//td[@data-test='EX_DIVIDEND_DATE-value']""),1),"""")"),"")</f>
        <v/>
      </c>
    </row>
    <row r="46" ht="15.75" customHeight="1">
      <c r="B46" s="3" t="str">
        <f>IFERROR(__xludf.DUMMYFUNCTION("IFERROR(GOOGLEFINANCE(A46,""yield"")*100,"""")"),"")</f>
        <v/>
      </c>
      <c r="C46" s="3" t="str">
        <f>IFERROR(__xludf.DUMMYFUNCTION("IFERROR(GOOGLEFINANCE(A46,""trail_dividend""),"""")"),"")</f>
        <v/>
      </c>
      <c r="D46" s="3" t="str">
        <f>IFERROR(__xludf.DUMMYFUNCTION("IFERROR(INDEX(IMPORTXML(""https://finance.yahoo.com/quote/""&amp;A46, ""//td[@data-test='EX_DIVIDEND_DATE-value']""),1),"""")"),"")</f>
        <v/>
      </c>
    </row>
    <row r="47" ht="15.75" customHeight="1">
      <c r="B47" s="3" t="str">
        <f>IFERROR(__xludf.DUMMYFUNCTION("IFERROR(GOOGLEFINANCE(A47,""yield"")*100,"""")"),"")</f>
        <v/>
      </c>
      <c r="C47" s="3" t="str">
        <f>IFERROR(__xludf.DUMMYFUNCTION("IFERROR(GOOGLEFINANCE(A47,""trail_dividend""),"""")"),"")</f>
        <v/>
      </c>
      <c r="D47" s="3" t="str">
        <f>IFERROR(__xludf.DUMMYFUNCTION("IFERROR(INDEX(IMPORTXML(""https://finance.yahoo.com/quote/""&amp;A47, ""//td[@data-test='EX_DIVIDEND_DATE-value']""),1),"""")"),"")</f>
        <v/>
      </c>
    </row>
    <row r="48" ht="15.75" customHeight="1">
      <c r="B48" s="3" t="str">
        <f>IFERROR(__xludf.DUMMYFUNCTION("IFERROR(GOOGLEFINANCE(A48,""yield"")*100,"""")"),"")</f>
        <v/>
      </c>
      <c r="C48" s="3" t="str">
        <f>IFERROR(__xludf.DUMMYFUNCTION("IFERROR(GOOGLEFINANCE(A48,""trail_dividend""),"""")"),"")</f>
        <v/>
      </c>
      <c r="D48" s="3" t="str">
        <f>IFERROR(__xludf.DUMMYFUNCTION("IFERROR(INDEX(IMPORTXML(""https://finance.yahoo.com/quote/""&amp;A48, ""//td[@data-test='EX_DIVIDEND_DATE-value']""),1),"""")"),"")</f>
        <v/>
      </c>
    </row>
    <row r="49" ht="15.75" customHeight="1">
      <c r="B49" s="3" t="str">
        <f>IFERROR(__xludf.DUMMYFUNCTION("IFERROR(GOOGLEFINANCE(A49,""yield"")*100,"""")"),"")</f>
        <v/>
      </c>
      <c r="C49" s="3" t="str">
        <f>IFERROR(__xludf.DUMMYFUNCTION("IFERROR(GOOGLEFINANCE(A49,""trail_dividend""),"""")"),"")</f>
        <v/>
      </c>
      <c r="D49" s="3" t="str">
        <f>IFERROR(__xludf.DUMMYFUNCTION("IFERROR(INDEX(IMPORTXML(""https://finance.yahoo.com/quote/""&amp;A49, ""//td[@data-test='EX_DIVIDEND_DATE-value']""),1),"""")"),"")</f>
        <v/>
      </c>
    </row>
    <row r="50" ht="15.75" customHeight="1">
      <c r="B50" s="3" t="str">
        <f>IFERROR(__xludf.DUMMYFUNCTION("IFERROR(GOOGLEFINANCE(A50,""yield"")*100,"""")"),"")</f>
        <v/>
      </c>
      <c r="C50" s="3" t="str">
        <f>IFERROR(__xludf.DUMMYFUNCTION("IFERROR(GOOGLEFINANCE(A50,""trail_dividend""),"""")"),"")</f>
        <v/>
      </c>
      <c r="D50" s="3" t="str">
        <f>IFERROR(__xludf.DUMMYFUNCTION("IFERROR(INDEX(IMPORTXML(""https://finance.yahoo.com/quote/""&amp;A50, ""//td[@data-test='EX_DIVIDEND_DATE-value']""),1),"""")"),"")</f>
        <v/>
      </c>
    </row>
    <row r="51" ht="15.75" customHeight="1">
      <c r="B51" s="3" t="str">
        <f>IFERROR(__xludf.DUMMYFUNCTION("IFERROR(GOOGLEFINANCE(A51,""yield"")*100,"""")"),"")</f>
        <v/>
      </c>
      <c r="C51" s="3" t="str">
        <f>IFERROR(__xludf.DUMMYFUNCTION("IFERROR(GOOGLEFINANCE(A51,""trail_dividend""),"""")"),"")</f>
        <v/>
      </c>
      <c r="D51" s="3" t="str">
        <f>IFERROR(__xludf.DUMMYFUNCTION("IFERROR(INDEX(IMPORTXML(""https://finance.yahoo.com/quote/""&amp;A51, ""//td[@data-test='EX_DIVIDEND_DATE-value']""),1),"""")"),"")</f>
        <v/>
      </c>
    </row>
    <row r="52" ht="15.75" customHeight="1">
      <c r="B52" s="3" t="str">
        <f>IFERROR(__xludf.DUMMYFUNCTION("IFERROR(GOOGLEFINANCE(A52,""yield"")*100,"""")"),"")</f>
        <v/>
      </c>
      <c r="C52" s="3" t="str">
        <f>IFERROR(__xludf.DUMMYFUNCTION("IFERROR(GOOGLEFINANCE(A52,""trail_dividend""),"""")"),"")</f>
        <v/>
      </c>
      <c r="D52" s="3" t="str">
        <f>IFERROR(__xludf.DUMMYFUNCTION("IFERROR(INDEX(IMPORTXML(""https://finance.yahoo.com/quote/""&amp;A52, ""//td[@data-test='EX_DIVIDEND_DATE-value']""),1),"""")"),"")</f>
        <v/>
      </c>
    </row>
    <row r="53" ht="15.75" customHeight="1">
      <c r="B53" s="3" t="str">
        <f>IFERROR(__xludf.DUMMYFUNCTION("IFERROR(GOOGLEFINANCE(A53,""yield"")*100,"""")"),"")</f>
        <v/>
      </c>
      <c r="C53" s="3" t="str">
        <f>IFERROR(__xludf.DUMMYFUNCTION("IFERROR(GOOGLEFINANCE(A53,""trail_dividend""),"""")"),"")</f>
        <v/>
      </c>
      <c r="D53" s="3" t="str">
        <f>IFERROR(__xludf.DUMMYFUNCTION("IFERROR(INDEX(IMPORTXML(""https://finance.yahoo.com/quote/""&amp;A53, ""//td[@data-test='EX_DIVIDEND_DATE-value']""),1),"""")"),"")</f>
        <v/>
      </c>
    </row>
    <row r="54" ht="15.75" customHeight="1">
      <c r="B54" s="3" t="str">
        <f>IFERROR(__xludf.DUMMYFUNCTION("IFERROR(GOOGLEFINANCE(A54,""yield"")*100,"""")"),"")</f>
        <v/>
      </c>
      <c r="C54" s="3" t="str">
        <f>IFERROR(__xludf.DUMMYFUNCTION("IFERROR(GOOGLEFINANCE(A54,""trail_dividend""),"""")"),"")</f>
        <v/>
      </c>
      <c r="D54" s="3" t="str">
        <f>IFERROR(__xludf.DUMMYFUNCTION("IFERROR(INDEX(IMPORTXML(""https://finance.yahoo.com/quote/""&amp;A54, ""//td[@data-test='EX_DIVIDEND_DATE-value']""),1),"""")"),"")</f>
        <v/>
      </c>
    </row>
    <row r="55" ht="15.75" customHeight="1">
      <c r="B55" s="3" t="str">
        <f>IFERROR(__xludf.DUMMYFUNCTION("IFERROR(GOOGLEFINANCE(A55,""yield"")*100,"""")"),"")</f>
        <v/>
      </c>
      <c r="C55" s="3" t="str">
        <f>IFERROR(__xludf.DUMMYFUNCTION("IFERROR(GOOGLEFINANCE(A55,""trail_dividend""),"""")"),"")</f>
        <v/>
      </c>
      <c r="D55" s="3" t="str">
        <f>IFERROR(__xludf.DUMMYFUNCTION("IFERROR(INDEX(IMPORTXML(""https://finance.yahoo.com/quote/""&amp;A55, ""//td[@data-test='EX_DIVIDEND_DATE-value']""),1),"""")"),"")</f>
        <v/>
      </c>
    </row>
    <row r="56" ht="15.75" customHeight="1">
      <c r="B56" s="3" t="str">
        <f>IFERROR(__xludf.DUMMYFUNCTION("IFERROR(GOOGLEFINANCE(A56,""yield"")*100,"""")"),"")</f>
        <v/>
      </c>
      <c r="C56" s="3" t="str">
        <f>IFERROR(__xludf.DUMMYFUNCTION("IFERROR(GOOGLEFINANCE(A56,""trail_dividend""),"""")"),"")</f>
        <v/>
      </c>
      <c r="D56" s="3" t="str">
        <f>IFERROR(__xludf.DUMMYFUNCTION("IFERROR(INDEX(IMPORTXML(""https://finance.yahoo.com/quote/""&amp;A56, ""//td[@data-test='EX_DIVIDEND_DATE-value']""),1),"""")"),"")</f>
        <v/>
      </c>
    </row>
    <row r="57" ht="15.75" customHeight="1">
      <c r="B57" s="3" t="str">
        <f>IFERROR(__xludf.DUMMYFUNCTION("IFERROR(GOOGLEFINANCE(A57,""yield"")*100,"""")"),"")</f>
        <v/>
      </c>
      <c r="C57" s="3" t="str">
        <f>IFERROR(__xludf.DUMMYFUNCTION("IFERROR(GOOGLEFINANCE(A57,""trail_dividend""),"""")"),"")</f>
        <v/>
      </c>
      <c r="D57" s="3" t="str">
        <f>IFERROR(__xludf.DUMMYFUNCTION("IFERROR(INDEX(IMPORTXML(""https://finance.yahoo.com/quote/""&amp;A57, ""//td[@data-test='EX_DIVIDEND_DATE-value']""),1),"""")"),"")</f>
        <v/>
      </c>
    </row>
    <row r="58" ht="15.75" customHeight="1">
      <c r="B58" s="3" t="str">
        <f>IFERROR(__xludf.DUMMYFUNCTION("IFERROR(GOOGLEFINANCE(A58,""yield"")*100,"""")"),"")</f>
        <v/>
      </c>
      <c r="C58" s="3" t="str">
        <f>IFERROR(__xludf.DUMMYFUNCTION("IFERROR(GOOGLEFINANCE(A58,""trail_dividend""),"""")"),"")</f>
        <v/>
      </c>
      <c r="D58" s="3" t="str">
        <f>IFERROR(__xludf.DUMMYFUNCTION("IFERROR(INDEX(IMPORTXML(""https://finance.yahoo.com/quote/""&amp;A58, ""//td[@data-test='EX_DIVIDEND_DATE-value']""),1),"""")"),"")</f>
        <v/>
      </c>
    </row>
    <row r="59" ht="15.75" customHeight="1">
      <c r="B59" s="3" t="str">
        <f>IFERROR(__xludf.DUMMYFUNCTION("IFERROR(GOOGLEFINANCE(A59,""yield"")*100,"""")"),"")</f>
        <v/>
      </c>
      <c r="C59" s="3" t="str">
        <f>IFERROR(__xludf.DUMMYFUNCTION("IFERROR(GOOGLEFINANCE(A59,""trail_dividend""),"""")"),"")</f>
        <v/>
      </c>
      <c r="D59" s="3" t="str">
        <f>IFERROR(__xludf.DUMMYFUNCTION("IFERROR(INDEX(IMPORTXML(""https://finance.yahoo.com/quote/""&amp;A59, ""//td[@data-test='EX_DIVIDEND_DATE-value']""),1),"""")"),"")</f>
        <v/>
      </c>
    </row>
    <row r="60" ht="15.75" customHeight="1">
      <c r="B60" s="3" t="str">
        <f>IFERROR(__xludf.DUMMYFUNCTION("IFERROR(GOOGLEFINANCE(A60,""yield"")*100,"""")"),"")</f>
        <v/>
      </c>
      <c r="C60" s="3" t="str">
        <f>IFERROR(__xludf.DUMMYFUNCTION("IFERROR(GOOGLEFINANCE(A60,""trail_dividend""),"""")"),"")</f>
        <v/>
      </c>
      <c r="D60" s="3" t="str">
        <f>IFERROR(__xludf.DUMMYFUNCTION("IFERROR(INDEX(IMPORTXML(""https://finance.yahoo.com/quote/""&amp;A60, ""//td[@data-test='EX_DIVIDEND_DATE-value']""),1),"""")"),"")</f>
        <v/>
      </c>
    </row>
    <row r="61" ht="15.75" customHeight="1">
      <c r="B61" s="3" t="str">
        <f>IFERROR(__xludf.DUMMYFUNCTION("IFERROR(GOOGLEFINANCE(A61,""yield"")*100,"""")"),"")</f>
        <v/>
      </c>
      <c r="C61" s="3" t="str">
        <f>IFERROR(__xludf.DUMMYFUNCTION("IFERROR(GOOGLEFINANCE(A61,""trail_dividend""),"""")"),"")</f>
        <v/>
      </c>
      <c r="D61" s="3" t="str">
        <f>IFERROR(__xludf.DUMMYFUNCTION("IFERROR(INDEX(IMPORTXML(""https://finance.yahoo.com/quote/""&amp;A61, ""//td[@data-test='EX_DIVIDEND_DATE-value']""),1),"""")"),"")</f>
        <v/>
      </c>
    </row>
    <row r="62" ht="15.75" customHeight="1">
      <c r="B62" s="3" t="str">
        <f>IFERROR(__xludf.DUMMYFUNCTION("IFERROR(GOOGLEFINANCE(A62,""yield"")*100,"""")"),"")</f>
        <v/>
      </c>
      <c r="C62" s="3" t="str">
        <f>IFERROR(__xludf.DUMMYFUNCTION("IFERROR(GOOGLEFINANCE(A62,""trail_dividend""),"""")"),"")</f>
        <v/>
      </c>
      <c r="D62" s="3" t="str">
        <f>IFERROR(__xludf.DUMMYFUNCTION("IFERROR(INDEX(IMPORTXML(""https://finance.yahoo.com/quote/""&amp;A62, ""//td[@data-test='EX_DIVIDEND_DATE-value']""),1),"""")"),"")</f>
        <v/>
      </c>
    </row>
    <row r="63" ht="15.75" customHeight="1">
      <c r="B63" s="3" t="str">
        <f>IFERROR(__xludf.DUMMYFUNCTION("IFERROR(GOOGLEFINANCE(A63,""yield"")*100,"""")"),"")</f>
        <v/>
      </c>
      <c r="C63" s="3" t="str">
        <f>IFERROR(__xludf.DUMMYFUNCTION("IFERROR(GOOGLEFINANCE(A63,""trail_dividend""),"""")"),"")</f>
        <v/>
      </c>
      <c r="D63" s="3" t="str">
        <f>IFERROR(__xludf.DUMMYFUNCTION("IFERROR(INDEX(IMPORTXML(""https://finance.yahoo.com/quote/""&amp;A63, ""//td[@data-test='EX_DIVIDEND_DATE-value']""),1),"""")"),"")</f>
        <v/>
      </c>
    </row>
    <row r="64" ht="15.75" customHeight="1">
      <c r="B64" s="3" t="str">
        <f>IFERROR(__xludf.DUMMYFUNCTION("IFERROR(GOOGLEFINANCE(A64,""yield"")*100,"""")"),"")</f>
        <v/>
      </c>
      <c r="C64" s="3" t="str">
        <f>IFERROR(__xludf.DUMMYFUNCTION("IFERROR(GOOGLEFINANCE(A64,""trail_dividend""),"""")"),"")</f>
        <v/>
      </c>
      <c r="D64" s="3" t="str">
        <f>IFERROR(__xludf.DUMMYFUNCTION("IFERROR(INDEX(IMPORTXML(""https://finance.yahoo.com/quote/""&amp;A64, ""//td[@data-test='EX_DIVIDEND_DATE-value']""),1),"""")"),"")</f>
        <v/>
      </c>
    </row>
    <row r="65" ht="15.75" customHeight="1">
      <c r="B65" s="3" t="str">
        <f>IFERROR(__xludf.DUMMYFUNCTION("IFERROR(GOOGLEFINANCE(A65,""yield"")*100,"""")"),"")</f>
        <v/>
      </c>
      <c r="C65" s="3" t="str">
        <f>IFERROR(__xludf.DUMMYFUNCTION("IFERROR(GOOGLEFINANCE(A65,""trail_dividend""),"""")"),"")</f>
        <v/>
      </c>
      <c r="D65" s="3" t="str">
        <f>IFERROR(__xludf.DUMMYFUNCTION("IFERROR(INDEX(IMPORTXML(""https://finance.yahoo.com/quote/""&amp;A65, ""//td[@data-test='EX_DIVIDEND_DATE-value']""),1),"""")"),"")</f>
        <v/>
      </c>
    </row>
    <row r="66" ht="15.75" customHeight="1">
      <c r="B66" s="3" t="str">
        <f>IFERROR(__xludf.DUMMYFUNCTION("IFERROR(GOOGLEFINANCE(A66,""yield"")*100,"""")"),"")</f>
        <v/>
      </c>
      <c r="C66" s="3" t="str">
        <f>IFERROR(__xludf.DUMMYFUNCTION("IFERROR(GOOGLEFINANCE(A66,""trail_dividend""),"""")"),"")</f>
        <v/>
      </c>
      <c r="D66" s="3" t="str">
        <f>IFERROR(__xludf.DUMMYFUNCTION("IFERROR(INDEX(IMPORTXML(""https://finance.yahoo.com/quote/""&amp;A66, ""//td[@data-test='EX_DIVIDEND_DATE-value']""),1),"""")"),"")</f>
        <v/>
      </c>
    </row>
    <row r="67" ht="15.75" customHeight="1">
      <c r="B67" s="3" t="str">
        <f>IFERROR(__xludf.DUMMYFUNCTION("IFERROR(GOOGLEFINANCE(A67,""yield"")*100,"""")"),"")</f>
        <v/>
      </c>
      <c r="C67" s="3" t="str">
        <f>IFERROR(__xludf.DUMMYFUNCTION("IFERROR(GOOGLEFINANCE(A67,""trail_dividend""),"""")"),"")</f>
        <v/>
      </c>
      <c r="D67" s="3" t="str">
        <f>IFERROR(__xludf.DUMMYFUNCTION("IFERROR(INDEX(IMPORTXML(""https://finance.yahoo.com/quote/""&amp;A67, ""//td[@data-test='EX_DIVIDEND_DATE-value']""),1),"""")"),"")</f>
        <v/>
      </c>
    </row>
    <row r="68" ht="15.75" customHeight="1">
      <c r="B68" s="3" t="str">
        <f>IFERROR(__xludf.DUMMYFUNCTION("IFERROR(GOOGLEFINANCE(A68,""yield"")*100,"""")"),"")</f>
        <v/>
      </c>
      <c r="C68" s="3" t="str">
        <f>IFERROR(__xludf.DUMMYFUNCTION("IFERROR(GOOGLEFINANCE(A68,""trail_dividend""),"""")"),"")</f>
        <v/>
      </c>
      <c r="D68" s="3" t="str">
        <f>IFERROR(__xludf.DUMMYFUNCTION("IFERROR(INDEX(IMPORTXML(""https://finance.yahoo.com/quote/""&amp;A68, ""//td[@data-test='EX_DIVIDEND_DATE-value']""),1),"""")"),"")</f>
        <v/>
      </c>
    </row>
    <row r="69" ht="15.75" customHeight="1">
      <c r="B69" s="3" t="str">
        <f>IFERROR(__xludf.DUMMYFUNCTION("IFERROR(GOOGLEFINANCE(A69,""yield"")*100,"""")"),"")</f>
        <v/>
      </c>
      <c r="C69" s="3" t="str">
        <f>IFERROR(__xludf.DUMMYFUNCTION("IFERROR(GOOGLEFINANCE(A69,""trail_dividend""),"""")"),"")</f>
        <v/>
      </c>
      <c r="D69" s="3" t="str">
        <f>IFERROR(__xludf.DUMMYFUNCTION("IFERROR(INDEX(IMPORTXML(""https://finance.yahoo.com/quote/""&amp;A69, ""//td[@data-test='EX_DIVIDEND_DATE-value']""),1),"""")"),"")</f>
        <v/>
      </c>
    </row>
    <row r="70" ht="15.75" customHeight="1">
      <c r="B70" s="3" t="str">
        <f>IFERROR(__xludf.DUMMYFUNCTION("IFERROR(GOOGLEFINANCE(A70,""yield"")*100,"""")"),"")</f>
        <v/>
      </c>
      <c r="C70" s="3" t="str">
        <f>IFERROR(__xludf.DUMMYFUNCTION("IFERROR(GOOGLEFINANCE(A70,""trail_dividend""),"""")"),"")</f>
        <v/>
      </c>
      <c r="D70" s="3" t="str">
        <f>IFERROR(__xludf.DUMMYFUNCTION("IFERROR(INDEX(IMPORTXML(""https://finance.yahoo.com/quote/""&amp;A70, ""//td[@data-test='EX_DIVIDEND_DATE-value']""),1),"""")"),"")</f>
        <v/>
      </c>
    </row>
    <row r="71" ht="15.75" customHeight="1">
      <c r="B71" s="3" t="str">
        <f>IFERROR(__xludf.DUMMYFUNCTION("IFERROR(GOOGLEFINANCE(A71,""yield"")*100,"""")"),"")</f>
        <v/>
      </c>
      <c r="C71" s="3" t="str">
        <f>IFERROR(__xludf.DUMMYFUNCTION("IFERROR(GOOGLEFINANCE(A71,""trail_dividend""),"""")"),"")</f>
        <v/>
      </c>
      <c r="D71" s="3" t="str">
        <f>IFERROR(__xludf.DUMMYFUNCTION("IFERROR(INDEX(IMPORTXML(""https://finance.yahoo.com/quote/""&amp;A71, ""//td[@data-test='EX_DIVIDEND_DATE-value']""),1),"""")"),"")</f>
        <v/>
      </c>
    </row>
    <row r="72" ht="15.75" customHeight="1">
      <c r="B72" s="3" t="str">
        <f>IFERROR(__xludf.DUMMYFUNCTION("IFERROR(GOOGLEFINANCE(A72,""yield"")*100,"""")"),"")</f>
        <v/>
      </c>
      <c r="C72" s="3" t="str">
        <f>IFERROR(__xludf.DUMMYFUNCTION("IFERROR(GOOGLEFINANCE(A72,""trail_dividend""),"""")"),"")</f>
        <v/>
      </c>
      <c r="D72" s="3" t="str">
        <f>IFERROR(__xludf.DUMMYFUNCTION("IFERROR(INDEX(IMPORTXML(""https://finance.yahoo.com/quote/""&amp;A72, ""//td[@data-test='EX_DIVIDEND_DATE-value']""),1),"""")"),"")</f>
        <v/>
      </c>
    </row>
    <row r="73" ht="15.75" customHeight="1">
      <c r="B73" s="3" t="str">
        <f>IFERROR(__xludf.DUMMYFUNCTION("IFERROR(GOOGLEFINANCE(A73,""yield"")*100,"""")"),"")</f>
        <v/>
      </c>
      <c r="C73" s="3" t="str">
        <f>IFERROR(__xludf.DUMMYFUNCTION("IFERROR(GOOGLEFINANCE(A73,""trail_dividend""),"""")"),"")</f>
        <v/>
      </c>
      <c r="D73" s="3" t="str">
        <f>IFERROR(__xludf.DUMMYFUNCTION("IFERROR(INDEX(IMPORTXML(""https://finance.yahoo.com/quote/""&amp;A73, ""//td[@data-test='EX_DIVIDEND_DATE-value']""),1),"""")"),"")</f>
        <v/>
      </c>
    </row>
    <row r="74" ht="15.75" customHeight="1">
      <c r="B74" s="3" t="str">
        <f>IFERROR(__xludf.DUMMYFUNCTION("IFERROR(GOOGLEFINANCE(A74,""yield"")*100,"""")"),"")</f>
        <v/>
      </c>
      <c r="C74" s="3" t="str">
        <f>IFERROR(__xludf.DUMMYFUNCTION("IFERROR(GOOGLEFINANCE(A74,""trail_dividend""),"""")"),"")</f>
        <v/>
      </c>
      <c r="D74" s="3" t="str">
        <f>IFERROR(__xludf.DUMMYFUNCTION("IFERROR(INDEX(IMPORTXML(""https://finance.yahoo.com/quote/""&amp;A74, ""//td[@data-test='EX_DIVIDEND_DATE-value']""),1),"""")"),"")</f>
        <v/>
      </c>
    </row>
    <row r="75" ht="15.75" customHeight="1">
      <c r="B75" s="3" t="str">
        <f>IFERROR(__xludf.DUMMYFUNCTION("IFERROR(GOOGLEFINANCE(A75,""yield"")*100,"""")"),"")</f>
        <v/>
      </c>
      <c r="C75" s="3" t="str">
        <f>IFERROR(__xludf.DUMMYFUNCTION("IFERROR(GOOGLEFINANCE(A75,""trail_dividend""),"""")"),"")</f>
        <v/>
      </c>
      <c r="D75" s="3" t="str">
        <f>IFERROR(__xludf.DUMMYFUNCTION("IFERROR(INDEX(IMPORTXML(""https://finance.yahoo.com/quote/""&amp;A75, ""//td[@data-test='EX_DIVIDEND_DATE-value']""),1),"""")"),"")</f>
        <v/>
      </c>
    </row>
    <row r="76" ht="15.75" customHeight="1">
      <c r="B76" s="3" t="str">
        <f>IFERROR(__xludf.DUMMYFUNCTION("IFERROR(GOOGLEFINANCE(A76,""yield"")*100,"""")"),"")</f>
        <v/>
      </c>
      <c r="C76" s="3" t="str">
        <f>IFERROR(__xludf.DUMMYFUNCTION("IFERROR(GOOGLEFINANCE(A76,""trail_dividend""),"""")"),"")</f>
        <v/>
      </c>
      <c r="D76" s="3" t="str">
        <f>IFERROR(__xludf.DUMMYFUNCTION("IFERROR(INDEX(IMPORTXML(""https://finance.yahoo.com/quote/""&amp;A76, ""//td[@data-test='EX_DIVIDEND_DATE-value']""),1),"""")"),"")</f>
        <v/>
      </c>
    </row>
    <row r="77" ht="15.75" customHeight="1">
      <c r="B77" s="3" t="str">
        <f>IFERROR(__xludf.DUMMYFUNCTION("IFERROR(GOOGLEFINANCE(A77,""yield"")*100,"""")"),"")</f>
        <v/>
      </c>
      <c r="C77" s="3" t="str">
        <f>IFERROR(__xludf.DUMMYFUNCTION("IFERROR(GOOGLEFINANCE(A77,""trail_dividend""),"""")"),"")</f>
        <v/>
      </c>
      <c r="D77" s="3" t="str">
        <f>IFERROR(__xludf.DUMMYFUNCTION("IFERROR(INDEX(IMPORTXML(""https://finance.yahoo.com/quote/""&amp;A77, ""//td[@data-test='EX_DIVIDEND_DATE-value']""),1),"""")"),"")</f>
        <v/>
      </c>
    </row>
    <row r="78" ht="15.75" customHeight="1">
      <c r="B78" s="3" t="str">
        <f>IFERROR(__xludf.DUMMYFUNCTION("IFERROR(GOOGLEFINANCE(A78,""yield"")*100,"""")"),"")</f>
        <v/>
      </c>
      <c r="C78" s="3" t="str">
        <f>IFERROR(__xludf.DUMMYFUNCTION("IFERROR(GOOGLEFINANCE(A78,""trail_dividend""),"""")"),"")</f>
        <v/>
      </c>
      <c r="D78" s="3" t="str">
        <f>IFERROR(__xludf.DUMMYFUNCTION("IFERROR(INDEX(IMPORTXML(""https://finance.yahoo.com/quote/""&amp;A78, ""//td[@data-test='EX_DIVIDEND_DATE-value']""),1),"""")"),"")</f>
        <v/>
      </c>
    </row>
    <row r="79" ht="15.75" customHeight="1">
      <c r="B79" s="3" t="str">
        <f>IFERROR(__xludf.DUMMYFUNCTION("IFERROR(GOOGLEFINANCE(A79,""yield"")*100,"""")"),"")</f>
        <v/>
      </c>
      <c r="C79" s="3" t="str">
        <f>IFERROR(__xludf.DUMMYFUNCTION("IFERROR(GOOGLEFINANCE(A79,""trail_dividend""),"""")"),"")</f>
        <v/>
      </c>
      <c r="D79" s="3" t="str">
        <f>IFERROR(__xludf.DUMMYFUNCTION("IFERROR(INDEX(IMPORTXML(""https://finance.yahoo.com/quote/""&amp;A79, ""//td[@data-test='EX_DIVIDEND_DATE-value']""),1),"""")"),"")</f>
        <v/>
      </c>
    </row>
    <row r="80" ht="15.75" customHeight="1">
      <c r="B80" s="3" t="str">
        <f>IFERROR(__xludf.DUMMYFUNCTION("IFERROR(GOOGLEFINANCE(A80,""yield"")*100,"""")"),"")</f>
        <v/>
      </c>
      <c r="C80" s="3" t="str">
        <f>IFERROR(__xludf.DUMMYFUNCTION("IFERROR(GOOGLEFINANCE(A80,""trail_dividend""),"""")"),"")</f>
        <v/>
      </c>
      <c r="D80" s="3" t="str">
        <f>IFERROR(__xludf.DUMMYFUNCTION("IFERROR(INDEX(IMPORTXML(""https://finance.yahoo.com/quote/""&amp;A80, ""//td[@data-test='EX_DIVIDEND_DATE-value']""),1),"""")"),"")</f>
        <v/>
      </c>
    </row>
    <row r="81" ht="15.75" customHeight="1">
      <c r="B81" s="3" t="str">
        <f>IFERROR(__xludf.DUMMYFUNCTION("IFERROR(GOOGLEFINANCE(A81,""yield"")*100,"""")"),"")</f>
        <v/>
      </c>
      <c r="C81" s="3" t="str">
        <f>IFERROR(__xludf.DUMMYFUNCTION("IFERROR(GOOGLEFINANCE(A81,""trail_dividend""),"""")"),"")</f>
        <v/>
      </c>
      <c r="D81" s="3" t="str">
        <f>IFERROR(__xludf.DUMMYFUNCTION("IFERROR(INDEX(IMPORTXML(""https://finance.yahoo.com/quote/""&amp;A81, ""//td[@data-test='EX_DIVIDEND_DATE-value']""),1),"""")"),"")</f>
        <v/>
      </c>
    </row>
    <row r="82" ht="15.75" customHeight="1">
      <c r="B82" s="3" t="str">
        <f>IFERROR(__xludf.DUMMYFUNCTION("IFERROR(GOOGLEFINANCE(A82,""yield"")*100,"""")"),"")</f>
        <v/>
      </c>
      <c r="C82" s="3" t="str">
        <f>IFERROR(__xludf.DUMMYFUNCTION("IFERROR(GOOGLEFINANCE(A82,""trail_dividend""),"""")"),"")</f>
        <v/>
      </c>
      <c r="D82" s="3" t="str">
        <f>IFERROR(__xludf.DUMMYFUNCTION("IFERROR(INDEX(IMPORTXML(""https://finance.yahoo.com/quote/""&amp;A82, ""//td[@data-test='EX_DIVIDEND_DATE-value']""),1),"""")"),"")</f>
        <v/>
      </c>
    </row>
    <row r="83" ht="15.75" customHeight="1">
      <c r="B83" s="3" t="str">
        <f>IFERROR(__xludf.DUMMYFUNCTION("IFERROR(GOOGLEFINANCE(A83,""yield"")*100,"""")"),"")</f>
        <v/>
      </c>
      <c r="C83" s="3" t="str">
        <f>IFERROR(__xludf.DUMMYFUNCTION("IFERROR(GOOGLEFINANCE(A83,""trail_dividend""),"""")"),"")</f>
        <v/>
      </c>
      <c r="D83" s="3" t="str">
        <f>IFERROR(__xludf.DUMMYFUNCTION("IFERROR(INDEX(IMPORTXML(""https://finance.yahoo.com/quote/""&amp;A83, ""//td[@data-test='EX_DIVIDEND_DATE-value']""),1),"""")"),"")</f>
        <v/>
      </c>
    </row>
    <row r="84" ht="15.75" customHeight="1">
      <c r="B84" s="3" t="str">
        <f>IFERROR(__xludf.DUMMYFUNCTION("IFERROR(GOOGLEFINANCE(A84,""yield"")*100,"""")"),"")</f>
        <v/>
      </c>
      <c r="C84" s="3" t="str">
        <f>IFERROR(__xludf.DUMMYFUNCTION("IFERROR(GOOGLEFINANCE(A84,""trail_dividend""),"""")"),"")</f>
        <v/>
      </c>
      <c r="D84" s="3" t="str">
        <f>IFERROR(__xludf.DUMMYFUNCTION("IFERROR(INDEX(IMPORTXML(""https://finance.yahoo.com/quote/""&amp;A84, ""//td[@data-test='EX_DIVIDEND_DATE-value']""),1),"""")"),"")</f>
        <v/>
      </c>
    </row>
    <row r="85" ht="15.75" customHeight="1">
      <c r="B85" s="3" t="str">
        <f>IFERROR(__xludf.DUMMYFUNCTION("IFERROR(GOOGLEFINANCE(A85,""yield"")*100,"""")"),"")</f>
        <v/>
      </c>
      <c r="C85" s="3" t="str">
        <f>IFERROR(__xludf.DUMMYFUNCTION("IFERROR(GOOGLEFINANCE(A85,""trail_dividend""),"""")"),"")</f>
        <v/>
      </c>
      <c r="D85" s="3" t="str">
        <f>IFERROR(__xludf.DUMMYFUNCTION("IFERROR(INDEX(IMPORTXML(""https://finance.yahoo.com/quote/""&amp;A85, ""//td[@data-test='EX_DIVIDEND_DATE-value']""),1),"""")"),"")</f>
        <v/>
      </c>
    </row>
    <row r="86" ht="15.75" customHeight="1">
      <c r="B86" s="3" t="str">
        <f>IFERROR(__xludf.DUMMYFUNCTION("IFERROR(GOOGLEFINANCE(A86,""yield"")*100,"""")"),"")</f>
        <v/>
      </c>
      <c r="C86" s="3" t="str">
        <f>IFERROR(__xludf.DUMMYFUNCTION("IFERROR(GOOGLEFINANCE(A86,""trail_dividend""),"""")"),"")</f>
        <v/>
      </c>
      <c r="D86" s="3" t="str">
        <f>IFERROR(__xludf.DUMMYFUNCTION("IFERROR(INDEX(IMPORTXML(""https://finance.yahoo.com/quote/""&amp;A86, ""//td[@data-test='EX_DIVIDEND_DATE-value']""),1),"""")"),"")</f>
        <v/>
      </c>
    </row>
    <row r="87" ht="15.75" customHeight="1">
      <c r="B87" s="3" t="str">
        <f>IFERROR(__xludf.DUMMYFUNCTION("IFERROR(GOOGLEFINANCE(A87,""yield"")*100,"""")"),"")</f>
        <v/>
      </c>
      <c r="C87" s="3" t="str">
        <f>IFERROR(__xludf.DUMMYFUNCTION("IFERROR(GOOGLEFINANCE(A87,""trail_dividend""),"""")"),"")</f>
        <v/>
      </c>
      <c r="D87" s="3" t="str">
        <f>IFERROR(__xludf.DUMMYFUNCTION("IFERROR(INDEX(IMPORTXML(""https://finance.yahoo.com/quote/""&amp;A87, ""//td[@data-test='EX_DIVIDEND_DATE-value']""),1),"""")"),"")</f>
        <v/>
      </c>
    </row>
    <row r="88" ht="15.75" customHeight="1">
      <c r="B88" s="3" t="str">
        <f>IFERROR(__xludf.DUMMYFUNCTION("IFERROR(GOOGLEFINANCE(A88,""yield"")*100,"""")"),"")</f>
        <v/>
      </c>
      <c r="C88" s="3" t="str">
        <f>IFERROR(__xludf.DUMMYFUNCTION("IFERROR(GOOGLEFINANCE(A88,""trail_dividend""),"""")"),"")</f>
        <v/>
      </c>
      <c r="D88" s="3" t="str">
        <f>IFERROR(__xludf.DUMMYFUNCTION("IFERROR(INDEX(IMPORTXML(""https://finance.yahoo.com/quote/""&amp;A88, ""//td[@data-test='EX_DIVIDEND_DATE-value']""),1),"""")"),"")</f>
        <v/>
      </c>
    </row>
    <row r="89" ht="15.75" customHeight="1">
      <c r="B89" s="3" t="str">
        <f>IFERROR(__xludf.DUMMYFUNCTION("IFERROR(GOOGLEFINANCE(A89,""yield"")*100,"""")"),"")</f>
        <v/>
      </c>
      <c r="C89" s="3" t="str">
        <f>IFERROR(__xludf.DUMMYFUNCTION("IFERROR(GOOGLEFINANCE(A89,""trail_dividend""),"""")"),"")</f>
        <v/>
      </c>
      <c r="D89" s="3" t="str">
        <f>IFERROR(__xludf.DUMMYFUNCTION("IFERROR(INDEX(IMPORTXML(""https://finance.yahoo.com/quote/""&amp;A89, ""//td[@data-test='EX_DIVIDEND_DATE-value']""),1),"""")"),"")</f>
        <v/>
      </c>
    </row>
    <row r="90" ht="15.75" customHeight="1">
      <c r="B90" s="3" t="str">
        <f>IFERROR(__xludf.DUMMYFUNCTION("IFERROR(GOOGLEFINANCE(A90,""yield"")*100,"""")"),"")</f>
        <v/>
      </c>
      <c r="C90" s="3" t="str">
        <f>IFERROR(__xludf.DUMMYFUNCTION("IFERROR(GOOGLEFINANCE(A90,""trail_dividend""),"""")"),"")</f>
        <v/>
      </c>
      <c r="D90" s="3" t="str">
        <f>IFERROR(__xludf.DUMMYFUNCTION("IFERROR(INDEX(IMPORTXML(""https://finance.yahoo.com/quote/""&amp;A90, ""//td[@data-test='EX_DIVIDEND_DATE-value']""),1),"""")"),"")</f>
        <v/>
      </c>
    </row>
    <row r="91" ht="15.75" customHeight="1">
      <c r="B91" s="3" t="str">
        <f>IFERROR(__xludf.DUMMYFUNCTION("IFERROR(GOOGLEFINANCE(A91,""yield"")*100,"""")"),"")</f>
        <v/>
      </c>
      <c r="C91" s="3" t="str">
        <f>IFERROR(__xludf.DUMMYFUNCTION("IFERROR(GOOGLEFINANCE(A91,""trail_dividend""),"""")"),"")</f>
        <v/>
      </c>
      <c r="D91" s="3" t="str">
        <f>IFERROR(__xludf.DUMMYFUNCTION("IFERROR(INDEX(IMPORTXML(""https://finance.yahoo.com/quote/""&amp;A91, ""//td[@data-test='EX_DIVIDEND_DATE-value']""),1),"""")"),"")</f>
        <v/>
      </c>
    </row>
    <row r="92" ht="15.75" customHeight="1">
      <c r="B92" s="3" t="str">
        <f>IFERROR(__xludf.DUMMYFUNCTION("IFERROR(GOOGLEFINANCE(A92,""yield"")*100,"""")"),"")</f>
        <v/>
      </c>
      <c r="C92" s="3" t="str">
        <f>IFERROR(__xludf.DUMMYFUNCTION("IFERROR(GOOGLEFINANCE(A92,""trail_dividend""),"""")"),"")</f>
        <v/>
      </c>
      <c r="D92" s="3" t="str">
        <f>IFERROR(__xludf.DUMMYFUNCTION("IFERROR(INDEX(IMPORTXML(""https://finance.yahoo.com/quote/""&amp;A92, ""//td[@data-test='EX_DIVIDEND_DATE-value']""),1),"""")"),"")</f>
        <v/>
      </c>
    </row>
    <row r="93" ht="15.75" customHeight="1">
      <c r="B93" s="3" t="str">
        <f>IFERROR(__xludf.DUMMYFUNCTION("IFERROR(GOOGLEFINANCE(A93,""yield"")*100,"""")"),"")</f>
        <v/>
      </c>
      <c r="C93" s="3" t="str">
        <f>IFERROR(__xludf.DUMMYFUNCTION("IFERROR(GOOGLEFINANCE(A93,""trail_dividend""),"""")"),"")</f>
        <v/>
      </c>
      <c r="D93" s="3" t="str">
        <f>IFERROR(__xludf.DUMMYFUNCTION("IFERROR(INDEX(IMPORTXML(""https://finance.yahoo.com/quote/""&amp;A93, ""//td[@data-test='EX_DIVIDEND_DATE-value']""),1),"""")"),"")</f>
        <v/>
      </c>
    </row>
    <row r="94" ht="15.75" customHeight="1">
      <c r="B94" s="3" t="str">
        <f>IFERROR(__xludf.DUMMYFUNCTION("IFERROR(GOOGLEFINANCE(A94,""yield"")*100,"""")"),"")</f>
        <v/>
      </c>
      <c r="C94" s="3" t="str">
        <f>IFERROR(__xludf.DUMMYFUNCTION("IFERROR(GOOGLEFINANCE(A94,""trail_dividend""),"""")"),"")</f>
        <v/>
      </c>
      <c r="D94" s="3" t="str">
        <f>IFERROR(__xludf.DUMMYFUNCTION("IFERROR(INDEX(IMPORTXML(""https://finance.yahoo.com/quote/""&amp;A94, ""//td[@data-test='EX_DIVIDEND_DATE-value']""),1),"""")"),"")</f>
        <v/>
      </c>
    </row>
    <row r="95" ht="15.75" customHeight="1">
      <c r="B95" s="3" t="str">
        <f>IFERROR(__xludf.DUMMYFUNCTION("IFERROR(GOOGLEFINANCE(A95,""yield"")*100,"""")"),"")</f>
        <v/>
      </c>
      <c r="C95" s="3" t="str">
        <f>IFERROR(__xludf.DUMMYFUNCTION("IFERROR(GOOGLEFINANCE(A95,""trail_dividend""),"""")"),"")</f>
        <v/>
      </c>
      <c r="D95" s="3" t="str">
        <f>IFERROR(__xludf.DUMMYFUNCTION("IFERROR(INDEX(IMPORTXML(""https://finance.yahoo.com/quote/""&amp;A95, ""//td[@data-test='EX_DIVIDEND_DATE-value']""),1),"""")"),"")</f>
        <v/>
      </c>
    </row>
    <row r="96" ht="15.75" customHeight="1">
      <c r="B96" s="3" t="str">
        <f>IFERROR(__xludf.DUMMYFUNCTION("IFERROR(GOOGLEFINANCE(A96,""yield"")*100,"""")"),"")</f>
        <v/>
      </c>
      <c r="C96" s="3" t="str">
        <f>IFERROR(__xludf.DUMMYFUNCTION("IFERROR(GOOGLEFINANCE(A96,""trail_dividend""),"""")"),"")</f>
        <v/>
      </c>
      <c r="D96" s="3" t="str">
        <f>IFERROR(__xludf.DUMMYFUNCTION("IFERROR(INDEX(IMPORTXML(""https://finance.yahoo.com/quote/""&amp;A96, ""//td[@data-test='EX_DIVIDEND_DATE-value']""),1),"""")"),"")</f>
        <v/>
      </c>
    </row>
    <row r="97" ht="15.75" customHeight="1">
      <c r="B97" s="3" t="str">
        <f>IFERROR(__xludf.DUMMYFUNCTION("IFERROR(GOOGLEFINANCE(A97,""yield"")*100,"""")"),"")</f>
        <v/>
      </c>
      <c r="C97" s="3" t="str">
        <f>IFERROR(__xludf.DUMMYFUNCTION("IFERROR(GOOGLEFINANCE(A97,""trail_dividend""),"""")"),"")</f>
        <v/>
      </c>
      <c r="D97" s="3" t="str">
        <f>IFERROR(__xludf.DUMMYFUNCTION("IFERROR(INDEX(IMPORTXML(""https://finance.yahoo.com/quote/""&amp;A97, ""//td[@data-test='EX_DIVIDEND_DATE-value']""),1),"""")"),"")</f>
        <v/>
      </c>
    </row>
    <row r="98" ht="15.75" customHeight="1">
      <c r="B98" s="3" t="str">
        <f>IFERROR(__xludf.DUMMYFUNCTION("IFERROR(GOOGLEFINANCE(A98,""yield"")*100,"""")"),"")</f>
        <v/>
      </c>
      <c r="C98" s="3" t="str">
        <f>IFERROR(__xludf.DUMMYFUNCTION("IFERROR(GOOGLEFINANCE(A98,""trail_dividend""),"""")"),"")</f>
        <v/>
      </c>
      <c r="D98" s="3" t="str">
        <f>IFERROR(__xludf.DUMMYFUNCTION("IFERROR(INDEX(IMPORTXML(""https://finance.yahoo.com/quote/""&amp;A98, ""//td[@data-test='EX_DIVIDEND_DATE-value']""),1),"""")"),"")</f>
        <v/>
      </c>
    </row>
    <row r="99" ht="15.75" customHeight="1">
      <c r="B99" s="3" t="str">
        <f>IFERROR(__xludf.DUMMYFUNCTION("IFERROR(GOOGLEFINANCE(A99,""yield"")*100,"""")"),"")</f>
        <v/>
      </c>
      <c r="C99" s="3" t="str">
        <f>IFERROR(__xludf.DUMMYFUNCTION("IFERROR(GOOGLEFINANCE(A99,""trail_dividend""),"""")"),"")</f>
        <v/>
      </c>
      <c r="D99" s="3" t="str">
        <f>IFERROR(__xludf.DUMMYFUNCTION("IFERROR(INDEX(IMPORTXML(""https://finance.yahoo.com/quote/""&amp;A99, ""//td[@data-test='EX_DIVIDEND_DATE-value']""),1),"""")"),"")</f>
        <v/>
      </c>
    </row>
    <row r="100" ht="15.75" customHeight="1">
      <c r="B100" s="3" t="str">
        <f>IFERROR(__xludf.DUMMYFUNCTION("IFERROR(GOOGLEFINANCE(A100,""yield"")*100,"""")"),"")</f>
        <v/>
      </c>
      <c r="C100" s="3" t="str">
        <f>IFERROR(__xludf.DUMMYFUNCTION("IFERROR(GOOGLEFINANCE(A100,""trail_dividend""),"""")"),"")</f>
        <v/>
      </c>
      <c r="D100" s="3" t="str">
        <f>IFERROR(__xludf.DUMMYFUNCTION("IFERROR(INDEX(IMPORTXML(""https://finance.yahoo.com/quote/""&amp;A100, ""//td[@data-test='EX_DIVIDEND_DATE-value']""),1),"""")"),"")</f>
        <v/>
      </c>
    </row>
    <row r="101" ht="15.75" customHeight="1">
      <c r="B101" s="3" t="str">
        <f>IFERROR(__xludf.DUMMYFUNCTION("IFERROR(GOOGLEFINANCE(A101,""yield"")*100,"""")"),"")</f>
        <v/>
      </c>
      <c r="C101" s="3" t="str">
        <f>IFERROR(__xludf.DUMMYFUNCTION("IFERROR(GOOGLEFINANCE(A101,""trail_dividend""),"""")"),"")</f>
        <v/>
      </c>
      <c r="D101" s="3" t="str">
        <f>IFERROR(__xludf.DUMMYFUNCTION("IFERROR(INDEX(IMPORTXML(""https://finance.yahoo.com/quote/""&amp;A101, ""//td[@data-test='EX_DIVIDEND_DATE-value']""),1),"""")"),"")</f>
        <v/>
      </c>
    </row>
    <row r="102" ht="15.75" customHeight="1">
      <c r="B102" s="3" t="str">
        <f>IFERROR(__xludf.DUMMYFUNCTION("IFERROR(GOOGLEFINANCE(A102,""yield"")*100,"""")"),"")</f>
        <v/>
      </c>
      <c r="C102" s="3" t="str">
        <f>IFERROR(__xludf.DUMMYFUNCTION("IFERROR(GOOGLEFINANCE(A102,""trail_dividend""),"""")"),"")</f>
        <v/>
      </c>
      <c r="D102" s="3" t="str">
        <f>IFERROR(__xludf.DUMMYFUNCTION("IFERROR(INDEX(IMPORTXML(""https://finance.yahoo.com/quote/""&amp;A102, ""//td[@data-test='EX_DIVIDEND_DATE-value']""),1),"""")"),"")</f>
        <v/>
      </c>
    </row>
    <row r="103" ht="15.75" customHeight="1">
      <c r="B103" s="3" t="str">
        <f>IFERROR(__xludf.DUMMYFUNCTION("IFERROR(GOOGLEFINANCE(A103,""yield"")*100,"""")"),"")</f>
        <v/>
      </c>
      <c r="C103" s="3" t="str">
        <f>IFERROR(__xludf.DUMMYFUNCTION("IFERROR(GOOGLEFINANCE(A103,""trail_dividend""),"""")"),"")</f>
        <v/>
      </c>
      <c r="D103" s="3" t="str">
        <f>IFERROR(__xludf.DUMMYFUNCTION("IFERROR(INDEX(IMPORTXML(""https://finance.yahoo.com/quote/""&amp;A103, ""//td[@data-test='EX_DIVIDEND_DATE-value']""),1),"""")"),"")</f>
        <v/>
      </c>
    </row>
    <row r="104" ht="15.75" customHeight="1">
      <c r="B104" s="3" t="str">
        <f>IFERROR(__xludf.DUMMYFUNCTION("IFERROR(GOOGLEFINANCE(A104,""yield"")*100,"""")"),"")</f>
        <v/>
      </c>
      <c r="C104" s="3" t="str">
        <f>IFERROR(__xludf.DUMMYFUNCTION("IFERROR(GOOGLEFINANCE(A104,""trail_dividend""),"""")"),"")</f>
        <v/>
      </c>
      <c r="D104" s="3" t="str">
        <f>IFERROR(__xludf.DUMMYFUNCTION("IFERROR(INDEX(IMPORTXML(""https://finance.yahoo.com/quote/""&amp;A104, ""//td[@data-test='EX_DIVIDEND_DATE-value']""),1),"""")"),"")</f>
        <v/>
      </c>
    </row>
    <row r="105" ht="15.75" customHeight="1">
      <c r="B105" s="3" t="str">
        <f>IFERROR(__xludf.DUMMYFUNCTION("IFERROR(GOOGLEFINANCE(A105,""yield"")*100,"""")"),"")</f>
        <v/>
      </c>
      <c r="C105" s="3" t="str">
        <f>IFERROR(__xludf.DUMMYFUNCTION("IFERROR(GOOGLEFINANCE(A105,""trail_dividend""),"""")"),"")</f>
        <v/>
      </c>
      <c r="D105" s="3" t="str">
        <f>IFERROR(__xludf.DUMMYFUNCTION("IFERROR(INDEX(IMPORTXML(""https://finance.yahoo.com/quote/""&amp;A105, ""//td[@data-test='EX_DIVIDEND_DATE-value']""),1),"""")"),"")</f>
        <v/>
      </c>
    </row>
    <row r="106" ht="15.75" customHeight="1">
      <c r="B106" s="3" t="str">
        <f>IFERROR(__xludf.DUMMYFUNCTION("IFERROR(GOOGLEFINANCE(A106,""yield"")*100,"""")"),"")</f>
        <v/>
      </c>
      <c r="C106" s="3" t="str">
        <f>IFERROR(__xludf.DUMMYFUNCTION("IFERROR(GOOGLEFINANCE(A106,""trail_dividend""),"""")"),"")</f>
        <v/>
      </c>
      <c r="D106" s="3" t="str">
        <f>IFERROR(__xludf.DUMMYFUNCTION("IFERROR(INDEX(IMPORTXML(""https://finance.yahoo.com/quote/""&amp;A106, ""//td[@data-test='EX_DIVIDEND_DATE-value']""),1),"""")"),"")</f>
        <v/>
      </c>
    </row>
    <row r="107" ht="15.75" customHeight="1">
      <c r="B107" s="3" t="str">
        <f>IFERROR(__xludf.DUMMYFUNCTION("IFERROR(GOOGLEFINANCE(A107,""yield"")*100,"""")"),"")</f>
        <v/>
      </c>
      <c r="C107" s="3" t="str">
        <f>IFERROR(__xludf.DUMMYFUNCTION("IFERROR(GOOGLEFINANCE(A107,""trail_dividend""),"""")"),"")</f>
        <v/>
      </c>
      <c r="D107" s="3" t="str">
        <f>IFERROR(__xludf.DUMMYFUNCTION("IFERROR(INDEX(IMPORTXML(""https://finance.yahoo.com/quote/""&amp;A107, ""//td[@data-test='EX_DIVIDEND_DATE-value']""),1),"""")"),"")</f>
        <v/>
      </c>
    </row>
    <row r="108" ht="15.75" customHeight="1">
      <c r="B108" s="3" t="str">
        <f>IFERROR(__xludf.DUMMYFUNCTION("IFERROR(GOOGLEFINANCE(A108,""yield"")*100,"""")"),"")</f>
        <v/>
      </c>
      <c r="C108" s="3" t="str">
        <f>IFERROR(__xludf.DUMMYFUNCTION("IFERROR(GOOGLEFINANCE(A108,""trail_dividend""),"""")"),"")</f>
        <v/>
      </c>
      <c r="D108" s="3" t="str">
        <f>IFERROR(__xludf.DUMMYFUNCTION("IFERROR(INDEX(IMPORTXML(""https://finance.yahoo.com/quote/""&amp;A108, ""//td[@data-test='EX_DIVIDEND_DATE-value']""),1),"""")"),"")</f>
        <v/>
      </c>
    </row>
    <row r="109" ht="15.75" customHeight="1">
      <c r="B109" s="3" t="str">
        <f>IFERROR(__xludf.DUMMYFUNCTION("IFERROR(GOOGLEFINANCE(A109,""yield"")*100,"""")"),"")</f>
        <v/>
      </c>
      <c r="C109" s="3" t="str">
        <f>IFERROR(__xludf.DUMMYFUNCTION("IFERROR(GOOGLEFINANCE(A109,""trail_dividend""),"""")"),"")</f>
        <v/>
      </c>
      <c r="D109" s="3" t="str">
        <f>IFERROR(__xludf.DUMMYFUNCTION("IFERROR(INDEX(IMPORTXML(""https://finance.yahoo.com/quote/""&amp;A109, ""//td[@data-test='EX_DIVIDEND_DATE-value']""),1),"""")"),"")</f>
        <v/>
      </c>
    </row>
    <row r="110" ht="15.75" customHeight="1">
      <c r="B110" s="3" t="str">
        <f>IFERROR(__xludf.DUMMYFUNCTION("IFERROR(GOOGLEFINANCE(A110,""yield"")*100,"""")"),"")</f>
        <v/>
      </c>
      <c r="C110" s="3" t="str">
        <f>IFERROR(__xludf.DUMMYFUNCTION("IFERROR(GOOGLEFINANCE(A110,""trail_dividend""),"""")"),"")</f>
        <v/>
      </c>
      <c r="D110" s="3" t="str">
        <f>IFERROR(__xludf.DUMMYFUNCTION("IFERROR(INDEX(IMPORTXML(""https://finance.yahoo.com/quote/""&amp;A110, ""//td[@data-test='EX_DIVIDEND_DATE-value']""),1),"""")"),"")</f>
        <v/>
      </c>
    </row>
    <row r="111" ht="15.75" customHeight="1">
      <c r="B111" s="3" t="str">
        <f>IFERROR(__xludf.DUMMYFUNCTION("IFERROR(GOOGLEFINANCE(A111,""yield"")*100,"""")"),"")</f>
        <v/>
      </c>
      <c r="C111" s="3" t="str">
        <f>IFERROR(__xludf.DUMMYFUNCTION("IFERROR(GOOGLEFINANCE(A111,""trail_dividend""),"""")"),"")</f>
        <v/>
      </c>
      <c r="D111" s="3" t="str">
        <f>IFERROR(__xludf.DUMMYFUNCTION("IFERROR(INDEX(IMPORTXML(""https://finance.yahoo.com/quote/""&amp;A111, ""//td[@data-test='EX_DIVIDEND_DATE-value']""),1),"""")"),"")</f>
        <v/>
      </c>
    </row>
    <row r="112" ht="15.75" customHeight="1">
      <c r="B112" s="3" t="str">
        <f>IFERROR(__xludf.DUMMYFUNCTION("IFERROR(GOOGLEFINANCE(A112,""yield"")*100,"""")"),"")</f>
        <v/>
      </c>
      <c r="C112" s="3" t="str">
        <f>IFERROR(__xludf.DUMMYFUNCTION("IFERROR(GOOGLEFINANCE(A112,""trail_dividend""),"""")"),"")</f>
        <v/>
      </c>
      <c r="D112" s="3" t="str">
        <f>IFERROR(__xludf.DUMMYFUNCTION("IFERROR(INDEX(IMPORTXML(""https://finance.yahoo.com/quote/""&amp;A112, ""//td[@data-test='EX_DIVIDEND_DATE-value']""),1),"""")"),"")</f>
        <v/>
      </c>
    </row>
    <row r="113" ht="15.75" customHeight="1">
      <c r="B113" s="3" t="str">
        <f>IFERROR(__xludf.DUMMYFUNCTION("IFERROR(GOOGLEFINANCE(A113,""yield"")*100,"""")"),"")</f>
        <v/>
      </c>
      <c r="C113" s="3" t="str">
        <f>IFERROR(__xludf.DUMMYFUNCTION("IFERROR(GOOGLEFINANCE(A113,""trail_dividend""),"""")"),"")</f>
        <v/>
      </c>
      <c r="D113" s="3" t="str">
        <f>IFERROR(__xludf.DUMMYFUNCTION("IFERROR(INDEX(IMPORTXML(""https://finance.yahoo.com/quote/""&amp;A113, ""//td[@data-test='EX_DIVIDEND_DATE-value']""),1),"""")"),"")</f>
        <v/>
      </c>
    </row>
    <row r="114" ht="15.75" customHeight="1">
      <c r="B114" s="3" t="str">
        <f>IFERROR(__xludf.DUMMYFUNCTION("IFERROR(GOOGLEFINANCE(A114,""yield"")*100,"""")"),"")</f>
        <v/>
      </c>
      <c r="C114" s="3" t="str">
        <f>IFERROR(__xludf.DUMMYFUNCTION("IFERROR(GOOGLEFINANCE(A114,""trail_dividend""),"""")"),"")</f>
        <v/>
      </c>
      <c r="D114" s="3" t="str">
        <f>IFERROR(__xludf.DUMMYFUNCTION("IFERROR(INDEX(IMPORTXML(""https://finance.yahoo.com/quote/""&amp;A114, ""//td[@data-test='EX_DIVIDEND_DATE-value']""),1),"""")"),"")</f>
        <v/>
      </c>
    </row>
    <row r="115" ht="15.75" customHeight="1">
      <c r="B115" s="3" t="str">
        <f>IFERROR(__xludf.DUMMYFUNCTION("IFERROR(GOOGLEFINANCE(A115,""yield"")*100,"""")"),"")</f>
        <v/>
      </c>
      <c r="C115" s="3" t="str">
        <f>IFERROR(__xludf.DUMMYFUNCTION("IFERROR(GOOGLEFINANCE(A115,""trail_dividend""),"""")"),"")</f>
        <v/>
      </c>
      <c r="D115" s="3" t="str">
        <f>IFERROR(__xludf.DUMMYFUNCTION("IFERROR(INDEX(IMPORTXML(""https://finance.yahoo.com/quote/""&amp;A115, ""//td[@data-test='EX_DIVIDEND_DATE-value']""),1),"""")"),"")</f>
        <v/>
      </c>
    </row>
    <row r="116" ht="15.75" customHeight="1">
      <c r="B116" s="3" t="str">
        <f>IFERROR(__xludf.DUMMYFUNCTION("IFERROR(GOOGLEFINANCE(A116,""yield"")*100,"""")"),"")</f>
        <v/>
      </c>
      <c r="C116" s="3" t="str">
        <f>IFERROR(__xludf.DUMMYFUNCTION("IFERROR(GOOGLEFINANCE(A116,""trail_dividend""),"""")"),"")</f>
        <v/>
      </c>
      <c r="D116" s="3" t="str">
        <f>IFERROR(__xludf.DUMMYFUNCTION("IFERROR(INDEX(IMPORTXML(""https://finance.yahoo.com/quote/""&amp;A116, ""//td[@data-test='EX_DIVIDEND_DATE-value']""),1),"""")"),"")</f>
        <v/>
      </c>
    </row>
    <row r="117" ht="15.75" customHeight="1">
      <c r="B117" s="3" t="str">
        <f>IFERROR(__xludf.DUMMYFUNCTION("IFERROR(GOOGLEFINANCE(A117,""yield"")*100,"""")"),"")</f>
        <v/>
      </c>
      <c r="C117" s="3" t="str">
        <f>IFERROR(__xludf.DUMMYFUNCTION("IFERROR(GOOGLEFINANCE(A117,""trail_dividend""),"""")"),"")</f>
        <v/>
      </c>
      <c r="D117" s="3" t="str">
        <f>IFERROR(__xludf.DUMMYFUNCTION("IFERROR(INDEX(IMPORTXML(""https://finance.yahoo.com/quote/""&amp;A117, ""//td[@data-test='EX_DIVIDEND_DATE-value']""),1),"""")"),"")</f>
        <v/>
      </c>
    </row>
    <row r="118" ht="15.75" customHeight="1">
      <c r="B118" s="3" t="str">
        <f>IFERROR(__xludf.DUMMYFUNCTION("IFERROR(GOOGLEFINANCE(A118,""yield"")*100,"""")"),"")</f>
        <v/>
      </c>
      <c r="C118" s="3" t="str">
        <f>IFERROR(__xludf.DUMMYFUNCTION("IFERROR(GOOGLEFINANCE(A118,""trail_dividend""),"""")"),"")</f>
        <v/>
      </c>
      <c r="D118" s="3" t="str">
        <f>IFERROR(__xludf.DUMMYFUNCTION("IFERROR(INDEX(IMPORTXML(""https://finance.yahoo.com/quote/""&amp;A118, ""//td[@data-test='EX_DIVIDEND_DATE-value']""),1),"""")"),"")</f>
        <v/>
      </c>
    </row>
    <row r="119" ht="15.75" customHeight="1">
      <c r="B119" s="3" t="str">
        <f>IFERROR(__xludf.DUMMYFUNCTION("IFERROR(GOOGLEFINANCE(A119,""yield"")*100,"""")"),"")</f>
        <v/>
      </c>
      <c r="C119" s="3" t="str">
        <f>IFERROR(__xludf.DUMMYFUNCTION("IFERROR(GOOGLEFINANCE(A119,""trail_dividend""),"""")"),"")</f>
        <v/>
      </c>
      <c r="D119" s="3" t="str">
        <f>IFERROR(__xludf.DUMMYFUNCTION("IFERROR(INDEX(IMPORTXML(""https://finance.yahoo.com/quote/""&amp;A119, ""//td[@data-test='EX_DIVIDEND_DATE-value']""),1),"""")"),"")</f>
        <v/>
      </c>
    </row>
    <row r="120" ht="15.75" customHeight="1">
      <c r="B120" s="3" t="str">
        <f>IFERROR(__xludf.DUMMYFUNCTION("IFERROR(GOOGLEFINANCE(A120,""yield"")*100,"""")"),"")</f>
        <v/>
      </c>
      <c r="C120" s="3" t="str">
        <f>IFERROR(__xludf.DUMMYFUNCTION("IFERROR(GOOGLEFINANCE(A120,""trail_dividend""),"""")"),"")</f>
        <v/>
      </c>
      <c r="D120" s="3" t="str">
        <f>IFERROR(__xludf.DUMMYFUNCTION("IFERROR(INDEX(IMPORTXML(""https://finance.yahoo.com/quote/""&amp;A120, ""//td[@data-test='EX_DIVIDEND_DATE-value']""),1),"""")"),"")</f>
        <v/>
      </c>
    </row>
    <row r="121" ht="15.75" customHeight="1">
      <c r="B121" s="3" t="str">
        <f>IFERROR(__xludf.DUMMYFUNCTION("IFERROR(GOOGLEFINANCE(A121,""yield"")*100,"""")"),"")</f>
        <v/>
      </c>
      <c r="C121" s="3" t="str">
        <f>IFERROR(__xludf.DUMMYFUNCTION("IFERROR(GOOGLEFINANCE(A121,""trail_dividend""),"""")"),"")</f>
        <v/>
      </c>
      <c r="D121" s="3" t="str">
        <f>IFERROR(__xludf.DUMMYFUNCTION("IFERROR(INDEX(IMPORTXML(""https://finance.yahoo.com/quote/""&amp;A121, ""//td[@data-test='EX_DIVIDEND_DATE-value']""),1),"""")"),"")</f>
        <v/>
      </c>
    </row>
    <row r="122" ht="15.75" customHeight="1">
      <c r="B122" s="3" t="str">
        <f>IFERROR(__xludf.DUMMYFUNCTION("IFERROR(GOOGLEFINANCE(A122,""yield"")*100,"""")"),"")</f>
        <v/>
      </c>
      <c r="C122" s="3" t="str">
        <f>IFERROR(__xludf.DUMMYFUNCTION("IFERROR(GOOGLEFINANCE(A122,""trail_dividend""),"""")"),"")</f>
        <v/>
      </c>
      <c r="D122" s="3" t="str">
        <f>IFERROR(__xludf.DUMMYFUNCTION("IFERROR(INDEX(IMPORTXML(""https://finance.yahoo.com/quote/""&amp;A122, ""//td[@data-test='EX_DIVIDEND_DATE-value']""),1),"""")"),"")</f>
        <v/>
      </c>
    </row>
    <row r="123" ht="15.75" customHeight="1">
      <c r="B123" s="3" t="str">
        <f>IFERROR(__xludf.DUMMYFUNCTION("IFERROR(GOOGLEFINANCE(A123,""yield"")*100,"""")"),"")</f>
        <v/>
      </c>
      <c r="C123" s="3" t="str">
        <f>IFERROR(__xludf.DUMMYFUNCTION("IFERROR(GOOGLEFINANCE(A123,""trail_dividend""),"""")"),"")</f>
        <v/>
      </c>
      <c r="D123" s="3" t="str">
        <f>IFERROR(__xludf.DUMMYFUNCTION("IFERROR(INDEX(IMPORTXML(""https://finance.yahoo.com/quote/""&amp;A123, ""//td[@data-test='EX_DIVIDEND_DATE-value']""),1),"""")"),"")</f>
        <v/>
      </c>
    </row>
    <row r="124" ht="15.75" customHeight="1">
      <c r="B124" s="3" t="str">
        <f>IFERROR(__xludf.DUMMYFUNCTION("IFERROR(GOOGLEFINANCE(A124,""yield"")*100,"""")"),"")</f>
        <v/>
      </c>
      <c r="C124" s="3" t="str">
        <f>IFERROR(__xludf.DUMMYFUNCTION("IFERROR(GOOGLEFINANCE(A124,""trail_dividend""),"""")"),"")</f>
        <v/>
      </c>
      <c r="D124" s="3" t="str">
        <f>IFERROR(__xludf.DUMMYFUNCTION("IFERROR(INDEX(IMPORTXML(""https://finance.yahoo.com/quote/""&amp;A124, ""//td[@data-test='EX_DIVIDEND_DATE-value']""),1),"""")"),"")</f>
        <v/>
      </c>
    </row>
    <row r="125" ht="15.75" customHeight="1">
      <c r="B125" s="3" t="str">
        <f>IFERROR(__xludf.DUMMYFUNCTION("IFERROR(GOOGLEFINANCE(A125,""yield"")*100,"""")"),"")</f>
        <v/>
      </c>
      <c r="C125" s="3" t="str">
        <f>IFERROR(__xludf.DUMMYFUNCTION("IFERROR(GOOGLEFINANCE(A125,""trail_dividend""),"""")"),"")</f>
        <v/>
      </c>
      <c r="D125" s="3" t="str">
        <f>IFERROR(__xludf.DUMMYFUNCTION("IFERROR(INDEX(IMPORTXML(""https://finance.yahoo.com/quote/""&amp;A125, ""//td[@data-test='EX_DIVIDEND_DATE-value']""),1),"""")"),"")</f>
        <v/>
      </c>
    </row>
    <row r="126" ht="15.75" customHeight="1">
      <c r="B126" s="3" t="str">
        <f>IFERROR(__xludf.DUMMYFUNCTION("IFERROR(GOOGLEFINANCE(A126,""yield"")*100,"""")"),"")</f>
        <v/>
      </c>
      <c r="C126" s="3" t="str">
        <f>IFERROR(__xludf.DUMMYFUNCTION("IFERROR(GOOGLEFINANCE(A126,""trail_dividend""),"""")"),"")</f>
        <v/>
      </c>
      <c r="D126" s="3" t="str">
        <f>IFERROR(__xludf.DUMMYFUNCTION("IFERROR(INDEX(IMPORTXML(""https://finance.yahoo.com/quote/""&amp;A126, ""//td[@data-test='EX_DIVIDEND_DATE-value']""),1),"""")"),"")</f>
        <v/>
      </c>
    </row>
    <row r="127" ht="15.75" customHeight="1">
      <c r="B127" s="3" t="str">
        <f>IFERROR(__xludf.DUMMYFUNCTION("IFERROR(GOOGLEFINANCE(A127,""yield"")*100,"""")"),"")</f>
        <v/>
      </c>
      <c r="C127" s="3" t="str">
        <f>IFERROR(__xludf.DUMMYFUNCTION("IFERROR(GOOGLEFINANCE(A127,""trail_dividend""),"""")"),"")</f>
        <v/>
      </c>
      <c r="D127" s="3" t="str">
        <f>IFERROR(__xludf.DUMMYFUNCTION("IFERROR(INDEX(IMPORTXML(""https://finance.yahoo.com/quote/""&amp;A127, ""//td[@data-test='EX_DIVIDEND_DATE-value']""),1),"""")"),"")</f>
        <v/>
      </c>
    </row>
    <row r="128" ht="15.75" customHeight="1">
      <c r="B128" s="3" t="str">
        <f>IFERROR(__xludf.DUMMYFUNCTION("IFERROR(GOOGLEFINANCE(A128,""yield"")*100,"""")"),"")</f>
        <v/>
      </c>
      <c r="C128" s="3" t="str">
        <f>IFERROR(__xludf.DUMMYFUNCTION("IFERROR(GOOGLEFINANCE(A128,""trail_dividend""),"""")"),"")</f>
        <v/>
      </c>
      <c r="D128" s="3" t="str">
        <f>IFERROR(__xludf.DUMMYFUNCTION("IFERROR(INDEX(IMPORTXML(""https://finance.yahoo.com/quote/""&amp;A128, ""//td[@data-test='EX_DIVIDEND_DATE-value']""),1),"""")"),"")</f>
        <v/>
      </c>
    </row>
    <row r="129" ht="15.75" customHeight="1">
      <c r="B129" s="3" t="str">
        <f>IFERROR(__xludf.DUMMYFUNCTION("IFERROR(GOOGLEFINANCE(A129,""yield"")*100,"""")"),"")</f>
        <v/>
      </c>
      <c r="C129" s="3" t="str">
        <f>IFERROR(__xludf.DUMMYFUNCTION("IFERROR(GOOGLEFINANCE(A129,""trail_dividend""),"""")"),"")</f>
        <v/>
      </c>
      <c r="D129" s="3" t="str">
        <f>IFERROR(__xludf.DUMMYFUNCTION("IFERROR(INDEX(IMPORTXML(""https://finance.yahoo.com/quote/""&amp;A129, ""//td[@data-test='EX_DIVIDEND_DATE-value']""),1),"""")"),"")</f>
        <v/>
      </c>
    </row>
    <row r="130" ht="15.75" customHeight="1">
      <c r="B130" s="3" t="str">
        <f>IFERROR(__xludf.DUMMYFUNCTION("IFERROR(GOOGLEFINANCE(A130,""yield"")*100,"""")"),"")</f>
        <v/>
      </c>
      <c r="C130" s="3" t="str">
        <f>IFERROR(__xludf.DUMMYFUNCTION("IFERROR(GOOGLEFINANCE(A130,""trail_dividend""),"""")"),"")</f>
        <v/>
      </c>
      <c r="D130" s="3" t="str">
        <f>IFERROR(__xludf.DUMMYFUNCTION("IFERROR(INDEX(IMPORTXML(""https://finance.yahoo.com/quote/""&amp;A130, ""//td[@data-test='EX_DIVIDEND_DATE-value']""),1),"""")"),"")</f>
        <v/>
      </c>
    </row>
    <row r="131" ht="15.75" customHeight="1">
      <c r="B131" s="3" t="str">
        <f>IFERROR(__xludf.DUMMYFUNCTION("IFERROR(GOOGLEFINANCE(A131,""yield"")*100,"""")"),"")</f>
        <v/>
      </c>
      <c r="C131" s="3" t="str">
        <f>IFERROR(__xludf.DUMMYFUNCTION("IFERROR(GOOGLEFINANCE(A131,""trail_dividend""),"""")"),"")</f>
        <v/>
      </c>
      <c r="D131" s="3" t="str">
        <f>IFERROR(__xludf.DUMMYFUNCTION("IFERROR(INDEX(IMPORTXML(""https://finance.yahoo.com/quote/""&amp;A131, ""//td[@data-test='EX_DIVIDEND_DATE-value']""),1),"""")"),"")</f>
        <v/>
      </c>
    </row>
    <row r="132" ht="15.75" customHeight="1">
      <c r="B132" s="3" t="str">
        <f>IFERROR(__xludf.DUMMYFUNCTION("IFERROR(GOOGLEFINANCE(A132,""yield"")*100,"""")"),"")</f>
        <v/>
      </c>
      <c r="C132" s="3" t="str">
        <f>IFERROR(__xludf.DUMMYFUNCTION("IFERROR(GOOGLEFINANCE(A132,""trail_dividend""),"""")"),"")</f>
        <v/>
      </c>
      <c r="D132" s="3" t="str">
        <f>IFERROR(__xludf.DUMMYFUNCTION("IFERROR(INDEX(IMPORTXML(""https://finance.yahoo.com/quote/""&amp;A132, ""//td[@data-test='EX_DIVIDEND_DATE-value']""),1),"""")"),"")</f>
        <v/>
      </c>
    </row>
    <row r="133" ht="15.75" customHeight="1">
      <c r="B133" s="3" t="str">
        <f>IFERROR(__xludf.DUMMYFUNCTION("IFERROR(GOOGLEFINANCE(A133,""yield"")*100,"""")"),"")</f>
        <v/>
      </c>
      <c r="C133" s="3" t="str">
        <f>IFERROR(__xludf.DUMMYFUNCTION("IFERROR(GOOGLEFINANCE(A133,""trail_dividend""),"""")"),"")</f>
        <v/>
      </c>
      <c r="D133" s="3" t="str">
        <f>IFERROR(__xludf.DUMMYFUNCTION("IFERROR(INDEX(IMPORTXML(""https://finance.yahoo.com/quote/""&amp;A133, ""//td[@data-test='EX_DIVIDEND_DATE-value']""),1),"""")"),"")</f>
        <v/>
      </c>
    </row>
    <row r="134" ht="15.75" customHeight="1">
      <c r="B134" s="3" t="str">
        <f>IFERROR(__xludf.DUMMYFUNCTION("IFERROR(GOOGLEFINANCE(A134,""yield"")*100,"""")"),"")</f>
        <v/>
      </c>
      <c r="C134" s="3" t="str">
        <f>IFERROR(__xludf.DUMMYFUNCTION("IFERROR(GOOGLEFINANCE(A134,""trail_dividend""),"""")"),"")</f>
        <v/>
      </c>
      <c r="D134" s="3" t="str">
        <f>IFERROR(__xludf.DUMMYFUNCTION("IFERROR(INDEX(IMPORTXML(""https://finance.yahoo.com/quote/""&amp;A134, ""//td[@data-test='EX_DIVIDEND_DATE-value']""),1),"""")"),"")</f>
        <v/>
      </c>
    </row>
    <row r="135" ht="15.75" customHeight="1">
      <c r="B135" s="3" t="str">
        <f>IFERROR(__xludf.DUMMYFUNCTION("IFERROR(GOOGLEFINANCE(A135,""yield"")*100,"""")"),"")</f>
        <v/>
      </c>
      <c r="C135" s="3" t="str">
        <f>IFERROR(__xludf.DUMMYFUNCTION("IFERROR(GOOGLEFINANCE(A135,""trail_dividend""),"""")"),"")</f>
        <v/>
      </c>
      <c r="D135" s="3" t="str">
        <f>IFERROR(__xludf.DUMMYFUNCTION("IFERROR(INDEX(IMPORTXML(""https://finance.yahoo.com/quote/""&amp;A135, ""//td[@data-test='EX_DIVIDEND_DATE-value']""),1),"""")"),"")</f>
        <v/>
      </c>
    </row>
    <row r="136" ht="15.75" customHeight="1">
      <c r="B136" s="3" t="str">
        <f>IFERROR(__xludf.DUMMYFUNCTION("IFERROR(GOOGLEFINANCE(A136,""yield"")*100,"""")"),"")</f>
        <v/>
      </c>
      <c r="C136" s="3" t="str">
        <f>IFERROR(__xludf.DUMMYFUNCTION("IFERROR(GOOGLEFINANCE(A136,""trail_dividend""),"""")"),"")</f>
        <v/>
      </c>
      <c r="D136" s="3" t="str">
        <f>IFERROR(__xludf.DUMMYFUNCTION("IFERROR(INDEX(IMPORTXML(""https://finance.yahoo.com/quote/""&amp;A136, ""//td[@data-test='EX_DIVIDEND_DATE-value']""),1),"""")"),"")</f>
        <v/>
      </c>
    </row>
    <row r="137" ht="15.75" customHeight="1">
      <c r="B137" s="3" t="str">
        <f>IFERROR(__xludf.DUMMYFUNCTION("IFERROR(GOOGLEFINANCE(A137,""yield"")*100,"""")"),"")</f>
        <v/>
      </c>
      <c r="C137" s="3" t="str">
        <f>IFERROR(__xludf.DUMMYFUNCTION("IFERROR(GOOGLEFINANCE(A137,""trail_dividend""),"""")"),"")</f>
        <v/>
      </c>
      <c r="D137" s="3" t="str">
        <f>IFERROR(__xludf.DUMMYFUNCTION("IFERROR(INDEX(IMPORTXML(""https://finance.yahoo.com/quote/""&amp;A137, ""//td[@data-test='EX_DIVIDEND_DATE-value']""),1),"""")"),"")</f>
        <v/>
      </c>
    </row>
    <row r="138" ht="15.75" customHeight="1">
      <c r="B138" s="3" t="str">
        <f>IFERROR(__xludf.DUMMYFUNCTION("IFERROR(GOOGLEFINANCE(A138,""yield"")*100,"""")"),"")</f>
        <v/>
      </c>
      <c r="C138" s="3" t="str">
        <f>IFERROR(__xludf.DUMMYFUNCTION("IFERROR(GOOGLEFINANCE(A138,""trail_dividend""),"""")"),"")</f>
        <v/>
      </c>
      <c r="D138" s="3" t="str">
        <f>IFERROR(__xludf.DUMMYFUNCTION("IFERROR(INDEX(IMPORTXML(""https://finance.yahoo.com/quote/""&amp;A138, ""//td[@data-test='EX_DIVIDEND_DATE-value']""),1),"""")"),"")</f>
        <v/>
      </c>
    </row>
    <row r="139" ht="15.75" customHeight="1">
      <c r="B139" s="3" t="str">
        <f>IFERROR(__xludf.DUMMYFUNCTION("IFERROR(GOOGLEFINANCE(A139,""yield"")*100,"""")"),"")</f>
        <v/>
      </c>
      <c r="C139" s="3" t="str">
        <f>IFERROR(__xludf.DUMMYFUNCTION("IFERROR(GOOGLEFINANCE(A139,""trail_dividend""),"""")"),"")</f>
        <v/>
      </c>
      <c r="D139" s="3" t="str">
        <f>IFERROR(__xludf.DUMMYFUNCTION("IFERROR(INDEX(IMPORTXML(""https://finance.yahoo.com/quote/""&amp;A139, ""//td[@data-test='EX_DIVIDEND_DATE-value']""),1),"""")"),"")</f>
        <v/>
      </c>
    </row>
    <row r="140" ht="15.75" customHeight="1">
      <c r="B140" s="3" t="str">
        <f>IFERROR(__xludf.DUMMYFUNCTION("IFERROR(GOOGLEFINANCE(A140,""yield"")*100,"""")"),"")</f>
        <v/>
      </c>
      <c r="C140" s="3" t="str">
        <f>IFERROR(__xludf.DUMMYFUNCTION("IFERROR(GOOGLEFINANCE(A140,""trail_dividend""),"""")"),"")</f>
        <v/>
      </c>
      <c r="D140" s="3" t="str">
        <f>IFERROR(__xludf.DUMMYFUNCTION("IFERROR(INDEX(IMPORTXML(""https://finance.yahoo.com/quote/""&amp;A140, ""//td[@data-test='EX_DIVIDEND_DATE-value']""),1),"""")"),"")</f>
        <v/>
      </c>
    </row>
    <row r="141" ht="15.75" customHeight="1">
      <c r="B141" s="3" t="str">
        <f>IFERROR(__xludf.DUMMYFUNCTION("IFERROR(GOOGLEFINANCE(A141,""yield"")*100,"""")"),"")</f>
        <v/>
      </c>
      <c r="C141" s="3" t="str">
        <f>IFERROR(__xludf.DUMMYFUNCTION("IFERROR(GOOGLEFINANCE(A141,""trail_dividend""),"""")"),"")</f>
        <v/>
      </c>
      <c r="D141" s="3" t="str">
        <f>IFERROR(__xludf.DUMMYFUNCTION("IFERROR(INDEX(IMPORTXML(""https://finance.yahoo.com/quote/""&amp;A141, ""//td[@data-test='EX_DIVIDEND_DATE-value']""),1),"""")"),"")</f>
        <v/>
      </c>
    </row>
    <row r="142" ht="15.75" customHeight="1">
      <c r="B142" s="3" t="str">
        <f>IFERROR(__xludf.DUMMYFUNCTION("IFERROR(GOOGLEFINANCE(A142,""yield"")*100,"""")"),"")</f>
        <v/>
      </c>
      <c r="C142" s="3" t="str">
        <f>IFERROR(__xludf.DUMMYFUNCTION("IFERROR(GOOGLEFINANCE(A142,""trail_dividend""),"""")"),"")</f>
        <v/>
      </c>
      <c r="D142" s="3" t="str">
        <f>IFERROR(__xludf.DUMMYFUNCTION("IFERROR(INDEX(IMPORTXML(""https://finance.yahoo.com/quote/""&amp;A142, ""//td[@data-test='EX_DIVIDEND_DATE-value']""),1),"""")"),"")</f>
        <v/>
      </c>
    </row>
    <row r="143" ht="15.75" customHeight="1">
      <c r="B143" s="3" t="str">
        <f>IFERROR(__xludf.DUMMYFUNCTION("IFERROR(GOOGLEFINANCE(A143,""yield"")*100,"""")"),"")</f>
        <v/>
      </c>
      <c r="C143" s="3" t="str">
        <f>IFERROR(__xludf.DUMMYFUNCTION("IFERROR(GOOGLEFINANCE(A143,""trail_dividend""),"""")"),"")</f>
        <v/>
      </c>
      <c r="D143" s="3" t="str">
        <f>IFERROR(__xludf.DUMMYFUNCTION("IFERROR(INDEX(IMPORTXML(""https://finance.yahoo.com/quote/""&amp;A143, ""//td[@data-test='EX_DIVIDEND_DATE-value']""),1),"""")"),"")</f>
        <v/>
      </c>
    </row>
    <row r="144" ht="15.75" customHeight="1">
      <c r="B144" s="3" t="str">
        <f>IFERROR(__xludf.DUMMYFUNCTION("IFERROR(GOOGLEFINANCE(A144,""yield"")*100,"""")"),"")</f>
        <v/>
      </c>
      <c r="C144" s="3" t="str">
        <f>IFERROR(__xludf.DUMMYFUNCTION("IFERROR(GOOGLEFINANCE(A144,""trail_dividend""),"""")"),"")</f>
        <v/>
      </c>
      <c r="D144" s="3" t="str">
        <f>IFERROR(__xludf.DUMMYFUNCTION("IFERROR(INDEX(IMPORTXML(""https://finance.yahoo.com/quote/""&amp;A144, ""//td[@data-test='EX_DIVIDEND_DATE-value']""),1),"""")"),"")</f>
        <v/>
      </c>
    </row>
    <row r="145" ht="15.75" customHeight="1">
      <c r="B145" s="3" t="str">
        <f>IFERROR(__xludf.DUMMYFUNCTION("IFERROR(GOOGLEFINANCE(A145,""yield"")*100,"""")"),"")</f>
        <v/>
      </c>
      <c r="C145" s="3" t="str">
        <f>IFERROR(__xludf.DUMMYFUNCTION("IFERROR(GOOGLEFINANCE(A145,""trail_dividend""),"""")"),"")</f>
        <v/>
      </c>
      <c r="D145" s="3" t="str">
        <f>IFERROR(__xludf.DUMMYFUNCTION("IFERROR(INDEX(IMPORTXML(""https://finance.yahoo.com/quote/""&amp;A145, ""//td[@data-test='EX_DIVIDEND_DATE-value']""),1),"""")"),"")</f>
        <v/>
      </c>
    </row>
    <row r="146" ht="15.75" customHeight="1">
      <c r="B146" s="3" t="str">
        <f>IFERROR(__xludf.DUMMYFUNCTION("IFERROR(GOOGLEFINANCE(A146,""yield"")*100,"""")"),"")</f>
        <v/>
      </c>
      <c r="C146" s="3" t="str">
        <f>IFERROR(__xludf.DUMMYFUNCTION("IFERROR(GOOGLEFINANCE(A146,""trail_dividend""),"""")"),"")</f>
        <v/>
      </c>
      <c r="D146" s="3" t="str">
        <f>IFERROR(__xludf.DUMMYFUNCTION("IFERROR(INDEX(IMPORTXML(""https://finance.yahoo.com/quote/""&amp;A146, ""//td[@data-test='EX_DIVIDEND_DATE-value']""),1),"""")"),"")</f>
        <v/>
      </c>
    </row>
    <row r="147" ht="15.75" customHeight="1">
      <c r="B147" s="3" t="str">
        <f>IFERROR(__xludf.DUMMYFUNCTION("IFERROR(GOOGLEFINANCE(A147,""yield"")*100,"""")"),"")</f>
        <v/>
      </c>
      <c r="C147" s="3" t="str">
        <f>IFERROR(__xludf.DUMMYFUNCTION("IFERROR(GOOGLEFINANCE(A147,""trail_dividend""),"""")"),"")</f>
        <v/>
      </c>
      <c r="D147" s="3" t="str">
        <f>IFERROR(__xludf.DUMMYFUNCTION("IFERROR(INDEX(IMPORTXML(""https://finance.yahoo.com/quote/""&amp;A147, ""//td[@data-test='EX_DIVIDEND_DATE-value']""),1),"""")"),"")</f>
        <v/>
      </c>
    </row>
    <row r="148" ht="15.75" customHeight="1">
      <c r="B148" s="3" t="str">
        <f>IFERROR(__xludf.DUMMYFUNCTION("IFERROR(GOOGLEFINANCE(A148,""yield"")*100,"""")"),"")</f>
        <v/>
      </c>
      <c r="C148" s="3" t="str">
        <f>IFERROR(__xludf.DUMMYFUNCTION("IFERROR(GOOGLEFINANCE(A148,""trail_dividend""),"""")"),"")</f>
        <v/>
      </c>
      <c r="D148" s="3" t="str">
        <f>IFERROR(__xludf.DUMMYFUNCTION("IFERROR(INDEX(IMPORTXML(""https://finance.yahoo.com/quote/""&amp;A148, ""//td[@data-test='EX_DIVIDEND_DATE-value']""),1),"""")"),"")</f>
        <v/>
      </c>
    </row>
    <row r="149" ht="15.75" customHeight="1">
      <c r="B149" s="3" t="str">
        <f>IFERROR(__xludf.DUMMYFUNCTION("IFERROR(GOOGLEFINANCE(A149,""yield"")*100,"""")"),"")</f>
        <v/>
      </c>
      <c r="C149" s="3" t="str">
        <f>IFERROR(__xludf.DUMMYFUNCTION("IFERROR(GOOGLEFINANCE(A149,""trail_dividend""),"""")"),"")</f>
        <v/>
      </c>
      <c r="D149" s="3" t="str">
        <f>IFERROR(__xludf.DUMMYFUNCTION("IFERROR(INDEX(IMPORTXML(""https://finance.yahoo.com/quote/""&amp;A149, ""//td[@data-test='EX_DIVIDEND_DATE-value']""),1),"""")"),"")</f>
        <v/>
      </c>
    </row>
    <row r="150" ht="15.75" customHeight="1">
      <c r="B150" s="3" t="str">
        <f>IFERROR(__xludf.DUMMYFUNCTION("IFERROR(GOOGLEFINANCE(A150,""yield"")*100,"""")"),"")</f>
        <v/>
      </c>
      <c r="C150" s="3" t="str">
        <f>IFERROR(__xludf.DUMMYFUNCTION("IFERROR(GOOGLEFINANCE(A150,""trail_dividend""),"""")"),"")</f>
        <v/>
      </c>
      <c r="D150" s="3" t="str">
        <f>IFERROR(__xludf.DUMMYFUNCTION("IFERROR(INDEX(IMPORTXML(""https://finance.yahoo.com/quote/""&amp;A150, ""//td[@data-test='EX_DIVIDEND_DATE-value']""),1),"""")"),"")</f>
        <v/>
      </c>
    </row>
    <row r="151" ht="15.75" customHeight="1">
      <c r="B151" s="3" t="str">
        <f>IFERROR(__xludf.DUMMYFUNCTION("IFERROR(GOOGLEFINANCE(A151,""yield"")*100,"""")"),"")</f>
        <v/>
      </c>
      <c r="C151" s="3" t="str">
        <f>IFERROR(__xludf.DUMMYFUNCTION("IFERROR(GOOGLEFINANCE(A151,""trail_dividend""),"""")"),"")</f>
        <v/>
      </c>
      <c r="D151" s="3" t="str">
        <f>IFERROR(__xludf.DUMMYFUNCTION("IFERROR(INDEX(IMPORTXML(""https://finance.yahoo.com/quote/""&amp;A151, ""//td[@data-test='EX_DIVIDEND_DATE-value']""),1),"""")"),"")</f>
        <v/>
      </c>
    </row>
    <row r="152" ht="15.75" customHeight="1">
      <c r="B152" s="3" t="str">
        <f>IFERROR(__xludf.DUMMYFUNCTION("IFERROR(GOOGLEFINANCE(A152,""yield"")*100,"""")"),"")</f>
        <v/>
      </c>
      <c r="C152" s="3" t="str">
        <f>IFERROR(__xludf.DUMMYFUNCTION("IFERROR(GOOGLEFINANCE(A152,""trail_dividend""),"""")"),"")</f>
        <v/>
      </c>
      <c r="D152" s="3" t="str">
        <f>IFERROR(__xludf.DUMMYFUNCTION("IFERROR(INDEX(IMPORTXML(""https://finance.yahoo.com/quote/""&amp;A152, ""//td[@data-test='EX_DIVIDEND_DATE-value']""),1),"""")"),"")</f>
        <v/>
      </c>
    </row>
    <row r="153" ht="15.75" customHeight="1">
      <c r="B153" s="3" t="str">
        <f>IFERROR(__xludf.DUMMYFUNCTION("IFERROR(GOOGLEFINANCE(A153,""yield"")*100,"""")"),"")</f>
        <v/>
      </c>
      <c r="C153" s="3" t="str">
        <f>IFERROR(__xludf.DUMMYFUNCTION("IFERROR(GOOGLEFINANCE(A153,""trail_dividend""),"""")"),"")</f>
        <v/>
      </c>
      <c r="D153" s="3" t="str">
        <f>IFERROR(__xludf.DUMMYFUNCTION("IFERROR(INDEX(IMPORTXML(""https://finance.yahoo.com/quote/""&amp;A153, ""//td[@data-test='EX_DIVIDEND_DATE-value']""),1),"""")"),"")</f>
        <v/>
      </c>
    </row>
    <row r="154" ht="15.75" customHeight="1">
      <c r="B154" s="3" t="str">
        <f>IFERROR(__xludf.DUMMYFUNCTION("IFERROR(GOOGLEFINANCE(A154,""yield"")*100,"""")"),"")</f>
        <v/>
      </c>
      <c r="C154" s="3" t="str">
        <f>IFERROR(__xludf.DUMMYFUNCTION("IFERROR(GOOGLEFINANCE(A154,""trail_dividend""),"""")"),"")</f>
        <v/>
      </c>
      <c r="D154" s="3" t="str">
        <f>IFERROR(__xludf.DUMMYFUNCTION("IFERROR(INDEX(IMPORTXML(""https://finance.yahoo.com/quote/""&amp;A154, ""//td[@data-test='EX_DIVIDEND_DATE-value']""),1),"""")"),"")</f>
        <v/>
      </c>
    </row>
    <row r="155" ht="15.75" customHeight="1">
      <c r="B155" s="3" t="str">
        <f>IFERROR(__xludf.DUMMYFUNCTION("IFERROR(GOOGLEFINANCE(A155,""yield"")*100,"""")"),"")</f>
        <v/>
      </c>
      <c r="C155" s="3" t="str">
        <f>IFERROR(__xludf.DUMMYFUNCTION("IFERROR(GOOGLEFINANCE(A155,""trail_dividend""),"""")"),"")</f>
        <v/>
      </c>
      <c r="D155" s="3" t="str">
        <f>IFERROR(__xludf.DUMMYFUNCTION("IFERROR(INDEX(IMPORTXML(""https://finance.yahoo.com/quote/""&amp;A155, ""//td[@data-test='EX_DIVIDEND_DATE-value']""),1),"""")"),"")</f>
        <v/>
      </c>
    </row>
    <row r="156" ht="15.75" customHeight="1">
      <c r="B156" s="3" t="str">
        <f>IFERROR(__xludf.DUMMYFUNCTION("IFERROR(GOOGLEFINANCE(A156,""yield"")*100,"""")"),"")</f>
        <v/>
      </c>
      <c r="C156" s="3" t="str">
        <f>IFERROR(__xludf.DUMMYFUNCTION("IFERROR(GOOGLEFINANCE(A156,""trail_dividend""),"""")"),"")</f>
        <v/>
      </c>
      <c r="D156" s="3" t="str">
        <f>IFERROR(__xludf.DUMMYFUNCTION("IFERROR(INDEX(IMPORTXML(""https://finance.yahoo.com/quote/""&amp;A156, ""//td[@data-test='EX_DIVIDEND_DATE-value']""),1),"""")"),"")</f>
        <v/>
      </c>
    </row>
    <row r="157" ht="15.75" customHeight="1">
      <c r="B157" s="3" t="str">
        <f>IFERROR(__xludf.DUMMYFUNCTION("IFERROR(GOOGLEFINANCE(A157,""yield"")*100,"""")"),"")</f>
        <v/>
      </c>
      <c r="C157" s="3" t="str">
        <f>IFERROR(__xludf.DUMMYFUNCTION("IFERROR(GOOGLEFINANCE(A157,""trail_dividend""),"""")"),"")</f>
        <v/>
      </c>
      <c r="D157" s="3" t="str">
        <f>IFERROR(__xludf.DUMMYFUNCTION("IFERROR(INDEX(IMPORTXML(""https://finance.yahoo.com/quote/""&amp;A157, ""//td[@data-test='EX_DIVIDEND_DATE-value']""),1),"""")"),"")</f>
        <v/>
      </c>
    </row>
    <row r="158" ht="15.75" customHeight="1">
      <c r="B158" s="3" t="str">
        <f>IFERROR(__xludf.DUMMYFUNCTION("IFERROR(GOOGLEFINANCE(A158,""yield"")*100,"""")"),"")</f>
        <v/>
      </c>
      <c r="C158" s="3" t="str">
        <f>IFERROR(__xludf.DUMMYFUNCTION("IFERROR(GOOGLEFINANCE(A158,""trail_dividend""),"""")"),"")</f>
        <v/>
      </c>
      <c r="D158" s="3" t="str">
        <f>IFERROR(__xludf.DUMMYFUNCTION("IFERROR(INDEX(IMPORTXML(""https://finance.yahoo.com/quote/""&amp;A158, ""//td[@data-test='EX_DIVIDEND_DATE-value']""),1),"""")"),"")</f>
        <v/>
      </c>
    </row>
    <row r="159" ht="15.75" customHeight="1">
      <c r="B159" s="3" t="str">
        <f>IFERROR(__xludf.DUMMYFUNCTION("IFERROR(GOOGLEFINANCE(A159,""yield"")*100,"""")"),"")</f>
        <v/>
      </c>
      <c r="C159" s="3" t="str">
        <f>IFERROR(__xludf.DUMMYFUNCTION("IFERROR(GOOGLEFINANCE(A159,""trail_dividend""),"""")"),"")</f>
        <v/>
      </c>
      <c r="D159" s="3" t="str">
        <f>IFERROR(__xludf.DUMMYFUNCTION("IFERROR(INDEX(IMPORTXML(""https://finance.yahoo.com/quote/""&amp;A159, ""//td[@data-test='EX_DIVIDEND_DATE-value']""),1),"""")"),"")</f>
        <v/>
      </c>
    </row>
    <row r="160" ht="15.75" customHeight="1">
      <c r="B160" s="3" t="str">
        <f>IFERROR(__xludf.DUMMYFUNCTION("IFERROR(GOOGLEFINANCE(A160,""yield"")*100,"""")"),"")</f>
        <v/>
      </c>
      <c r="C160" s="3" t="str">
        <f>IFERROR(__xludf.DUMMYFUNCTION("IFERROR(GOOGLEFINANCE(A160,""trail_dividend""),"""")"),"")</f>
        <v/>
      </c>
      <c r="D160" s="3" t="str">
        <f>IFERROR(__xludf.DUMMYFUNCTION("IFERROR(INDEX(IMPORTXML(""https://finance.yahoo.com/quote/""&amp;A160, ""//td[@data-test='EX_DIVIDEND_DATE-value']""),1),"""")"),"")</f>
        <v/>
      </c>
    </row>
    <row r="161" ht="15.75" customHeight="1">
      <c r="B161" s="3" t="str">
        <f>IFERROR(__xludf.DUMMYFUNCTION("IFERROR(GOOGLEFINANCE(A161,""yield"")*100,"""")"),"")</f>
        <v/>
      </c>
      <c r="C161" s="3" t="str">
        <f>IFERROR(__xludf.DUMMYFUNCTION("IFERROR(GOOGLEFINANCE(A161,""trail_dividend""),"""")"),"")</f>
        <v/>
      </c>
      <c r="D161" s="3" t="str">
        <f>IFERROR(__xludf.DUMMYFUNCTION("IFERROR(INDEX(IMPORTXML(""https://finance.yahoo.com/quote/""&amp;A161, ""//td[@data-test='EX_DIVIDEND_DATE-value']""),1),"""")"),"")</f>
        <v/>
      </c>
    </row>
    <row r="162" ht="15.75" customHeight="1">
      <c r="B162" s="3" t="str">
        <f>IFERROR(__xludf.DUMMYFUNCTION("IFERROR(GOOGLEFINANCE(A162,""yield"")*100,"""")"),"")</f>
        <v/>
      </c>
      <c r="C162" s="3" t="str">
        <f>IFERROR(__xludf.DUMMYFUNCTION("IFERROR(GOOGLEFINANCE(A162,""trail_dividend""),"""")"),"")</f>
        <v/>
      </c>
      <c r="D162" s="3" t="str">
        <f>IFERROR(__xludf.DUMMYFUNCTION("IFERROR(INDEX(IMPORTXML(""https://finance.yahoo.com/quote/""&amp;A162, ""//td[@data-test='EX_DIVIDEND_DATE-value']""),1),"""")"),"")</f>
        <v/>
      </c>
    </row>
    <row r="163" ht="15.75" customHeight="1">
      <c r="B163" s="3" t="str">
        <f>IFERROR(__xludf.DUMMYFUNCTION("IFERROR(GOOGLEFINANCE(A163,""yield"")*100,"""")"),"")</f>
        <v/>
      </c>
      <c r="C163" s="3" t="str">
        <f>IFERROR(__xludf.DUMMYFUNCTION("IFERROR(GOOGLEFINANCE(A163,""trail_dividend""),"""")"),"")</f>
        <v/>
      </c>
      <c r="D163" s="3" t="str">
        <f>IFERROR(__xludf.DUMMYFUNCTION("IFERROR(INDEX(IMPORTXML(""https://finance.yahoo.com/quote/""&amp;A163, ""//td[@data-test='EX_DIVIDEND_DATE-value']""),1),"""")"),"")</f>
        <v/>
      </c>
    </row>
    <row r="164" ht="15.75" customHeight="1">
      <c r="B164" s="3" t="str">
        <f>IFERROR(__xludf.DUMMYFUNCTION("IFERROR(GOOGLEFINANCE(A164,""yield"")*100,"""")"),"")</f>
        <v/>
      </c>
      <c r="C164" s="3" t="str">
        <f>IFERROR(__xludf.DUMMYFUNCTION("IFERROR(GOOGLEFINANCE(A164,""trail_dividend""),"""")"),"")</f>
        <v/>
      </c>
      <c r="D164" s="3" t="str">
        <f>IFERROR(__xludf.DUMMYFUNCTION("IFERROR(INDEX(IMPORTXML(""https://finance.yahoo.com/quote/""&amp;A164, ""//td[@data-test='EX_DIVIDEND_DATE-value']""),1),"""")"),"")</f>
        <v/>
      </c>
    </row>
    <row r="165" ht="15.75" customHeight="1">
      <c r="B165" s="3" t="str">
        <f>IFERROR(__xludf.DUMMYFUNCTION("IFERROR(GOOGLEFINANCE(A165,""yield"")*100,"""")"),"")</f>
        <v/>
      </c>
      <c r="C165" s="3" t="str">
        <f>IFERROR(__xludf.DUMMYFUNCTION("IFERROR(GOOGLEFINANCE(A165,""trail_dividend""),"""")"),"")</f>
        <v/>
      </c>
      <c r="D165" s="3" t="str">
        <f>IFERROR(__xludf.DUMMYFUNCTION("IFERROR(INDEX(IMPORTXML(""https://finance.yahoo.com/quote/""&amp;A165, ""//td[@data-test='EX_DIVIDEND_DATE-value']""),1),"""")"),"")</f>
        <v/>
      </c>
    </row>
    <row r="166" ht="15.75" customHeight="1">
      <c r="B166" s="3" t="str">
        <f>IFERROR(__xludf.DUMMYFUNCTION("IFERROR(GOOGLEFINANCE(A166,""yield"")*100,"""")"),"")</f>
        <v/>
      </c>
      <c r="C166" s="3" t="str">
        <f>IFERROR(__xludf.DUMMYFUNCTION("IFERROR(GOOGLEFINANCE(A166,""trail_dividend""),"""")"),"")</f>
        <v/>
      </c>
      <c r="D166" s="3" t="str">
        <f>IFERROR(__xludf.DUMMYFUNCTION("IFERROR(INDEX(IMPORTXML(""https://finance.yahoo.com/quote/""&amp;A166, ""//td[@data-test='EX_DIVIDEND_DATE-value']""),1),"""")"),"")</f>
        <v/>
      </c>
    </row>
    <row r="167" ht="15.75" customHeight="1">
      <c r="B167" s="3" t="str">
        <f>IFERROR(__xludf.DUMMYFUNCTION("IFERROR(GOOGLEFINANCE(A167,""yield"")*100,"""")"),"")</f>
        <v/>
      </c>
      <c r="C167" s="3" t="str">
        <f>IFERROR(__xludf.DUMMYFUNCTION("IFERROR(GOOGLEFINANCE(A167,""trail_dividend""),"""")"),"")</f>
        <v/>
      </c>
      <c r="D167" s="3" t="str">
        <f>IFERROR(__xludf.DUMMYFUNCTION("IFERROR(INDEX(IMPORTXML(""https://finance.yahoo.com/quote/""&amp;A167, ""//td[@data-test='EX_DIVIDEND_DATE-value']""),1),"""")"),"")</f>
        <v/>
      </c>
    </row>
    <row r="168" ht="15.75" customHeight="1">
      <c r="B168" s="3" t="str">
        <f>IFERROR(__xludf.DUMMYFUNCTION("IFERROR(GOOGLEFINANCE(A168,""yield"")*100,"""")"),"")</f>
        <v/>
      </c>
      <c r="C168" s="3" t="str">
        <f>IFERROR(__xludf.DUMMYFUNCTION("IFERROR(GOOGLEFINANCE(A168,""trail_dividend""),"""")"),"")</f>
        <v/>
      </c>
      <c r="D168" s="3" t="str">
        <f>IFERROR(__xludf.DUMMYFUNCTION("IFERROR(INDEX(IMPORTXML(""https://finance.yahoo.com/quote/""&amp;A168, ""//td[@data-test='EX_DIVIDEND_DATE-value']""),1),"""")"),"")</f>
        <v/>
      </c>
    </row>
    <row r="169" ht="15.75" customHeight="1">
      <c r="B169" s="3" t="str">
        <f>IFERROR(__xludf.DUMMYFUNCTION("IFERROR(GOOGLEFINANCE(A169,""yield"")*100,"""")"),"")</f>
        <v/>
      </c>
      <c r="C169" s="3" t="str">
        <f>IFERROR(__xludf.DUMMYFUNCTION("IFERROR(GOOGLEFINANCE(A169,""trail_dividend""),"""")"),"")</f>
        <v/>
      </c>
      <c r="D169" s="3" t="str">
        <f>IFERROR(__xludf.DUMMYFUNCTION("IFERROR(INDEX(IMPORTXML(""https://finance.yahoo.com/quote/""&amp;A169, ""//td[@data-test='EX_DIVIDEND_DATE-value']""),1),"""")"),"")</f>
        <v/>
      </c>
    </row>
    <row r="170" ht="15.75" customHeight="1">
      <c r="B170" s="3" t="str">
        <f>IFERROR(__xludf.DUMMYFUNCTION("IFERROR(GOOGLEFINANCE(A170,""yield"")*100,"""")"),"")</f>
        <v/>
      </c>
      <c r="C170" s="3" t="str">
        <f>IFERROR(__xludf.DUMMYFUNCTION("IFERROR(GOOGLEFINANCE(A170,""trail_dividend""),"""")"),"")</f>
        <v/>
      </c>
      <c r="D170" s="3" t="str">
        <f>IFERROR(__xludf.DUMMYFUNCTION("IFERROR(INDEX(IMPORTXML(""https://finance.yahoo.com/quote/""&amp;A170, ""//td[@data-test='EX_DIVIDEND_DATE-value']""),1),"""")"),"")</f>
        <v/>
      </c>
    </row>
    <row r="171" ht="15.75" customHeight="1">
      <c r="B171" s="3" t="str">
        <f>IFERROR(__xludf.DUMMYFUNCTION("IFERROR(GOOGLEFINANCE(A171,""yield"")*100,"""")"),"")</f>
        <v/>
      </c>
      <c r="C171" s="3" t="str">
        <f>IFERROR(__xludf.DUMMYFUNCTION("IFERROR(GOOGLEFINANCE(A171,""trail_dividend""),"""")"),"")</f>
        <v/>
      </c>
      <c r="D171" s="3" t="str">
        <f>IFERROR(__xludf.DUMMYFUNCTION("IFERROR(INDEX(IMPORTXML(""https://finance.yahoo.com/quote/""&amp;A171, ""//td[@data-test='EX_DIVIDEND_DATE-value']""),1),"""")"),"")</f>
        <v/>
      </c>
    </row>
    <row r="172" ht="15.75" customHeight="1">
      <c r="B172" s="3" t="str">
        <f>IFERROR(__xludf.DUMMYFUNCTION("IFERROR(GOOGLEFINANCE(A172,""yield"")*100,"""")"),"")</f>
        <v/>
      </c>
      <c r="C172" s="3" t="str">
        <f>IFERROR(__xludf.DUMMYFUNCTION("IFERROR(GOOGLEFINANCE(A172,""trail_dividend""),"""")"),"")</f>
        <v/>
      </c>
      <c r="D172" s="3" t="str">
        <f>IFERROR(__xludf.DUMMYFUNCTION("IFERROR(INDEX(IMPORTXML(""https://finance.yahoo.com/quote/""&amp;A172, ""//td[@data-test='EX_DIVIDEND_DATE-value']""),1),"""")"),"")</f>
        <v/>
      </c>
    </row>
    <row r="173" ht="15.75" customHeight="1">
      <c r="B173" s="3" t="str">
        <f>IFERROR(__xludf.DUMMYFUNCTION("IFERROR(GOOGLEFINANCE(A173,""yield"")*100,"""")"),"")</f>
        <v/>
      </c>
      <c r="C173" s="3" t="str">
        <f>IFERROR(__xludf.DUMMYFUNCTION("IFERROR(GOOGLEFINANCE(A173,""trail_dividend""),"""")"),"")</f>
        <v/>
      </c>
      <c r="D173" s="3" t="str">
        <f>IFERROR(__xludf.DUMMYFUNCTION("IFERROR(INDEX(IMPORTXML(""https://finance.yahoo.com/quote/""&amp;A173, ""//td[@data-test='EX_DIVIDEND_DATE-value']""),1),"""")"),"")</f>
        <v/>
      </c>
    </row>
    <row r="174" ht="15.75" customHeight="1">
      <c r="B174" s="3" t="str">
        <f>IFERROR(__xludf.DUMMYFUNCTION("IFERROR(GOOGLEFINANCE(A174,""yield"")*100,"""")"),"")</f>
        <v/>
      </c>
      <c r="C174" s="3" t="str">
        <f>IFERROR(__xludf.DUMMYFUNCTION("IFERROR(GOOGLEFINANCE(A174,""trail_dividend""),"""")"),"")</f>
        <v/>
      </c>
      <c r="D174" s="3" t="str">
        <f>IFERROR(__xludf.DUMMYFUNCTION("IFERROR(INDEX(IMPORTXML(""https://finance.yahoo.com/quote/""&amp;A174, ""//td[@data-test='EX_DIVIDEND_DATE-value']""),1),"""")"),"")</f>
        <v/>
      </c>
    </row>
    <row r="175" ht="15.75" customHeight="1">
      <c r="B175" s="3" t="str">
        <f>IFERROR(__xludf.DUMMYFUNCTION("IFERROR(GOOGLEFINANCE(A175,""yield"")*100,"""")"),"")</f>
        <v/>
      </c>
      <c r="C175" s="3" t="str">
        <f>IFERROR(__xludf.DUMMYFUNCTION("IFERROR(GOOGLEFINANCE(A175,""trail_dividend""),"""")"),"")</f>
        <v/>
      </c>
      <c r="D175" s="3" t="str">
        <f>IFERROR(__xludf.DUMMYFUNCTION("IFERROR(INDEX(IMPORTXML(""https://finance.yahoo.com/quote/""&amp;A175, ""//td[@data-test='EX_DIVIDEND_DATE-value']""),1),"""")"),"")</f>
        <v/>
      </c>
    </row>
    <row r="176" ht="15.75" customHeight="1">
      <c r="B176" s="3" t="str">
        <f>IFERROR(__xludf.DUMMYFUNCTION("IFERROR(GOOGLEFINANCE(A176,""yield"")*100,"""")"),"")</f>
        <v/>
      </c>
      <c r="C176" s="3" t="str">
        <f>IFERROR(__xludf.DUMMYFUNCTION("IFERROR(GOOGLEFINANCE(A176,""trail_dividend""),"""")"),"")</f>
        <v/>
      </c>
      <c r="D176" s="3" t="str">
        <f>IFERROR(__xludf.DUMMYFUNCTION("IFERROR(INDEX(IMPORTXML(""https://finance.yahoo.com/quote/""&amp;A176, ""//td[@data-test='EX_DIVIDEND_DATE-value']""),1),"""")"),"")</f>
        <v/>
      </c>
    </row>
    <row r="177" ht="15.75" customHeight="1">
      <c r="B177" s="3" t="str">
        <f>IFERROR(__xludf.DUMMYFUNCTION("IFERROR(GOOGLEFINANCE(A177,""yield"")*100,"""")"),"")</f>
        <v/>
      </c>
      <c r="C177" s="3" t="str">
        <f>IFERROR(__xludf.DUMMYFUNCTION("IFERROR(GOOGLEFINANCE(A177,""trail_dividend""),"""")"),"")</f>
        <v/>
      </c>
      <c r="D177" s="3" t="str">
        <f>IFERROR(__xludf.DUMMYFUNCTION("IFERROR(INDEX(IMPORTXML(""https://finance.yahoo.com/quote/""&amp;A177, ""//td[@data-test='EX_DIVIDEND_DATE-value']""),1),"""")"),"")</f>
        <v/>
      </c>
    </row>
    <row r="178" ht="15.75" customHeight="1">
      <c r="B178" s="3" t="str">
        <f>IFERROR(__xludf.DUMMYFUNCTION("IFERROR(GOOGLEFINANCE(A178,""yield"")*100,"""")"),"")</f>
        <v/>
      </c>
      <c r="C178" s="3" t="str">
        <f>IFERROR(__xludf.DUMMYFUNCTION("IFERROR(GOOGLEFINANCE(A178,""trail_dividend""),"""")"),"")</f>
        <v/>
      </c>
      <c r="D178" s="3" t="str">
        <f>IFERROR(__xludf.DUMMYFUNCTION("IFERROR(INDEX(IMPORTXML(""https://finance.yahoo.com/quote/""&amp;A178, ""//td[@data-test='EX_DIVIDEND_DATE-value']""),1),"""")"),"")</f>
        <v/>
      </c>
    </row>
    <row r="179" ht="15.75" customHeight="1">
      <c r="B179" s="3" t="str">
        <f>IFERROR(__xludf.DUMMYFUNCTION("IFERROR(GOOGLEFINANCE(A179,""yield"")*100,"""")"),"")</f>
        <v/>
      </c>
      <c r="C179" s="3" t="str">
        <f>IFERROR(__xludf.DUMMYFUNCTION("IFERROR(GOOGLEFINANCE(A179,""trail_dividend""),"""")"),"")</f>
        <v/>
      </c>
      <c r="D179" s="3" t="str">
        <f>IFERROR(__xludf.DUMMYFUNCTION("IFERROR(INDEX(IMPORTXML(""https://finance.yahoo.com/quote/""&amp;A179, ""//td[@data-test='EX_DIVIDEND_DATE-value']""),1),"""")"),"")</f>
        <v/>
      </c>
    </row>
    <row r="180" ht="15.75" customHeight="1">
      <c r="B180" s="3" t="str">
        <f>IFERROR(__xludf.DUMMYFUNCTION("IFERROR(GOOGLEFINANCE(A180,""yield"")*100,"""")"),"")</f>
        <v/>
      </c>
      <c r="C180" s="3" t="str">
        <f>IFERROR(__xludf.DUMMYFUNCTION("IFERROR(GOOGLEFINANCE(A180,""trail_dividend""),"""")"),"")</f>
        <v/>
      </c>
      <c r="D180" s="3" t="str">
        <f>IFERROR(__xludf.DUMMYFUNCTION("IFERROR(INDEX(IMPORTXML(""https://finance.yahoo.com/quote/""&amp;A180, ""//td[@data-test='EX_DIVIDEND_DATE-value']""),1),"""")"),"")</f>
        <v/>
      </c>
    </row>
    <row r="181" ht="15.75" customHeight="1">
      <c r="B181" s="3" t="str">
        <f>IFERROR(__xludf.DUMMYFUNCTION("IFERROR(GOOGLEFINANCE(A181,""yield"")*100,"""")"),"")</f>
        <v/>
      </c>
      <c r="C181" s="3" t="str">
        <f>IFERROR(__xludf.DUMMYFUNCTION("IFERROR(GOOGLEFINANCE(A181,""trail_dividend""),"""")"),"")</f>
        <v/>
      </c>
      <c r="D181" s="3" t="str">
        <f>IFERROR(__xludf.DUMMYFUNCTION("IFERROR(INDEX(IMPORTXML(""https://finance.yahoo.com/quote/""&amp;A181, ""//td[@data-test='EX_DIVIDEND_DATE-value']""),1),"""")"),"")</f>
        <v/>
      </c>
    </row>
    <row r="182" ht="15.75" customHeight="1">
      <c r="B182" s="3" t="str">
        <f>IFERROR(__xludf.DUMMYFUNCTION("IFERROR(GOOGLEFINANCE(A182,""yield"")*100,"""")"),"")</f>
        <v/>
      </c>
      <c r="C182" s="3" t="str">
        <f>IFERROR(__xludf.DUMMYFUNCTION("IFERROR(GOOGLEFINANCE(A182,""trail_dividend""),"""")"),"")</f>
        <v/>
      </c>
      <c r="D182" s="3" t="str">
        <f>IFERROR(__xludf.DUMMYFUNCTION("IFERROR(INDEX(IMPORTXML(""https://finance.yahoo.com/quote/""&amp;A182, ""//td[@data-test='EX_DIVIDEND_DATE-value']""),1),"""")"),"")</f>
        <v/>
      </c>
    </row>
    <row r="183" ht="15.75" customHeight="1">
      <c r="B183" s="3" t="str">
        <f>IFERROR(__xludf.DUMMYFUNCTION("IFERROR(GOOGLEFINANCE(A183,""yield"")*100,"""")"),"")</f>
        <v/>
      </c>
      <c r="C183" s="3" t="str">
        <f>IFERROR(__xludf.DUMMYFUNCTION("IFERROR(GOOGLEFINANCE(A183,""trail_dividend""),"""")"),"")</f>
        <v/>
      </c>
      <c r="D183" s="3" t="str">
        <f>IFERROR(__xludf.DUMMYFUNCTION("IFERROR(INDEX(IMPORTXML(""https://finance.yahoo.com/quote/""&amp;A183, ""//td[@data-test='EX_DIVIDEND_DATE-value']""),1),"""")"),"")</f>
        <v/>
      </c>
    </row>
    <row r="184" ht="15.75" customHeight="1">
      <c r="B184" s="3" t="str">
        <f>IFERROR(__xludf.DUMMYFUNCTION("IFERROR(GOOGLEFINANCE(A184,""yield"")*100,"""")"),"")</f>
        <v/>
      </c>
      <c r="C184" s="3" t="str">
        <f>IFERROR(__xludf.DUMMYFUNCTION("IFERROR(GOOGLEFINANCE(A184,""trail_dividend""),"""")"),"")</f>
        <v/>
      </c>
      <c r="D184" s="3" t="str">
        <f>IFERROR(__xludf.DUMMYFUNCTION("IFERROR(INDEX(IMPORTXML(""https://finance.yahoo.com/quote/""&amp;A184, ""//td[@data-test='EX_DIVIDEND_DATE-value']""),1),"""")"),"")</f>
        <v/>
      </c>
    </row>
    <row r="185" ht="15.75" customHeight="1">
      <c r="B185" s="3" t="str">
        <f>IFERROR(__xludf.DUMMYFUNCTION("IFERROR(GOOGLEFINANCE(A185,""yield"")*100,"""")"),"")</f>
        <v/>
      </c>
      <c r="C185" s="3" t="str">
        <f>IFERROR(__xludf.DUMMYFUNCTION("IFERROR(GOOGLEFINANCE(A185,""trail_dividend""),"""")"),"")</f>
        <v/>
      </c>
      <c r="D185" s="3" t="str">
        <f>IFERROR(__xludf.DUMMYFUNCTION("IFERROR(INDEX(IMPORTXML(""https://finance.yahoo.com/quote/""&amp;A185, ""//td[@data-test='EX_DIVIDEND_DATE-value']""),1),"""")"),"")</f>
        <v/>
      </c>
    </row>
    <row r="186" ht="15.75" customHeight="1">
      <c r="B186" s="3" t="str">
        <f>IFERROR(__xludf.DUMMYFUNCTION("IFERROR(GOOGLEFINANCE(A186,""yield"")*100,"""")"),"")</f>
        <v/>
      </c>
      <c r="C186" s="3" t="str">
        <f>IFERROR(__xludf.DUMMYFUNCTION("IFERROR(GOOGLEFINANCE(A186,""trail_dividend""),"""")"),"")</f>
        <v/>
      </c>
      <c r="D186" s="3" t="str">
        <f>IFERROR(__xludf.DUMMYFUNCTION("IFERROR(INDEX(IMPORTXML(""https://finance.yahoo.com/quote/""&amp;A186, ""//td[@data-test='EX_DIVIDEND_DATE-value']""),1),"""")"),"")</f>
        <v/>
      </c>
    </row>
    <row r="187" ht="15.75" customHeight="1">
      <c r="B187" s="3" t="str">
        <f>IFERROR(__xludf.DUMMYFUNCTION("IFERROR(GOOGLEFINANCE(A187,""yield"")*100,"""")"),"")</f>
        <v/>
      </c>
      <c r="C187" s="3" t="str">
        <f>IFERROR(__xludf.DUMMYFUNCTION("IFERROR(GOOGLEFINANCE(A187,""trail_dividend""),"""")"),"")</f>
        <v/>
      </c>
      <c r="D187" s="3" t="str">
        <f>IFERROR(__xludf.DUMMYFUNCTION("IFERROR(INDEX(IMPORTXML(""https://finance.yahoo.com/quote/""&amp;A187, ""//td[@data-test='EX_DIVIDEND_DATE-value']""),1),"""")"),"")</f>
        <v/>
      </c>
    </row>
    <row r="188" ht="15.75" customHeight="1">
      <c r="B188" s="3" t="str">
        <f>IFERROR(__xludf.DUMMYFUNCTION("IFERROR(GOOGLEFINANCE(A188,""yield"")*100,"""")"),"")</f>
        <v/>
      </c>
      <c r="C188" s="3" t="str">
        <f>IFERROR(__xludf.DUMMYFUNCTION("IFERROR(GOOGLEFINANCE(A188,""trail_dividend""),"""")"),"")</f>
        <v/>
      </c>
      <c r="D188" s="3" t="str">
        <f>IFERROR(__xludf.DUMMYFUNCTION("IFERROR(INDEX(IMPORTXML(""https://finance.yahoo.com/quote/""&amp;A188, ""//td[@data-test='EX_DIVIDEND_DATE-value']""),1),"""")"),"")</f>
        <v/>
      </c>
    </row>
    <row r="189" ht="15.75" customHeight="1">
      <c r="B189" s="3" t="str">
        <f>IFERROR(__xludf.DUMMYFUNCTION("IFERROR(GOOGLEFINANCE(A189,""yield"")*100,"""")"),"")</f>
        <v/>
      </c>
      <c r="C189" s="3" t="str">
        <f>IFERROR(__xludf.DUMMYFUNCTION("IFERROR(GOOGLEFINANCE(A189,""trail_dividend""),"""")"),"")</f>
        <v/>
      </c>
      <c r="D189" s="3" t="str">
        <f>IFERROR(__xludf.DUMMYFUNCTION("IFERROR(INDEX(IMPORTXML(""https://finance.yahoo.com/quote/""&amp;A189, ""//td[@data-test='EX_DIVIDEND_DATE-value']""),1),"""")"),"")</f>
        <v/>
      </c>
    </row>
    <row r="190" ht="15.75" customHeight="1">
      <c r="B190" s="3" t="str">
        <f>IFERROR(__xludf.DUMMYFUNCTION("IFERROR(GOOGLEFINANCE(A190,""yield"")*100,"""")"),"")</f>
        <v/>
      </c>
      <c r="C190" s="3" t="str">
        <f>IFERROR(__xludf.DUMMYFUNCTION("IFERROR(GOOGLEFINANCE(A190,""trail_dividend""),"""")"),"")</f>
        <v/>
      </c>
      <c r="D190" s="3" t="str">
        <f>IFERROR(__xludf.DUMMYFUNCTION("IFERROR(INDEX(IMPORTXML(""https://finance.yahoo.com/quote/""&amp;A190, ""//td[@data-test='EX_DIVIDEND_DATE-value']""),1),"""")"),"")</f>
        <v/>
      </c>
    </row>
    <row r="191" ht="15.75" customHeight="1">
      <c r="B191" s="3" t="str">
        <f>IFERROR(__xludf.DUMMYFUNCTION("IFERROR(GOOGLEFINANCE(A191,""yield"")*100,"""")"),"")</f>
        <v/>
      </c>
      <c r="C191" s="3" t="str">
        <f>IFERROR(__xludf.DUMMYFUNCTION("IFERROR(GOOGLEFINANCE(A191,""trail_dividend""),"""")"),"")</f>
        <v/>
      </c>
      <c r="D191" s="3" t="str">
        <f>IFERROR(__xludf.DUMMYFUNCTION("IFERROR(INDEX(IMPORTXML(""https://finance.yahoo.com/quote/""&amp;A191, ""//td[@data-test='EX_DIVIDEND_DATE-value']""),1),"""")"),"")</f>
        <v/>
      </c>
    </row>
    <row r="192" ht="15.75" customHeight="1">
      <c r="B192" s="3" t="str">
        <f>IFERROR(__xludf.DUMMYFUNCTION("IFERROR(GOOGLEFINANCE(A192,""yield"")*100,"""")"),"")</f>
        <v/>
      </c>
      <c r="C192" s="3" t="str">
        <f>IFERROR(__xludf.DUMMYFUNCTION("IFERROR(GOOGLEFINANCE(A192,""trail_dividend""),"""")"),"")</f>
        <v/>
      </c>
      <c r="D192" s="3" t="str">
        <f>IFERROR(__xludf.DUMMYFUNCTION("IFERROR(INDEX(IMPORTXML(""https://finance.yahoo.com/quote/""&amp;A192, ""//td[@data-test='EX_DIVIDEND_DATE-value']""),1),"""")"),"")</f>
        <v/>
      </c>
    </row>
    <row r="193" ht="15.75" customHeight="1">
      <c r="B193" s="3" t="str">
        <f>IFERROR(__xludf.DUMMYFUNCTION("IFERROR(GOOGLEFINANCE(A193,""yield"")*100,"""")"),"")</f>
        <v/>
      </c>
      <c r="C193" s="3" t="str">
        <f>IFERROR(__xludf.DUMMYFUNCTION("IFERROR(GOOGLEFINANCE(A193,""trail_dividend""),"""")"),"")</f>
        <v/>
      </c>
      <c r="D193" s="3" t="str">
        <f>IFERROR(__xludf.DUMMYFUNCTION("IFERROR(INDEX(IMPORTXML(""https://finance.yahoo.com/quote/""&amp;A193, ""//td[@data-test='EX_DIVIDEND_DATE-value']""),1),"""")"),"")</f>
        <v/>
      </c>
    </row>
    <row r="194" ht="15.75" customHeight="1">
      <c r="B194" s="3" t="str">
        <f>IFERROR(__xludf.DUMMYFUNCTION("IFERROR(GOOGLEFINANCE(A194,""yield"")*100,"""")"),"")</f>
        <v/>
      </c>
      <c r="C194" s="3" t="str">
        <f>IFERROR(__xludf.DUMMYFUNCTION("IFERROR(GOOGLEFINANCE(A194,""trail_dividend""),"""")"),"")</f>
        <v/>
      </c>
      <c r="D194" s="3" t="str">
        <f>IFERROR(__xludf.DUMMYFUNCTION("IFERROR(INDEX(IMPORTXML(""https://finance.yahoo.com/quote/""&amp;A194, ""//td[@data-test='EX_DIVIDEND_DATE-value']""),1),"""")"),"")</f>
        <v/>
      </c>
    </row>
    <row r="195" ht="15.75" customHeight="1">
      <c r="B195" s="3" t="str">
        <f>IFERROR(__xludf.DUMMYFUNCTION("IFERROR(GOOGLEFINANCE(A195,""yield"")*100,"""")"),"")</f>
        <v/>
      </c>
      <c r="C195" s="3" t="str">
        <f>IFERROR(__xludf.DUMMYFUNCTION("IFERROR(GOOGLEFINANCE(A195,""trail_dividend""),"""")"),"")</f>
        <v/>
      </c>
      <c r="D195" s="3" t="str">
        <f>IFERROR(__xludf.DUMMYFUNCTION("IFERROR(INDEX(IMPORTXML(""https://finance.yahoo.com/quote/""&amp;A195, ""//td[@data-test='EX_DIVIDEND_DATE-value']""),1),"""")"),"")</f>
        <v/>
      </c>
    </row>
    <row r="196" ht="15.75" customHeight="1">
      <c r="B196" s="3" t="str">
        <f>IFERROR(__xludf.DUMMYFUNCTION("IFERROR(GOOGLEFINANCE(A196,""yield"")*100,"""")"),"")</f>
        <v/>
      </c>
      <c r="C196" s="3" t="str">
        <f>IFERROR(__xludf.DUMMYFUNCTION("IFERROR(GOOGLEFINANCE(A196,""trail_dividend""),"""")"),"")</f>
        <v/>
      </c>
      <c r="D196" s="3" t="str">
        <f>IFERROR(__xludf.DUMMYFUNCTION("IFERROR(INDEX(IMPORTXML(""https://finance.yahoo.com/quote/""&amp;A196, ""//td[@data-test='EX_DIVIDEND_DATE-value']""),1),"""")"),"")</f>
        <v/>
      </c>
    </row>
    <row r="197" ht="15.75" customHeight="1">
      <c r="B197" s="3" t="str">
        <f>IFERROR(__xludf.DUMMYFUNCTION("IFERROR(GOOGLEFINANCE(A197,""yield"")*100,"""")"),"")</f>
        <v/>
      </c>
      <c r="C197" s="3" t="str">
        <f>IFERROR(__xludf.DUMMYFUNCTION("IFERROR(GOOGLEFINANCE(A197,""trail_dividend""),"""")"),"")</f>
        <v/>
      </c>
      <c r="D197" s="3" t="str">
        <f>IFERROR(__xludf.DUMMYFUNCTION("IFERROR(INDEX(IMPORTXML(""https://finance.yahoo.com/quote/""&amp;A197, ""//td[@data-test='EX_DIVIDEND_DATE-value']""),1),"""")"),"")</f>
        <v/>
      </c>
    </row>
    <row r="198" ht="15.75" customHeight="1">
      <c r="B198" s="3" t="str">
        <f>IFERROR(__xludf.DUMMYFUNCTION("IFERROR(GOOGLEFINANCE(A198,""yield"")*100,"""")"),"")</f>
        <v/>
      </c>
      <c r="C198" s="3" t="str">
        <f>IFERROR(__xludf.DUMMYFUNCTION("IFERROR(GOOGLEFINANCE(A198,""trail_dividend""),"""")"),"")</f>
        <v/>
      </c>
      <c r="D198" s="3" t="str">
        <f>IFERROR(__xludf.DUMMYFUNCTION("IFERROR(INDEX(IMPORTXML(""https://finance.yahoo.com/quote/""&amp;A198, ""//td[@data-test='EX_DIVIDEND_DATE-value']""),1),"""")"),"")</f>
        <v/>
      </c>
    </row>
    <row r="199" ht="15.75" customHeight="1">
      <c r="B199" s="3" t="str">
        <f>IFERROR(__xludf.DUMMYFUNCTION("IFERROR(GOOGLEFINANCE(A199,""yield"")*100,"""")"),"")</f>
        <v/>
      </c>
      <c r="C199" s="3" t="str">
        <f>IFERROR(__xludf.DUMMYFUNCTION("IFERROR(GOOGLEFINANCE(A199,""trail_dividend""),"""")"),"")</f>
        <v/>
      </c>
      <c r="D199" s="3" t="str">
        <f>IFERROR(__xludf.DUMMYFUNCTION("IFERROR(INDEX(IMPORTXML(""https://finance.yahoo.com/quote/""&amp;A199, ""//td[@data-test='EX_DIVIDEND_DATE-value']""),1),"""")"),"")</f>
        <v/>
      </c>
    </row>
    <row r="200" ht="15.75" customHeight="1">
      <c r="B200" s="3" t="str">
        <f>IFERROR(__xludf.DUMMYFUNCTION("IFERROR(GOOGLEFINANCE(A200,""yield"")*100,"""")"),"")</f>
        <v/>
      </c>
      <c r="C200" s="3" t="str">
        <f>IFERROR(__xludf.DUMMYFUNCTION("IFERROR(GOOGLEFINANCE(A200,""trail_dividend""),"""")"),"")</f>
        <v/>
      </c>
      <c r="D200" s="3" t="str">
        <f>IFERROR(__xludf.DUMMYFUNCTION("IFERROR(INDEX(IMPORTXML(""https://finance.yahoo.com/quote/""&amp;A200, ""//td[@data-test='EX_DIVIDEND_DATE-value']""),1),"""")"),"")</f>
        <v/>
      </c>
    </row>
    <row r="201" ht="15.75" customHeight="1">
      <c r="B201" s="3" t="str">
        <f>IFERROR(__xludf.DUMMYFUNCTION("IFERROR(GOOGLEFINANCE(A201,""yield"")*100,"""")"),"")</f>
        <v/>
      </c>
      <c r="C201" s="3" t="str">
        <f>IFERROR(__xludf.DUMMYFUNCTION("IFERROR(GOOGLEFINANCE(A201,""trail_dividend""),"""")"),"")</f>
        <v/>
      </c>
      <c r="D201" s="3" t="str">
        <f>IFERROR(__xludf.DUMMYFUNCTION("IFERROR(INDEX(IMPORTXML(""https://finance.yahoo.com/quote/""&amp;A201, ""//td[@data-test='EX_DIVIDEND_DATE-value']""),1),"""")"),"")</f>
        <v/>
      </c>
    </row>
    <row r="202" ht="15.75" customHeight="1">
      <c r="B202" s="3" t="str">
        <f>IFERROR(__xludf.DUMMYFUNCTION("IFERROR(GOOGLEFINANCE(A202,""yield"")*100,"""")"),"")</f>
        <v/>
      </c>
      <c r="C202" s="3" t="str">
        <f>IFERROR(__xludf.DUMMYFUNCTION("IFERROR(GOOGLEFINANCE(A202,""trail_dividend""),"""")"),"")</f>
        <v/>
      </c>
      <c r="D202" s="3" t="str">
        <f>IFERROR(__xludf.DUMMYFUNCTION("IFERROR(INDEX(IMPORTXML(""https://finance.yahoo.com/quote/""&amp;A202, ""//td[@data-test='EX_DIVIDEND_DATE-value']""),1),"""")"),"")</f>
        <v/>
      </c>
    </row>
    <row r="203" ht="15.75" customHeight="1">
      <c r="B203" s="3" t="str">
        <f>IFERROR(__xludf.DUMMYFUNCTION("IFERROR(GOOGLEFINANCE(A203,""yield"")*100,"""")"),"")</f>
        <v/>
      </c>
      <c r="C203" s="3" t="str">
        <f>IFERROR(__xludf.DUMMYFUNCTION("IFERROR(GOOGLEFINANCE(A203,""trail_dividend""),"""")"),"")</f>
        <v/>
      </c>
      <c r="D203" s="3" t="str">
        <f>IFERROR(__xludf.DUMMYFUNCTION("IFERROR(INDEX(IMPORTXML(""https://finance.yahoo.com/quote/""&amp;A203, ""//td[@data-test='EX_DIVIDEND_DATE-value']""),1),"""")"),"")</f>
        <v/>
      </c>
    </row>
    <row r="204" ht="15.75" customHeight="1">
      <c r="B204" s="3" t="str">
        <f>IFERROR(__xludf.DUMMYFUNCTION("IFERROR(GOOGLEFINANCE(A204,""yield"")*100,"""")"),"")</f>
        <v/>
      </c>
      <c r="C204" s="3" t="str">
        <f>IFERROR(__xludf.DUMMYFUNCTION("IFERROR(GOOGLEFINANCE(A204,""trail_dividend""),"""")"),"")</f>
        <v/>
      </c>
      <c r="D204" s="3" t="str">
        <f>IFERROR(__xludf.DUMMYFUNCTION("IFERROR(INDEX(IMPORTXML(""https://finance.yahoo.com/quote/""&amp;A204, ""//td[@data-test='EX_DIVIDEND_DATE-value']""),1),"""")"),"")</f>
        <v/>
      </c>
    </row>
    <row r="205" ht="15.75" customHeight="1">
      <c r="B205" s="3" t="str">
        <f>IFERROR(__xludf.DUMMYFUNCTION("IFERROR(GOOGLEFINANCE(A205,""yield"")*100,"""")"),"")</f>
        <v/>
      </c>
      <c r="C205" s="3" t="str">
        <f>IFERROR(__xludf.DUMMYFUNCTION("IFERROR(GOOGLEFINANCE(A205,""trail_dividend""),"""")"),"")</f>
        <v/>
      </c>
      <c r="D205" s="3" t="str">
        <f>IFERROR(__xludf.DUMMYFUNCTION("IFERROR(INDEX(IMPORTXML(""https://finance.yahoo.com/quote/""&amp;A205, ""//td[@data-test='EX_DIVIDEND_DATE-value']""),1),"""")"),"")</f>
        <v/>
      </c>
    </row>
    <row r="206" ht="15.75" customHeight="1">
      <c r="B206" s="3" t="str">
        <f>IFERROR(__xludf.DUMMYFUNCTION("IFERROR(GOOGLEFINANCE(A206,""yield"")*100,"""")"),"")</f>
        <v/>
      </c>
      <c r="C206" s="3" t="str">
        <f>IFERROR(__xludf.DUMMYFUNCTION("IFERROR(GOOGLEFINANCE(A206,""trail_dividend""),"""")"),"")</f>
        <v/>
      </c>
      <c r="D206" s="3" t="str">
        <f>IFERROR(__xludf.DUMMYFUNCTION("IFERROR(INDEX(IMPORTXML(""https://finance.yahoo.com/quote/""&amp;A206, ""//td[@data-test='EX_DIVIDEND_DATE-value']""),1),"""")"),"")</f>
        <v/>
      </c>
    </row>
    <row r="207" ht="15.75" customHeight="1">
      <c r="B207" s="3" t="str">
        <f>IFERROR(__xludf.DUMMYFUNCTION("IFERROR(GOOGLEFINANCE(A207,""yield"")*100,"""")"),"")</f>
        <v/>
      </c>
      <c r="C207" s="3" t="str">
        <f>IFERROR(__xludf.DUMMYFUNCTION("IFERROR(GOOGLEFINANCE(A207,""trail_dividend""),"""")"),"")</f>
        <v/>
      </c>
      <c r="D207" s="3" t="str">
        <f>IFERROR(__xludf.DUMMYFUNCTION("IFERROR(INDEX(IMPORTXML(""https://finance.yahoo.com/quote/""&amp;A207, ""//td[@data-test='EX_DIVIDEND_DATE-value']""),1),"""")"),"")</f>
        <v/>
      </c>
    </row>
    <row r="208" ht="15.75" customHeight="1">
      <c r="B208" s="3" t="str">
        <f>IFERROR(__xludf.DUMMYFUNCTION("IFERROR(GOOGLEFINANCE(A208,""yield"")*100,"""")"),"")</f>
        <v/>
      </c>
      <c r="C208" s="3" t="str">
        <f>IFERROR(__xludf.DUMMYFUNCTION("IFERROR(GOOGLEFINANCE(A208,""trail_dividend""),"""")"),"")</f>
        <v/>
      </c>
      <c r="D208" s="3" t="str">
        <f>IFERROR(__xludf.DUMMYFUNCTION("IFERROR(INDEX(IMPORTXML(""https://finance.yahoo.com/quote/""&amp;A208, ""//td[@data-test='EX_DIVIDEND_DATE-value']""),1),"""")"),"")</f>
        <v/>
      </c>
    </row>
    <row r="209" ht="15.75" customHeight="1">
      <c r="B209" s="3" t="str">
        <f>IFERROR(__xludf.DUMMYFUNCTION("IFERROR(GOOGLEFINANCE(A209,""yield"")*100,"""")"),"")</f>
        <v/>
      </c>
      <c r="C209" s="3" t="str">
        <f>IFERROR(__xludf.DUMMYFUNCTION("IFERROR(GOOGLEFINANCE(A209,""trail_dividend""),"""")"),"")</f>
        <v/>
      </c>
      <c r="D209" s="3" t="str">
        <f>IFERROR(__xludf.DUMMYFUNCTION("IFERROR(INDEX(IMPORTXML(""https://finance.yahoo.com/quote/""&amp;A209, ""//td[@data-test='EX_DIVIDEND_DATE-value']""),1),"""")"),"")</f>
        <v/>
      </c>
    </row>
    <row r="210" ht="15.75" customHeight="1">
      <c r="B210" s="3" t="str">
        <f>IFERROR(__xludf.DUMMYFUNCTION("IFERROR(GOOGLEFINANCE(A210,""yield"")*100,"""")"),"")</f>
        <v/>
      </c>
      <c r="C210" s="3" t="str">
        <f>IFERROR(__xludf.DUMMYFUNCTION("IFERROR(GOOGLEFINANCE(A210,""trail_dividend""),"""")"),"")</f>
        <v/>
      </c>
      <c r="D210" s="3" t="str">
        <f>IFERROR(__xludf.DUMMYFUNCTION("IFERROR(INDEX(IMPORTXML(""https://finance.yahoo.com/quote/""&amp;A210, ""//td[@data-test='EX_DIVIDEND_DATE-value']""),1),"""")"),"")</f>
        <v/>
      </c>
    </row>
    <row r="211" ht="15.75" customHeight="1">
      <c r="B211" s="3" t="str">
        <f>IFERROR(__xludf.DUMMYFUNCTION("IFERROR(GOOGLEFINANCE(A211,""yield"")*100,"""")"),"")</f>
        <v/>
      </c>
      <c r="C211" s="3" t="str">
        <f>IFERROR(__xludf.DUMMYFUNCTION("IFERROR(GOOGLEFINANCE(A211,""trail_dividend""),"""")"),"")</f>
        <v/>
      </c>
      <c r="D211" s="3" t="str">
        <f>IFERROR(__xludf.DUMMYFUNCTION("IFERROR(INDEX(IMPORTXML(""https://finance.yahoo.com/quote/""&amp;A211, ""//td[@data-test='EX_DIVIDEND_DATE-value']""),1),"""")"),"")</f>
        <v/>
      </c>
    </row>
    <row r="212" ht="15.75" customHeight="1">
      <c r="B212" s="3" t="str">
        <f>IFERROR(__xludf.DUMMYFUNCTION("IFERROR(GOOGLEFINANCE(A212,""yield"")*100,"""")"),"")</f>
        <v/>
      </c>
      <c r="C212" s="3" t="str">
        <f>IFERROR(__xludf.DUMMYFUNCTION("IFERROR(GOOGLEFINANCE(A212,""trail_dividend""),"""")"),"")</f>
        <v/>
      </c>
      <c r="D212" s="3" t="str">
        <f>IFERROR(__xludf.DUMMYFUNCTION("IFERROR(INDEX(IMPORTXML(""https://finance.yahoo.com/quote/""&amp;A212, ""//td[@data-test='EX_DIVIDEND_DATE-value']""),1),"""")"),"")</f>
        <v/>
      </c>
    </row>
    <row r="213" ht="15.75" customHeight="1">
      <c r="B213" s="3" t="str">
        <f>IFERROR(__xludf.DUMMYFUNCTION("IFERROR(GOOGLEFINANCE(A213,""yield"")*100,"""")"),"")</f>
        <v/>
      </c>
      <c r="C213" s="3" t="str">
        <f>IFERROR(__xludf.DUMMYFUNCTION("IFERROR(GOOGLEFINANCE(A213,""trail_dividend""),"""")"),"")</f>
        <v/>
      </c>
      <c r="D213" s="3" t="str">
        <f>IFERROR(__xludf.DUMMYFUNCTION("IFERROR(INDEX(IMPORTXML(""https://finance.yahoo.com/quote/""&amp;A213, ""//td[@data-test='EX_DIVIDEND_DATE-value']""),1),"""")"),"")</f>
        <v/>
      </c>
    </row>
    <row r="214" ht="15.75" customHeight="1">
      <c r="B214" s="3" t="str">
        <f>IFERROR(__xludf.DUMMYFUNCTION("IFERROR(GOOGLEFINANCE(A214,""yield"")*100,"""")"),"")</f>
        <v/>
      </c>
      <c r="C214" s="3" t="str">
        <f>IFERROR(__xludf.DUMMYFUNCTION("IFERROR(GOOGLEFINANCE(A214,""trail_dividend""),"""")"),"")</f>
        <v/>
      </c>
      <c r="D214" s="3" t="str">
        <f>IFERROR(__xludf.DUMMYFUNCTION("IFERROR(INDEX(IMPORTXML(""https://finance.yahoo.com/quote/""&amp;A214, ""//td[@data-test='EX_DIVIDEND_DATE-value']""),1),"""")"),"")</f>
        <v/>
      </c>
    </row>
    <row r="215" ht="15.75" customHeight="1">
      <c r="B215" s="3" t="str">
        <f>IFERROR(__xludf.DUMMYFUNCTION("IFERROR(GOOGLEFINANCE(A215,""yield"")*100,"""")"),"")</f>
        <v/>
      </c>
      <c r="C215" s="3" t="str">
        <f>IFERROR(__xludf.DUMMYFUNCTION("IFERROR(GOOGLEFINANCE(A215,""trail_dividend""),"""")"),"")</f>
        <v/>
      </c>
      <c r="D215" s="3" t="str">
        <f>IFERROR(__xludf.DUMMYFUNCTION("IFERROR(INDEX(IMPORTXML(""https://finance.yahoo.com/quote/""&amp;A215, ""//td[@data-test='EX_DIVIDEND_DATE-value']""),1),"""")"),"")</f>
        <v/>
      </c>
    </row>
    <row r="216" ht="15.75" customHeight="1">
      <c r="B216" s="3" t="str">
        <f>IFERROR(__xludf.DUMMYFUNCTION("IFERROR(GOOGLEFINANCE(A216,""yield"")*100,"""")"),"")</f>
        <v/>
      </c>
      <c r="C216" s="3" t="str">
        <f>IFERROR(__xludf.DUMMYFUNCTION("IFERROR(GOOGLEFINANCE(A216,""trail_dividend""),"""")"),"")</f>
        <v/>
      </c>
      <c r="D216" s="3" t="str">
        <f>IFERROR(__xludf.DUMMYFUNCTION("IFERROR(INDEX(IMPORTXML(""https://finance.yahoo.com/quote/""&amp;A216, ""//td[@data-test='EX_DIVIDEND_DATE-value']""),1),"""")"),"")</f>
        <v/>
      </c>
    </row>
    <row r="217" ht="15.75" customHeight="1">
      <c r="B217" s="3" t="str">
        <f>IFERROR(__xludf.DUMMYFUNCTION("IFERROR(GOOGLEFINANCE(A217,""yield"")*100,"""")"),"")</f>
        <v/>
      </c>
      <c r="C217" s="3" t="str">
        <f>IFERROR(__xludf.DUMMYFUNCTION("IFERROR(GOOGLEFINANCE(A217,""trail_dividend""),"""")"),"")</f>
        <v/>
      </c>
      <c r="D217" s="3" t="str">
        <f>IFERROR(__xludf.DUMMYFUNCTION("IFERROR(INDEX(IMPORTXML(""https://finance.yahoo.com/quote/""&amp;A217, ""//td[@data-test='EX_DIVIDEND_DATE-value']""),1),"""")"),"")</f>
        <v/>
      </c>
    </row>
    <row r="218" ht="15.75" customHeight="1">
      <c r="B218" s="3" t="str">
        <f>IFERROR(__xludf.DUMMYFUNCTION("IFERROR(GOOGLEFINANCE(A218,""yield"")*100,"""")"),"")</f>
        <v/>
      </c>
      <c r="C218" s="3" t="str">
        <f>IFERROR(__xludf.DUMMYFUNCTION("IFERROR(GOOGLEFINANCE(A218,""trail_dividend""),"""")"),"")</f>
        <v/>
      </c>
      <c r="D218" s="3" t="str">
        <f>IFERROR(__xludf.DUMMYFUNCTION("IFERROR(INDEX(IMPORTXML(""https://finance.yahoo.com/quote/""&amp;A218, ""//td[@data-test='EX_DIVIDEND_DATE-value']""),1),"""")"),"")</f>
        <v/>
      </c>
    </row>
    <row r="219" ht="15.75" customHeight="1">
      <c r="B219" s="3" t="str">
        <f>IFERROR(__xludf.DUMMYFUNCTION("IFERROR(GOOGLEFINANCE(A219,""yield"")*100,"""")"),"")</f>
        <v/>
      </c>
      <c r="C219" s="3" t="str">
        <f>IFERROR(__xludf.DUMMYFUNCTION("IFERROR(GOOGLEFINANCE(A219,""trail_dividend""),"""")"),"")</f>
        <v/>
      </c>
      <c r="D219" s="3" t="str">
        <f>IFERROR(__xludf.DUMMYFUNCTION("IFERROR(INDEX(IMPORTXML(""https://finance.yahoo.com/quote/""&amp;A219, ""//td[@data-test='EX_DIVIDEND_DATE-value']""),1),"""")"),"")</f>
        <v/>
      </c>
    </row>
    <row r="220" ht="15.75" customHeight="1">
      <c r="B220" s="3" t="str">
        <f>IFERROR(__xludf.DUMMYFUNCTION("IFERROR(GOOGLEFINANCE(A220,""yield"")*100,"""")"),"")</f>
        <v/>
      </c>
      <c r="C220" s="3" t="str">
        <f>IFERROR(__xludf.DUMMYFUNCTION("IFERROR(GOOGLEFINANCE(A220,""trail_dividend""),"""")"),"")</f>
        <v/>
      </c>
      <c r="D220" s="3" t="str">
        <f>IFERROR(__xludf.DUMMYFUNCTION("IFERROR(INDEX(IMPORTXML(""https://finance.yahoo.com/quote/""&amp;A220, ""//td[@data-test='EX_DIVIDEND_DATE-value']""),1),"""")"),"")</f>
        <v/>
      </c>
    </row>
    <row r="221" ht="15.75" customHeight="1">
      <c r="B221" s="3" t="str">
        <f>IFERROR(__xludf.DUMMYFUNCTION("IFERROR(GOOGLEFINANCE(A221,""yield"")*100,"""")"),"")</f>
        <v/>
      </c>
      <c r="C221" s="3" t="str">
        <f>IFERROR(__xludf.DUMMYFUNCTION("IFERROR(GOOGLEFINANCE(A221,""trail_dividend""),"""")"),"")</f>
        <v/>
      </c>
      <c r="D221" s="3" t="str">
        <f>IFERROR(__xludf.DUMMYFUNCTION("IFERROR(INDEX(IMPORTXML(""https://finance.yahoo.com/quote/""&amp;A221, ""//td[@data-test='EX_DIVIDEND_DATE-value']""),1),"""")"),"")</f>
        <v/>
      </c>
    </row>
    <row r="222" ht="15.75" customHeight="1">
      <c r="B222" s="3" t="str">
        <f>IFERROR(__xludf.DUMMYFUNCTION("IFERROR(GOOGLEFINANCE(A222,""yield"")*100,"""")"),"")</f>
        <v/>
      </c>
      <c r="C222" s="3" t="str">
        <f>IFERROR(__xludf.DUMMYFUNCTION("IFERROR(GOOGLEFINANCE(A222,""trail_dividend""),"""")"),"")</f>
        <v/>
      </c>
      <c r="D222" s="3" t="str">
        <f>IFERROR(__xludf.DUMMYFUNCTION("IFERROR(INDEX(IMPORTXML(""https://finance.yahoo.com/quote/""&amp;A222, ""//td[@data-test='EX_DIVIDEND_DATE-value']""),1),"""")"),"")</f>
        <v/>
      </c>
    </row>
    <row r="223" ht="15.75" customHeight="1">
      <c r="B223" s="3" t="str">
        <f>IFERROR(__xludf.DUMMYFUNCTION("IFERROR(GOOGLEFINANCE(A223,""yield"")*100,"""")"),"")</f>
        <v/>
      </c>
      <c r="C223" s="3" t="str">
        <f>IFERROR(__xludf.DUMMYFUNCTION("IFERROR(GOOGLEFINANCE(A223,""trail_dividend""),"""")"),"")</f>
        <v/>
      </c>
      <c r="D223" s="3" t="str">
        <f>IFERROR(__xludf.DUMMYFUNCTION("IFERROR(INDEX(IMPORTXML(""https://finance.yahoo.com/quote/""&amp;A223, ""//td[@data-test='EX_DIVIDEND_DATE-value']""),1),"""")"),"")</f>
        <v/>
      </c>
    </row>
    <row r="224" ht="15.75" customHeight="1">
      <c r="B224" s="3" t="str">
        <f>IFERROR(__xludf.DUMMYFUNCTION("IFERROR(GOOGLEFINANCE(A224,""yield"")*100,"""")"),"")</f>
        <v/>
      </c>
      <c r="C224" s="3" t="str">
        <f>IFERROR(__xludf.DUMMYFUNCTION("IFERROR(GOOGLEFINANCE(A224,""trail_dividend""),"""")"),"")</f>
        <v/>
      </c>
      <c r="D224" s="3" t="str">
        <f>IFERROR(__xludf.DUMMYFUNCTION("IFERROR(INDEX(IMPORTXML(""https://finance.yahoo.com/quote/""&amp;A224, ""//td[@data-test='EX_DIVIDEND_DATE-value']""),1),"""")"),"")</f>
        <v/>
      </c>
    </row>
    <row r="225" ht="15.75" customHeight="1">
      <c r="B225" s="3" t="str">
        <f>IFERROR(__xludf.DUMMYFUNCTION("IFERROR(GOOGLEFINANCE(A225,""yield"")*100,"""")"),"")</f>
        <v/>
      </c>
      <c r="C225" s="3" t="str">
        <f>IFERROR(__xludf.DUMMYFUNCTION("IFERROR(GOOGLEFINANCE(A225,""trail_dividend""),"""")"),"")</f>
        <v/>
      </c>
      <c r="D225" s="3" t="str">
        <f>IFERROR(__xludf.DUMMYFUNCTION("IFERROR(INDEX(IMPORTXML(""https://finance.yahoo.com/quote/""&amp;A225, ""//td[@data-test='EX_DIVIDEND_DATE-value']""),1),"""")"),"")</f>
        <v/>
      </c>
    </row>
    <row r="226" ht="15.75" customHeight="1">
      <c r="B226" s="3" t="str">
        <f>IFERROR(__xludf.DUMMYFUNCTION("IFERROR(GOOGLEFINANCE(A226,""yield"")*100,"""")"),"")</f>
        <v/>
      </c>
      <c r="C226" s="3" t="str">
        <f>IFERROR(__xludf.DUMMYFUNCTION("IFERROR(GOOGLEFINANCE(A226,""trail_dividend""),"""")"),"")</f>
        <v/>
      </c>
      <c r="D226" s="3" t="str">
        <f>IFERROR(__xludf.DUMMYFUNCTION("IFERROR(INDEX(IMPORTXML(""https://finance.yahoo.com/quote/""&amp;A226, ""//td[@data-test='EX_DIVIDEND_DATE-value']""),1),"""")"),"")</f>
        <v/>
      </c>
    </row>
    <row r="227" ht="15.75" customHeight="1">
      <c r="B227" s="3" t="str">
        <f>IFERROR(__xludf.DUMMYFUNCTION("IFERROR(GOOGLEFINANCE(A227,""yield"")*100,"""")"),"")</f>
        <v/>
      </c>
      <c r="C227" s="3" t="str">
        <f>IFERROR(__xludf.DUMMYFUNCTION("IFERROR(GOOGLEFINANCE(A227,""trail_dividend""),"""")"),"")</f>
        <v/>
      </c>
      <c r="D227" s="3" t="str">
        <f>IFERROR(__xludf.DUMMYFUNCTION("IFERROR(INDEX(IMPORTXML(""https://finance.yahoo.com/quote/""&amp;A227, ""//td[@data-test='EX_DIVIDEND_DATE-value']""),1),"""")"),"")</f>
        <v/>
      </c>
    </row>
    <row r="228" ht="15.75" customHeight="1">
      <c r="B228" s="3" t="str">
        <f>IFERROR(__xludf.DUMMYFUNCTION("IFERROR(GOOGLEFINANCE(A228,""yield"")*100,"""")"),"")</f>
        <v/>
      </c>
      <c r="C228" s="3" t="str">
        <f>IFERROR(__xludf.DUMMYFUNCTION("IFERROR(GOOGLEFINANCE(A228,""trail_dividend""),"""")"),"")</f>
        <v/>
      </c>
      <c r="D228" s="3" t="str">
        <f>IFERROR(__xludf.DUMMYFUNCTION("IFERROR(INDEX(IMPORTXML(""https://finance.yahoo.com/quote/""&amp;A228, ""//td[@data-test='EX_DIVIDEND_DATE-value']""),1),"""")"),"")</f>
        <v/>
      </c>
    </row>
    <row r="229" ht="15.75" customHeight="1">
      <c r="B229" s="3" t="str">
        <f>IFERROR(__xludf.DUMMYFUNCTION("IFERROR(GOOGLEFINANCE(A229,""yield"")*100,"""")"),"")</f>
        <v/>
      </c>
      <c r="C229" s="3" t="str">
        <f>IFERROR(__xludf.DUMMYFUNCTION("IFERROR(GOOGLEFINANCE(A229,""trail_dividend""),"""")"),"")</f>
        <v/>
      </c>
      <c r="D229" s="3" t="str">
        <f>IFERROR(__xludf.DUMMYFUNCTION("IFERROR(INDEX(IMPORTXML(""https://finance.yahoo.com/quote/""&amp;A229, ""//td[@data-test='EX_DIVIDEND_DATE-value']""),1),"""")"),"")</f>
        <v/>
      </c>
    </row>
    <row r="230" ht="15.75" customHeight="1">
      <c r="B230" s="3" t="str">
        <f>IFERROR(__xludf.DUMMYFUNCTION("IFERROR(GOOGLEFINANCE(A230,""yield"")*100,"""")"),"")</f>
        <v/>
      </c>
      <c r="C230" s="3" t="str">
        <f>IFERROR(__xludf.DUMMYFUNCTION("IFERROR(GOOGLEFINANCE(A230,""trail_dividend""),"""")"),"")</f>
        <v/>
      </c>
      <c r="D230" s="3" t="str">
        <f>IFERROR(__xludf.DUMMYFUNCTION("IFERROR(INDEX(IMPORTXML(""https://finance.yahoo.com/quote/""&amp;A230, ""//td[@data-test='EX_DIVIDEND_DATE-value']""),1),"""")"),"")</f>
        <v/>
      </c>
    </row>
    <row r="231" ht="15.75" customHeight="1">
      <c r="B231" s="3" t="str">
        <f>IFERROR(__xludf.DUMMYFUNCTION("IFERROR(GOOGLEFINANCE(A231,""yield"")*100,"""")"),"")</f>
        <v/>
      </c>
      <c r="C231" s="3" t="str">
        <f>IFERROR(__xludf.DUMMYFUNCTION("IFERROR(GOOGLEFINANCE(A231,""trail_dividend""),"""")"),"")</f>
        <v/>
      </c>
      <c r="D231" s="3" t="str">
        <f>IFERROR(__xludf.DUMMYFUNCTION("IFERROR(INDEX(IMPORTXML(""https://finance.yahoo.com/quote/""&amp;A231, ""//td[@data-test='EX_DIVIDEND_DATE-value']""),1),"""")"),"")</f>
        <v/>
      </c>
    </row>
    <row r="232" ht="15.75" customHeight="1">
      <c r="B232" s="3" t="str">
        <f>IFERROR(__xludf.DUMMYFUNCTION("IFERROR(GOOGLEFINANCE(A232,""yield"")*100,"""")"),"")</f>
        <v/>
      </c>
      <c r="C232" s="3" t="str">
        <f>IFERROR(__xludf.DUMMYFUNCTION("IFERROR(GOOGLEFINANCE(A232,""trail_dividend""),"""")"),"")</f>
        <v/>
      </c>
      <c r="D232" s="3" t="str">
        <f>IFERROR(__xludf.DUMMYFUNCTION("IFERROR(INDEX(IMPORTXML(""https://finance.yahoo.com/quote/""&amp;A232, ""//td[@data-test='EX_DIVIDEND_DATE-value']""),1),"""")"),"")</f>
        <v/>
      </c>
    </row>
    <row r="233" ht="15.75" customHeight="1">
      <c r="B233" s="3" t="str">
        <f>IFERROR(__xludf.DUMMYFUNCTION("IFERROR(GOOGLEFINANCE(A233,""yield"")*100,"""")"),"")</f>
        <v/>
      </c>
      <c r="C233" s="3" t="str">
        <f>IFERROR(__xludf.DUMMYFUNCTION("IFERROR(GOOGLEFINANCE(A233,""trail_dividend""),"""")"),"")</f>
        <v/>
      </c>
      <c r="D233" s="3" t="str">
        <f>IFERROR(__xludf.DUMMYFUNCTION("IFERROR(INDEX(IMPORTXML(""https://finance.yahoo.com/quote/""&amp;A233, ""//td[@data-test='EX_DIVIDEND_DATE-value']""),1),"""")"),"")</f>
        <v/>
      </c>
    </row>
    <row r="234" ht="15.75" customHeight="1">
      <c r="B234" s="3" t="str">
        <f>IFERROR(__xludf.DUMMYFUNCTION("IFERROR(GOOGLEFINANCE(A234,""yield"")*100,"""")"),"")</f>
        <v/>
      </c>
      <c r="C234" s="3" t="str">
        <f>IFERROR(__xludf.DUMMYFUNCTION("IFERROR(GOOGLEFINANCE(A234,""trail_dividend""),"""")"),"")</f>
        <v/>
      </c>
      <c r="D234" s="3" t="str">
        <f>IFERROR(__xludf.DUMMYFUNCTION("IFERROR(INDEX(IMPORTXML(""https://finance.yahoo.com/quote/""&amp;A234, ""//td[@data-test='EX_DIVIDEND_DATE-value']""),1),"""")"),"")</f>
        <v/>
      </c>
    </row>
    <row r="235" ht="15.75" customHeight="1">
      <c r="B235" s="3" t="str">
        <f>IFERROR(__xludf.DUMMYFUNCTION("IFERROR(GOOGLEFINANCE(A235,""yield"")*100,"""")"),"")</f>
        <v/>
      </c>
      <c r="C235" s="3" t="str">
        <f>IFERROR(__xludf.DUMMYFUNCTION("IFERROR(GOOGLEFINANCE(A235,""trail_dividend""),"""")"),"")</f>
        <v/>
      </c>
      <c r="D235" s="3" t="str">
        <f>IFERROR(__xludf.DUMMYFUNCTION("IFERROR(INDEX(IMPORTXML(""https://finance.yahoo.com/quote/""&amp;A235, ""//td[@data-test='EX_DIVIDEND_DATE-value']""),1),"""")"),"")</f>
        <v/>
      </c>
    </row>
    <row r="236" ht="15.75" customHeight="1">
      <c r="B236" s="3" t="str">
        <f>IFERROR(__xludf.DUMMYFUNCTION("IFERROR(GOOGLEFINANCE(A236,""yield"")*100,"""")"),"")</f>
        <v/>
      </c>
      <c r="C236" s="3" t="str">
        <f>IFERROR(__xludf.DUMMYFUNCTION("IFERROR(GOOGLEFINANCE(A236,""trail_dividend""),"""")"),"")</f>
        <v/>
      </c>
      <c r="D236" s="3" t="str">
        <f>IFERROR(__xludf.DUMMYFUNCTION("IFERROR(INDEX(IMPORTXML(""https://finance.yahoo.com/quote/""&amp;A236, ""//td[@data-test='EX_DIVIDEND_DATE-value']""),1),"""")"),"")</f>
        <v/>
      </c>
    </row>
    <row r="237" ht="15.75" customHeight="1">
      <c r="B237" s="3" t="str">
        <f>IFERROR(__xludf.DUMMYFUNCTION("IFERROR(GOOGLEFINANCE(A237,""yield"")*100,"""")"),"")</f>
        <v/>
      </c>
      <c r="C237" s="3" t="str">
        <f>IFERROR(__xludf.DUMMYFUNCTION("IFERROR(GOOGLEFINANCE(A237,""trail_dividend""),"""")"),"")</f>
        <v/>
      </c>
      <c r="D237" s="3" t="str">
        <f>IFERROR(__xludf.DUMMYFUNCTION("IFERROR(INDEX(IMPORTXML(""https://finance.yahoo.com/quote/""&amp;A237, ""//td[@data-test='EX_DIVIDEND_DATE-value']""),1),"""")"),"")</f>
        <v/>
      </c>
    </row>
    <row r="238" ht="15.75" customHeight="1">
      <c r="B238" s="3" t="str">
        <f>IFERROR(__xludf.DUMMYFUNCTION("IFERROR(GOOGLEFINANCE(A238,""yield"")*100,"""")"),"")</f>
        <v/>
      </c>
      <c r="C238" s="3" t="str">
        <f>IFERROR(__xludf.DUMMYFUNCTION("IFERROR(GOOGLEFINANCE(A238,""trail_dividend""),"""")"),"")</f>
        <v/>
      </c>
      <c r="D238" s="3" t="str">
        <f>IFERROR(__xludf.DUMMYFUNCTION("IFERROR(INDEX(IMPORTXML(""https://finance.yahoo.com/quote/""&amp;A238, ""//td[@data-test='EX_DIVIDEND_DATE-value']""),1),"""")"),"")</f>
        <v/>
      </c>
    </row>
    <row r="239" ht="15.75" customHeight="1">
      <c r="B239" s="3" t="str">
        <f>IFERROR(__xludf.DUMMYFUNCTION("IFERROR(GOOGLEFINANCE(A239,""yield"")*100,"""")"),"")</f>
        <v/>
      </c>
      <c r="C239" s="3" t="str">
        <f>IFERROR(__xludf.DUMMYFUNCTION("IFERROR(GOOGLEFINANCE(A239,""trail_dividend""),"""")"),"")</f>
        <v/>
      </c>
      <c r="D239" s="3" t="str">
        <f>IFERROR(__xludf.DUMMYFUNCTION("IFERROR(INDEX(IMPORTXML(""https://finance.yahoo.com/quote/""&amp;A239, ""//td[@data-test='EX_DIVIDEND_DATE-value']""),1),"""")"),"")</f>
        <v/>
      </c>
    </row>
    <row r="240" ht="15.75" customHeight="1">
      <c r="B240" s="3" t="str">
        <f>IFERROR(__xludf.DUMMYFUNCTION("IFERROR(GOOGLEFINANCE(A240,""yield"")*100,"""")"),"")</f>
        <v/>
      </c>
      <c r="C240" s="3" t="str">
        <f>IFERROR(__xludf.DUMMYFUNCTION("IFERROR(GOOGLEFINANCE(A240,""trail_dividend""),"""")"),"")</f>
        <v/>
      </c>
      <c r="D240" s="3" t="str">
        <f>IFERROR(__xludf.DUMMYFUNCTION("IFERROR(INDEX(IMPORTXML(""https://finance.yahoo.com/quote/""&amp;A240, ""//td[@data-test='EX_DIVIDEND_DATE-value']""),1),"""")"),"")</f>
        <v/>
      </c>
    </row>
    <row r="241" ht="15.75" customHeight="1">
      <c r="B241" s="3" t="str">
        <f>IFERROR(__xludf.DUMMYFUNCTION("IFERROR(GOOGLEFINANCE(A241,""yield"")*100,"""")"),"")</f>
        <v/>
      </c>
      <c r="C241" s="3" t="str">
        <f>IFERROR(__xludf.DUMMYFUNCTION("IFERROR(GOOGLEFINANCE(A241,""trail_dividend""),"""")"),"")</f>
        <v/>
      </c>
      <c r="D241" s="3" t="str">
        <f>IFERROR(__xludf.DUMMYFUNCTION("IFERROR(INDEX(IMPORTXML(""https://finance.yahoo.com/quote/""&amp;A241, ""//td[@data-test='EX_DIVIDEND_DATE-value']""),1),"""")"),"")</f>
        <v/>
      </c>
    </row>
    <row r="242" ht="15.75" customHeight="1">
      <c r="B242" s="3" t="str">
        <f>IFERROR(__xludf.DUMMYFUNCTION("IFERROR(GOOGLEFINANCE(A242,""yield"")*100,"""")"),"")</f>
        <v/>
      </c>
      <c r="C242" s="3" t="str">
        <f>IFERROR(__xludf.DUMMYFUNCTION("IFERROR(GOOGLEFINANCE(A242,""trail_dividend""),"""")"),"")</f>
        <v/>
      </c>
      <c r="D242" s="3" t="str">
        <f>IFERROR(__xludf.DUMMYFUNCTION("IFERROR(INDEX(IMPORTXML(""https://finance.yahoo.com/quote/""&amp;A242, ""//td[@data-test='EX_DIVIDEND_DATE-value']""),1),"""")"),"")</f>
        <v/>
      </c>
    </row>
    <row r="243" ht="15.75" customHeight="1">
      <c r="B243" s="3" t="str">
        <f>IFERROR(__xludf.DUMMYFUNCTION("IFERROR(GOOGLEFINANCE(A243,""yield"")*100,"""")"),"")</f>
        <v/>
      </c>
      <c r="C243" s="3" t="str">
        <f>IFERROR(__xludf.DUMMYFUNCTION("IFERROR(GOOGLEFINANCE(A243,""trail_dividend""),"""")"),"")</f>
        <v/>
      </c>
      <c r="D243" s="3" t="str">
        <f>IFERROR(__xludf.DUMMYFUNCTION("IFERROR(INDEX(IMPORTXML(""https://finance.yahoo.com/quote/""&amp;A243, ""//td[@data-test='EX_DIVIDEND_DATE-value']""),1),"""")"),"")</f>
        <v/>
      </c>
    </row>
    <row r="244" ht="15.75" customHeight="1">
      <c r="B244" s="3" t="str">
        <f>IFERROR(__xludf.DUMMYFUNCTION("IFERROR(GOOGLEFINANCE(A244,""yield"")*100,"""")"),"")</f>
        <v/>
      </c>
      <c r="C244" s="3" t="str">
        <f>IFERROR(__xludf.DUMMYFUNCTION("IFERROR(GOOGLEFINANCE(A244,""trail_dividend""),"""")"),"")</f>
        <v/>
      </c>
      <c r="D244" s="3" t="str">
        <f>IFERROR(__xludf.DUMMYFUNCTION("IFERROR(INDEX(IMPORTXML(""https://finance.yahoo.com/quote/""&amp;A244, ""//td[@data-test='EX_DIVIDEND_DATE-value']""),1),"""")"),"")</f>
        <v/>
      </c>
    </row>
    <row r="245" ht="15.75" customHeight="1">
      <c r="B245" s="3" t="str">
        <f>IFERROR(__xludf.DUMMYFUNCTION("IFERROR(GOOGLEFINANCE(A245,""yield"")*100,"""")"),"")</f>
        <v/>
      </c>
      <c r="C245" s="3" t="str">
        <f>IFERROR(__xludf.DUMMYFUNCTION("IFERROR(GOOGLEFINANCE(A245,""trail_dividend""),"""")"),"")</f>
        <v/>
      </c>
      <c r="D245" s="3" t="str">
        <f>IFERROR(__xludf.DUMMYFUNCTION("IFERROR(INDEX(IMPORTXML(""https://finance.yahoo.com/quote/""&amp;A245, ""//td[@data-test='EX_DIVIDEND_DATE-value']""),1),"""")"),"")</f>
        <v/>
      </c>
    </row>
    <row r="246" ht="15.75" customHeight="1">
      <c r="B246" s="3" t="str">
        <f>IFERROR(__xludf.DUMMYFUNCTION("IFERROR(GOOGLEFINANCE(A246,""yield"")*100,"""")"),"")</f>
        <v/>
      </c>
      <c r="C246" s="3" t="str">
        <f>IFERROR(__xludf.DUMMYFUNCTION("IFERROR(GOOGLEFINANCE(A246,""trail_dividend""),"""")"),"")</f>
        <v/>
      </c>
      <c r="D246" s="3" t="str">
        <f>IFERROR(__xludf.DUMMYFUNCTION("IFERROR(INDEX(IMPORTXML(""https://finance.yahoo.com/quote/""&amp;A246, ""//td[@data-test='EX_DIVIDEND_DATE-value']""),1),"""")"),"")</f>
        <v/>
      </c>
    </row>
    <row r="247" ht="15.75" customHeight="1">
      <c r="B247" s="3" t="str">
        <f>IFERROR(__xludf.DUMMYFUNCTION("IFERROR(GOOGLEFINANCE(A247,""yield"")*100,"""")"),"")</f>
        <v/>
      </c>
      <c r="C247" s="3" t="str">
        <f>IFERROR(__xludf.DUMMYFUNCTION("IFERROR(GOOGLEFINANCE(A247,""trail_dividend""),"""")"),"")</f>
        <v/>
      </c>
      <c r="D247" s="3" t="str">
        <f>IFERROR(__xludf.DUMMYFUNCTION("IFERROR(INDEX(IMPORTXML(""https://finance.yahoo.com/quote/""&amp;A247, ""//td[@data-test='EX_DIVIDEND_DATE-value']""),1),"""")"),"")</f>
        <v/>
      </c>
    </row>
    <row r="248" ht="15.75" customHeight="1">
      <c r="B248" s="3" t="str">
        <f>IFERROR(__xludf.DUMMYFUNCTION("IFERROR(GOOGLEFINANCE(A248,""yield"")*100,"""")"),"")</f>
        <v/>
      </c>
      <c r="C248" s="3" t="str">
        <f>IFERROR(__xludf.DUMMYFUNCTION("IFERROR(GOOGLEFINANCE(A248,""trail_dividend""),"""")"),"")</f>
        <v/>
      </c>
      <c r="D248" s="3" t="str">
        <f>IFERROR(__xludf.DUMMYFUNCTION("IFERROR(INDEX(IMPORTXML(""https://finance.yahoo.com/quote/""&amp;A248, ""//td[@data-test='EX_DIVIDEND_DATE-value']""),1),"""")"),"")</f>
        <v/>
      </c>
    </row>
    <row r="249" ht="15.75" customHeight="1">
      <c r="B249" s="3" t="str">
        <f>IFERROR(__xludf.DUMMYFUNCTION("IFERROR(GOOGLEFINANCE(A249,""yield"")*100,"""")"),"")</f>
        <v/>
      </c>
      <c r="C249" s="3" t="str">
        <f>IFERROR(__xludf.DUMMYFUNCTION("IFERROR(GOOGLEFINANCE(A249,""trail_dividend""),"""")"),"")</f>
        <v/>
      </c>
      <c r="D249" s="3" t="str">
        <f>IFERROR(__xludf.DUMMYFUNCTION("IFERROR(INDEX(IMPORTXML(""https://finance.yahoo.com/quote/""&amp;A249, ""//td[@data-test='EX_DIVIDEND_DATE-value']""),1),"""")"),"")</f>
        <v/>
      </c>
    </row>
    <row r="250" ht="15.75" customHeight="1">
      <c r="B250" s="3" t="str">
        <f>IFERROR(__xludf.DUMMYFUNCTION("IFERROR(GOOGLEFINANCE(A250,""yield"")*100,"""")"),"")</f>
        <v/>
      </c>
      <c r="C250" s="3" t="str">
        <f>IFERROR(__xludf.DUMMYFUNCTION("IFERROR(GOOGLEFINANCE(A250,""trail_dividend""),"""")"),"")</f>
        <v/>
      </c>
      <c r="D250" s="3" t="str">
        <f>IFERROR(__xludf.DUMMYFUNCTION("IFERROR(INDEX(IMPORTXML(""https://finance.yahoo.com/quote/""&amp;A250, ""//td[@data-test='EX_DIVIDEND_DATE-value']""),1),"""")"),"")</f>
        <v/>
      </c>
    </row>
    <row r="251" ht="15.75" customHeight="1">
      <c r="B251" s="3" t="str">
        <f>IFERROR(__xludf.DUMMYFUNCTION("IFERROR(GOOGLEFINANCE(A251,""yield"")*100,"""")"),"")</f>
        <v/>
      </c>
      <c r="C251" s="3" t="str">
        <f>IFERROR(__xludf.DUMMYFUNCTION("IFERROR(GOOGLEFINANCE(A251,""trail_dividend""),"""")"),"")</f>
        <v/>
      </c>
      <c r="D251" s="3" t="str">
        <f>IFERROR(__xludf.DUMMYFUNCTION("IFERROR(INDEX(IMPORTXML(""https://finance.yahoo.com/quote/""&amp;A251, ""//td[@data-test='EX_DIVIDEND_DATE-value']""),1),"""")"),"")</f>
        <v/>
      </c>
    </row>
    <row r="252" ht="15.75" customHeight="1">
      <c r="B252" s="3" t="str">
        <f>IFERROR(__xludf.DUMMYFUNCTION("IFERROR(GOOGLEFINANCE(A252,""yield"")*100,"""")"),"")</f>
        <v/>
      </c>
      <c r="C252" s="3" t="str">
        <f>IFERROR(__xludf.DUMMYFUNCTION("IFERROR(GOOGLEFINANCE(A252,""trail_dividend""),"""")"),"")</f>
        <v/>
      </c>
      <c r="D252" s="3" t="str">
        <f>IFERROR(__xludf.DUMMYFUNCTION("IFERROR(INDEX(IMPORTXML(""https://finance.yahoo.com/quote/""&amp;A252, ""//td[@data-test='EX_DIVIDEND_DATE-value']""),1),"""")"),"")</f>
        <v/>
      </c>
    </row>
    <row r="253" ht="15.75" customHeight="1">
      <c r="B253" s="3" t="str">
        <f>IFERROR(__xludf.DUMMYFUNCTION("IFERROR(GOOGLEFINANCE(A253,""yield"")*100,"""")"),"")</f>
        <v/>
      </c>
      <c r="C253" s="3" t="str">
        <f>IFERROR(__xludf.DUMMYFUNCTION("IFERROR(GOOGLEFINANCE(A253,""trail_dividend""),"""")"),"")</f>
        <v/>
      </c>
      <c r="D253" s="3" t="str">
        <f>IFERROR(__xludf.DUMMYFUNCTION("IFERROR(INDEX(IMPORTXML(""https://finance.yahoo.com/quote/""&amp;A253, ""//td[@data-test='EX_DIVIDEND_DATE-value']""),1),"""")"),"")</f>
        <v/>
      </c>
    </row>
    <row r="254" ht="15.75" customHeight="1">
      <c r="B254" s="3" t="str">
        <f>IFERROR(__xludf.DUMMYFUNCTION("IFERROR(GOOGLEFINANCE(A254,""yield"")*100,"""")"),"")</f>
        <v/>
      </c>
      <c r="C254" s="3" t="str">
        <f>IFERROR(__xludf.DUMMYFUNCTION("IFERROR(GOOGLEFINANCE(A254,""trail_dividend""),"""")"),"")</f>
        <v/>
      </c>
      <c r="D254" s="3" t="str">
        <f>IFERROR(__xludf.DUMMYFUNCTION("IFERROR(INDEX(IMPORTXML(""https://finance.yahoo.com/quote/""&amp;A254, ""//td[@data-test='EX_DIVIDEND_DATE-value']""),1),"""")"),"")</f>
        <v/>
      </c>
    </row>
    <row r="255" ht="15.75" customHeight="1">
      <c r="B255" s="3" t="str">
        <f>IFERROR(__xludf.DUMMYFUNCTION("IFERROR(GOOGLEFINANCE(A255,""yield"")*100,"""")"),"")</f>
        <v/>
      </c>
      <c r="C255" s="3" t="str">
        <f>IFERROR(__xludf.DUMMYFUNCTION("IFERROR(GOOGLEFINANCE(A255,""trail_dividend""),"""")"),"")</f>
        <v/>
      </c>
      <c r="D255" s="3" t="str">
        <f>IFERROR(__xludf.DUMMYFUNCTION("IFERROR(INDEX(IMPORTXML(""https://finance.yahoo.com/quote/""&amp;A255, ""//td[@data-test='EX_DIVIDEND_DATE-value']""),1),"""")"),"")</f>
        <v/>
      </c>
    </row>
    <row r="256" ht="15.75" customHeight="1">
      <c r="B256" s="3" t="str">
        <f>IFERROR(__xludf.DUMMYFUNCTION("IFERROR(GOOGLEFINANCE(A256,""yield"")*100,"""")"),"")</f>
        <v/>
      </c>
      <c r="C256" s="3" t="str">
        <f>IFERROR(__xludf.DUMMYFUNCTION("IFERROR(GOOGLEFINANCE(A256,""trail_dividend""),"""")"),"")</f>
        <v/>
      </c>
      <c r="D256" s="3" t="str">
        <f>IFERROR(__xludf.DUMMYFUNCTION("IFERROR(INDEX(IMPORTXML(""https://finance.yahoo.com/quote/""&amp;A256, ""//td[@data-test='EX_DIVIDEND_DATE-value']""),1),"""")"),"")</f>
        <v/>
      </c>
    </row>
    <row r="257" ht="15.75" customHeight="1">
      <c r="B257" s="3" t="str">
        <f>IFERROR(__xludf.DUMMYFUNCTION("IFERROR(GOOGLEFINANCE(A257,""yield"")*100,"""")"),"")</f>
        <v/>
      </c>
      <c r="C257" s="3" t="str">
        <f>IFERROR(__xludf.DUMMYFUNCTION("IFERROR(GOOGLEFINANCE(A257,""trail_dividend""),"""")"),"")</f>
        <v/>
      </c>
      <c r="D257" s="3" t="str">
        <f>IFERROR(__xludf.DUMMYFUNCTION("IFERROR(INDEX(IMPORTXML(""https://finance.yahoo.com/quote/""&amp;A257, ""//td[@data-test='EX_DIVIDEND_DATE-value']""),1),"""")"),"")</f>
        <v/>
      </c>
    </row>
    <row r="258" ht="15.75" customHeight="1">
      <c r="B258" s="3" t="str">
        <f>IFERROR(__xludf.DUMMYFUNCTION("IFERROR(GOOGLEFINANCE(A258,""yield"")*100,"""")"),"")</f>
        <v/>
      </c>
      <c r="C258" s="3" t="str">
        <f>IFERROR(__xludf.DUMMYFUNCTION("IFERROR(GOOGLEFINANCE(A258,""trail_dividend""),"""")"),"")</f>
        <v/>
      </c>
      <c r="D258" s="3" t="str">
        <f>IFERROR(__xludf.DUMMYFUNCTION("IFERROR(INDEX(IMPORTXML(""https://finance.yahoo.com/quote/""&amp;A258, ""//td[@data-test='EX_DIVIDEND_DATE-value']""),1),"""")"),"")</f>
        <v/>
      </c>
    </row>
    <row r="259" ht="15.75" customHeight="1">
      <c r="B259" s="3" t="str">
        <f>IFERROR(__xludf.DUMMYFUNCTION("IFERROR(GOOGLEFINANCE(A259,""yield"")*100,"""")"),"")</f>
        <v/>
      </c>
      <c r="C259" s="3" t="str">
        <f>IFERROR(__xludf.DUMMYFUNCTION("IFERROR(GOOGLEFINANCE(A259,""trail_dividend""),"""")"),"")</f>
        <v/>
      </c>
      <c r="D259" s="3" t="str">
        <f>IFERROR(__xludf.DUMMYFUNCTION("IFERROR(INDEX(IMPORTXML(""https://finance.yahoo.com/quote/""&amp;A259, ""//td[@data-test='EX_DIVIDEND_DATE-value']""),1),"""")"),"")</f>
        <v/>
      </c>
    </row>
    <row r="260" ht="15.75" customHeight="1">
      <c r="B260" s="3" t="str">
        <f>IFERROR(__xludf.DUMMYFUNCTION("IFERROR(GOOGLEFINANCE(A260,""yield"")*100,"""")"),"")</f>
        <v/>
      </c>
      <c r="C260" s="3" t="str">
        <f>IFERROR(__xludf.DUMMYFUNCTION("IFERROR(GOOGLEFINANCE(A260,""trail_dividend""),"""")"),"")</f>
        <v/>
      </c>
      <c r="D260" s="3" t="str">
        <f>IFERROR(__xludf.DUMMYFUNCTION("IFERROR(INDEX(IMPORTXML(""https://finance.yahoo.com/quote/""&amp;A260, ""//td[@data-test='EX_DIVIDEND_DATE-value']""),1),"""")"),"")</f>
        <v/>
      </c>
    </row>
    <row r="261" ht="15.75" customHeight="1">
      <c r="B261" s="3" t="str">
        <f>IFERROR(__xludf.DUMMYFUNCTION("IFERROR(GOOGLEFINANCE(A261,""yield"")*100,"""")"),"")</f>
        <v/>
      </c>
      <c r="C261" s="3" t="str">
        <f>IFERROR(__xludf.DUMMYFUNCTION("IFERROR(GOOGLEFINANCE(A261,""trail_dividend""),"""")"),"")</f>
        <v/>
      </c>
      <c r="D261" s="3" t="str">
        <f>IFERROR(__xludf.DUMMYFUNCTION("IFERROR(INDEX(IMPORTXML(""https://finance.yahoo.com/quote/""&amp;A261, ""//td[@data-test='EX_DIVIDEND_DATE-value']""),1),"""")"),"")</f>
        <v/>
      </c>
    </row>
    <row r="262" ht="15.75" customHeight="1">
      <c r="B262" s="3" t="str">
        <f>IFERROR(__xludf.DUMMYFUNCTION("IFERROR(GOOGLEFINANCE(A262,""yield"")*100,"""")"),"")</f>
        <v/>
      </c>
      <c r="C262" s="3" t="str">
        <f>IFERROR(__xludf.DUMMYFUNCTION("IFERROR(GOOGLEFINANCE(A262,""trail_dividend""),"""")"),"")</f>
        <v/>
      </c>
      <c r="D262" s="3" t="str">
        <f>IFERROR(__xludf.DUMMYFUNCTION("IFERROR(INDEX(IMPORTXML(""https://finance.yahoo.com/quote/""&amp;A262, ""//td[@data-test='EX_DIVIDEND_DATE-value']""),1),"""")"),"")</f>
        <v/>
      </c>
    </row>
    <row r="263" ht="15.75" customHeight="1">
      <c r="B263" s="3" t="str">
        <f>IFERROR(__xludf.DUMMYFUNCTION("IFERROR(GOOGLEFINANCE(A263,""yield"")*100,"""")"),"")</f>
        <v/>
      </c>
      <c r="C263" s="3" t="str">
        <f>IFERROR(__xludf.DUMMYFUNCTION("IFERROR(GOOGLEFINANCE(A263,""trail_dividend""),"""")"),"")</f>
        <v/>
      </c>
      <c r="D263" s="3" t="str">
        <f>IFERROR(__xludf.DUMMYFUNCTION("IFERROR(INDEX(IMPORTXML(""https://finance.yahoo.com/quote/""&amp;A263, ""//td[@data-test='EX_DIVIDEND_DATE-value']""),1),"""")"),"")</f>
        <v/>
      </c>
    </row>
    <row r="264" ht="15.75" customHeight="1">
      <c r="B264" s="3" t="str">
        <f>IFERROR(__xludf.DUMMYFUNCTION("IFERROR(GOOGLEFINANCE(A264,""yield"")*100,"""")"),"")</f>
        <v/>
      </c>
      <c r="C264" s="3" t="str">
        <f>IFERROR(__xludf.DUMMYFUNCTION("IFERROR(GOOGLEFINANCE(A264,""trail_dividend""),"""")"),"")</f>
        <v/>
      </c>
      <c r="D264" s="3" t="str">
        <f>IFERROR(__xludf.DUMMYFUNCTION("IFERROR(INDEX(IMPORTXML(""https://finance.yahoo.com/quote/""&amp;A264, ""//td[@data-test='EX_DIVIDEND_DATE-value']""),1),"""")"),"")</f>
        <v/>
      </c>
    </row>
    <row r="265" ht="15.75" customHeight="1">
      <c r="B265" s="3" t="str">
        <f>IFERROR(__xludf.DUMMYFUNCTION("IFERROR(GOOGLEFINANCE(A265,""yield"")*100,"""")"),"")</f>
        <v/>
      </c>
      <c r="C265" s="3" t="str">
        <f>IFERROR(__xludf.DUMMYFUNCTION("IFERROR(GOOGLEFINANCE(A265,""trail_dividend""),"""")"),"")</f>
        <v/>
      </c>
      <c r="D265" s="3" t="str">
        <f>IFERROR(__xludf.DUMMYFUNCTION("IFERROR(INDEX(IMPORTXML(""https://finance.yahoo.com/quote/""&amp;A265, ""//td[@data-test='EX_DIVIDEND_DATE-value']""),1),"""")"),"")</f>
        <v/>
      </c>
    </row>
    <row r="266" ht="15.75" customHeight="1">
      <c r="B266" s="3" t="str">
        <f>IFERROR(__xludf.DUMMYFUNCTION("IFERROR(GOOGLEFINANCE(A266,""yield"")*100,"""")"),"")</f>
        <v/>
      </c>
      <c r="C266" s="3" t="str">
        <f>IFERROR(__xludf.DUMMYFUNCTION("IFERROR(GOOGLEFINANCE(A266,""trail_dividend""),"""")"),"")</f>
        <v/>
      </c>
      <c r="D266" s="3" t="str">
        <f>IFERROR(__xludf.DUMMYFUNCTION("IFERROR(INDEX(IMPORTXML(""https://finance.yahoo.com/quote/""&amp;A266, ""//td[@data-test='EX_DIVIDEND_DATE-value']""),1),"""")"),"")</f>
        <v/>
      </c>
    </row>
    <row r="267" ht="15.75" customHeight="1">
      <c r="B267" s="3" t="str">
        <f>IFERROR(__xludf.DUMMYFUNCTION("IFERROR(GOOGLEFINANCE(A267,""yield"")*100,"""")"),"")</f>
        <v/>
      </c>
      <c r="C267" s="3" t="str">
        <f>IFERROR(__xludf.DUMMYFUNCTION("IFERROR(GOOGLEFINANCE(A267,""trail_dividend""),"""")"),"")</f>
        <v/>
      </c>
      <c r="D267" s="3" t="str">
        <f>IFERROR(__xludf.DUMMYFUNCTION("IFERROR(INDEX(IMPORTXML(""https://finance.yahoo.com/quote/""&amp;A267, ""//td[@data-test='EX_DIVIDEND_DATE-value']""),1),"""")"),"")</f>
        <v/>
      </c>
    </row>
    <row r="268" ht="15.75" customHeight="1">
      <c r="B268" s="3" t="str">
        <f>IFERROR(__xludf.DUMMYFUNCTION("IFERROR(GOOGLEFINANCE(A268,""yield"")*100,"""")"),"")</f>
        <v/>
      </c>
      <c r="C268" s="3" t="str">
        <f>IFERROR(__xludf.DUMMYFUNCTION("IFERROR(GOOGLEFINANCE(A268,""trail_dividend""),"""")"),"")</f>
        <v/>
      </c>
      <c r="D268" s="3" t="str">
        <f>IFERROR(__xludf.DUMMYFUNCTION("IFERROR(INDEX(IMPORTXML(""https://finance.yahoo.com/quote/""&amp;A268, ""//td[@data-test='EX_DIVIDEND_DATE-value']""),1),"""")"),"")</f>
        <v/>
      </c>
    </row>
    <row r="269" ht="15.75" customHeight="1">
      <c r="B269" s="3" t="str">
        <f>IFERROR(__xludf.DUMMYFUNCTION("IFERROR(GOOGLEFINANCE(A269,""yield"")*100,"""")"),"")</f>
        <v/>
      </c>
      <c r="C269" s="3" t="str">
        <f>IFERROR(__xludf.DUMMYFUNCTION("IFERROR(GOOGLEFINANCE(A269,""trail_dividend""),"""")"),"")</f>
        <v/>
      </c>
      <c r="D269" s="3" t="str">
        <f>IFERROR(__xludf.DUMMYFUNCTION("IFERROR(INDEX(IMPORTXML(""https://finance.yahoo.com/quote/""&amp;A269, ""//td[@data-test='EX_DIVIDEND_DATE-value']""),1),"""")"),"")</f>
        <v/>
      </c>
    </row>
    <row r="270" ht="15.75" customHeight="1">
      <c r="B270" s="3" t="str">
        <f>IFERROR(__xludf.DUMMYFUNCTION("IFERROR(GOOGLEFINANCE(A270,""yield"")*100,"""")"),"")</f>
        <v/>
      </c>
      <c r="C270" s="3" t="str">
        <f>IFERROR(__xludf.DUMMYFUNCTION("IFERROR(GOOGLEFINANCE(A270,""trail_dividend""),"""")"),"")</f>
        <v/>
      </c>
      <c r="D270" s="3" t="str">
        <f>IFERROR(__xludf.DUMMYFUNCTION("IFERROR(INDEX(IMPORTXML(""https://finance.yahoo.com/quote/""&amp;A270, ""//td[@data-test='EX_DIVIDEND_DATE-value']""),1),"""")"),"")</f>
        <v/>
      </c>
    </row>
    <row r="271" ht="15.75" customHeight="1">
      <c r="B271" s="3" t="str">
        <f>IFERROR(__xludf.DUMMYFUNCTION("IFERROR(GOOGLEFINANCE(A271,""yield"")*100,"""")"),"")</f>
        <v/>
      </c>
      <c r="C271" s="3" t="str">
        <f>IFERROR(__xludf.DUMMYFUNCTION("IFERROR(GOOGLEFINANCE(A271,""trail_dividend""),"""")"),"")</f>
        <v/>
      </c>
      <c r="D271" s="3" t="str">
        <f>IFERROR(__xludf.DUMMYFUNCTION("IFERROR(INDEX(IMPORTXML(""https://finance.yahoo.com/quote/""&amp;A271, ""//td[@data-test='EX_DIVIDEND_DATE-value']""),1),"""")"),"")</f>
        <v/>
      </c>
    </row>
    <row r="272" ht="15.75" customHeight="1">
      <c r="B272" s="3" t="str">
        <f>IFERROR(__xludf.DUMMYFUNCTION("IFERROR(GOOGLEFINANCE(A272,""yield"")*100,"""")"),"")</f>
        <v/>
      </c>
      <c r="C272" s="3" t="str">
        <f>IFERROR(__xludf.DUMMYFUNCTION("IFERROR(GOOGLEFINANCE(A272,""trail_dividend""),"""")"),"")</f>
        <v/>
      </c>
      <c r="D272" s="3" t="str">
        <f>IFERROR(__xludf.DUMMYFUNCTION("IFERROR(INDEX(IMPORTXML(""https://finance.yahoo.com/quote/""&amp;A272, ""//td[@data-test='EX_DIVIDEND_DATE-value']""),1),"""")"),"")</f>
        <v/>
      </c>
    </row>
    <row r="273" ht="15.75" customHeight="1">
      <c r="B273" s="3" t="str">
        <f>IFERROR(__xludf.DUMMYFUNCTION("IFERROR(GOOGLEFINANCE(A273,""yield"")*100,"""")"),"")</f>
        <v/>
      </c>
      <c r="C273" s="3" t="str">
        <f>IFERROR(__xludf.DUMMYFUNCTION("IFERROR(GOOGLEFINANCE(A273,""trail_dividend""),"""")"),"")</f>
        <v/>
      </c>
      <c r="D273" s="3" t="str">
        <f>IFERROR(__xludf.DUMMYFUNCTION("IFERROR(INDEX(IMPORTXML(""https://finance.yahoo.com/quote/""&amp;A273, ""//td[@data-test='EX_DIVIDEND_DATE-value']""),1),"""")"),"")</f>
        <v/>
      </c>
    </row>
    <row r="274" ht="15.75" customHeight="1">
      <c r="B274" s="3" t="str">
        <f>IFERROR(__xludf.DUMMYFUNCTION("IFERROR(GOOGLEFINANCE(A274,""yield"")*100,"""")"),"")</f>
        <v/>
      </c>
      <c r="C274" s="3" t="str">
        <f>IFERROR(__xludf.DUMMYFUNCTION("IFERROR(GOOGLEFINANCE(A274,""trail_dividend""),"""")"),"")</f>
        <v/>
      </c>
      <c r="D274" s="3" t="str">
        <f>IFERROR(__xludf.DUMMYFUNCTION("IFERROR(INDEX(IMPORTXML(""https://finance.yahoo.com/quote/""&amp;A274, ""//td[@data-test='EX_DIVIDEND_DATE-value']""),1),"""")"),"")</f>
        <v/>
      </c>
    </row>
    <row r="275" ht="15.75" customHeight="1">
      <c r="B275" s="3" t="str">
        <f>IFERROR(__xludf.DUMMYFUNCTION("IFERROR(GOOGLEFINANCE(A275,""yield"")*100,"""")"),"")</f>
        <v/>
      </c>
      <c r="C275" s="3" t="str">
        <f>IFERROR(__xludf.DUMMYFUNCTION("IFERROR(GOOGLEFINANCE(A275,""trail_dividend""),"""")"),"")</f>
        <v/>
      </c>
      <c r="D275" s="3" t="str">
        <f>IFERROR(__xludf.DUMMYFUNCTION("IFERROR(INDEX(IMPORTXML(""https://finance.yahoo.com/quote/""&amp;A275, ""//td[@data-test='EX_DIVIDEND_DATE-value']""),1),"""")"),"")</f>
        <v/>
      </c>
    </row>
    <row r="276" ht="15.75" customHeight="1">
      <c r="B276" s="3" t="str">
        <f>IFERROR(__xludf.DUMMYFUNCTION("IFERROR(GOOGLEFINANCE(A276,""yield"")*100,"""")"),"")</f>
        <v/>
      </c>
      <c r="C276" s="3" t="str">
        <f>IFERROR(__xludf.DUMMYFUNCTION("IFERROR(GOOGLEFINANCE(A276,""trail_dividend""),"""")"),"")</f>
        <v/>
      </c>
      <c r="D276" s="3" t="str">
        <f>IFERROR(__xludf.DUMMYFUNCTION("IFERROR(INDEX(IMPORTXML(""https://finance.yahoo.com/quote/""&amp;A276, ""//td[@data-test='EX_DIVIDEND_DATE-value']""),1),"""")"),"")</f>
        <v/>
      </c>
    </row>
    <row r="277" ht="15.75" customHeight="1">
      <c r="B277" s="3" t="str">
        <f>IFERROR(__xludf.DUMMYFUNCTION("IFERROR(GOOGLEFINANCE(A277,""yield"")*100,"""")"),"")</f>
        <v/>
      </c>
      <c r="C277" s="3" t="str">
        <f>IFERROR(__xludf.DUMMYFUNCTION("IFERROR(GOOGLEFINANCE(A277,""trail_dividend""),"""")"),"")</f>
        <v/>
      </c>
      <c r="D277" s="3" t="str">
        <f>IFERROR(__xludf.DUMMYFUNCTION("IFERROR(INDEX(IMPORTXML(""https://finance.yahoo.com/quote/""&amp;A277, ""//td[@data-test='EX_DIVIDEND_DATE-value']""),1),"""")"),"")</f>
        <v/>
      </c>
    </row>
    <row r="278" ht="15.75" customHeight="1">
      <c r="B278" s="3" t="str">
        <f>IFERROR(__xludf.DUMMYFUNCTION("IFERROR(GOOGLEFINANCE(A278,""yield"")*100,"""")"),"")</f>
        <v/>
      </c>
      <c r="C278" s="3" t="str">
        <f>IFERROR(__xludf.DUMMYFUNCTION("IFERROR(GOOGLEFINANCE(A278,""trail_dividend""),"""")"),"")</f>
        <v/>
      </c>
      <c r="D278" s="3" t="str">
        <f>IFERROR(__xludf.DUMMYFUNCTION("IFERROR(INDEX(IMPORTXML(""https://finance.yahoo.com/quote/""&amp;A278, ""//td[@data-test='EX_DIVIDEND_DATE-value']""),1),"""")"),"")</f>
        <v/>
      </c>
    </row>
    <row r="279" ht="15.75" customHeight="1">
      <c r="B279" s="3" t="str">
        <f>IFERROR(__xludf.DUMMYFUNCTION("IFERROR(GOOGLEFINANCE(A279,""yield"")*100,"""")"),"")</f>
        <v/>
      </c>
      <c r="C279" s="3" t="str">
        <f>IFERROR(__xludf.DUMMYFUNCTION("IFERROR(GOOGLEFINANCE(A279,""trail_dividend""),"""")"),"")</f>
        <v/>
      </c>
      <c r="D279" s="3" t="str">
        <f>IFERROR(__xludf.DUMMYFUNCTION("IFERROR(INDEX(IMPORTXML(""https://finance.yahoo.com/quote/""&amp;A279, ""//td[@data-test='EX_DIVIDEND_DATE-value']""),1),"""")"),"")</f>
        <v/>
      </c>
    </row>
    <row r="280" ht="15.75" customHeight="1">
      <c r="B280" s="3" t="str">
        <f>IFERROR(__xludf.DUMMYFUNCTION("IFERROR(GOOGLEFINANCE(A280,""yield"")*100,"""")"),"")</f>
        <v/>
      </c>
      <c r="C280" s="3" t="str">
        <f>IFERROR(__xludf.DUMMYFUNCTION("IFERROR(GOOGLEFINANCE(A280,""trail_dividend""),"""")"),"")</f>
        <v/>
      </c>
      <c r="D280" s="3" t="str">
        <f>IFERROR(__xludf.DUMMYFUNCTION("IFERROR(INDEX(IMPORTXML(""https://finance.yahoo.com/quote/""&amp;A280, ""//td[@data-test='EX_DIVIDEND_DATE-value']""),1),"""")"),"")</f>
        <v/>
      </c>
    </row>
    <row r="281" ht="15.75" customHeight="1">
      <c r="B281" s="3" t="str">
        <f>IFERROR(__xludf.DUMMYFUNCTION("IFERROR(GOOGLEFINANCE(A281,""yield"")*100,"""")"),"")</f>
        <v/>
      </c>
      <c r="C281" s="3" t="str">
        <f>IFERROR(__xludf.DUMMYFUNCTION("IFERROR(GOOGLEFINANCE(A281,""trail_dividend""),"""")"),"")</f>
        <v/>
      </c>
      <c r="D281" s="3" t="str">
        <f>IFERROR(__xludf.DUMMYFUNCTION("IFERROR(INDEX(IMPORTXML(""https://finance.yahoo.com/quote/""&amp;A281, ""//td[@data-test='EX_DIVIDEND_DATE-value']""),1),"""")"),"")</f>
        <v/>
      </c>
    </row>
    <row r="282" ht="15.75" customHeight="1">
      <c r="B282" s="3" t="str">
        <f>IFERROR(__xludf.DUMMYFUNCTION("IFERROR(GOOGLEFINANCE(A282,""yield"")*100,"""")"),"")</f>
        <v/>
      </c>
      <c r="C282" s="3" t="str">
        <f>IFERROR(__xludf.DUMMYFUNCTION("IFERROR(GOOGLEFINANCE(A282,""trail_dividend""),"""")"),"")</f>
        <v/>
      </c>
      <c r="D282" s="3" t="str">
        <f>IFERROR(__xludf.DUMMYFUNCTION("IFERROR(INDEX(IMPORTXML(""https://finance.yahoo.com/quote/""&amp;A282, ""//td[@data-test='EX_DIVIDEND_DATE-value']""),1),"""")"),"")</f>
        <v/>
      </c>
    </row>
    <row r="283" ht="15.75" customHeight="1">
      <c r="B283" s="3" t="str">
        <f>IFERROR(__xludf.DUMMYFUNCTION("IFERROR(GOOGLEFINANCE(A283,""yield"")*100,"""")"),"")</f>
        <v/>
      </c>
      <c r="C283" s="3" t="str">
        <f>IFERROR(__xludf.DUMMYFUNCTION("IFERROR(GOOGLEFINANCE(A283,""trail_dividend""),"""")"),"")</f>
        <v/>
      </c>
      <c r="D283" s="3" t="str">
        <f>IFERROR(__xludf.DUMMYFUNCTION("IFERROR(INDEX(IMPORTXML(""https://finance.yahoo.com/quote/""&amp;A283, ""//td[@data-test='EX_DIVIDEND_DATE-value']""),1),"""")"),"")</f>
        <v/>
      </c>
    </row>
    <row r="284" ht="15.75" customHeight="1">
      <c r="B284" s="3" t="str">
        <f>IFERROR(__xludf.DUMMYFUNCTION("IFERROR(GOOGLEFINANCE(A284,""yield"")*100,"""")"),"")</f>
        <v/>
      </c>
      <c r="C284" s="3" t="str">
        <f>IFERROR(__xludf.DUMMYFUNCTION("IFERROR(GOOGLEFINANCE(A284,""trail_dividend""),"""")"),"")</f>
        <v/>
      </c>
      <c r="D284" s="3" t="str">
        <f>IFERROR(__xludf.DUMMYFUNCTION("IFERROR(INDEX(IMPORTXML(""https://finance.yahoo.com/quote/""&amp;A284, ""//td[@data-test='EX_DIVIDEND_DATE-value']""),1),"""")"),"")</f>
        <v/>
      </c>
    </row>
    <row r="285" ht="15.75" customHeight="1">
      <c r="B285" s="3" t="str">
        <f>IFERROR(__xludf.DUMMYFUNCTION("IFERROR(GOOGLEFINANCE(A285,""yield"")*100,"""")"),"")</f>
        <v/>
      </c>
      <c r="C285" s="3" t="str">
        <f>IFERROR(__xludf.DUMMYFUNCTION("IFERROR(GOOGLEFINANCE(A285,""trail_dividend""),"""")"),"")</f>
        <v/>
      </c>
      <c r="D285" s="3" t="str">
        <f>IFERROR(__xludf.DUMMYFUNCTION("IFERROR(INDEX(IMPORTXML(""https://finance.yahoo.com/quote/""&amp;A285, ""//td[@data-test='EX_DIVIDEND_DATE-value']""),1),"""")"),"")</f>
        <v/>
      </c>
    </row>
    <row r="286" ht="15.75" customHeight="1">
      <c r="B286" s="3" t="str">
        <f>IFERROR(__xludf.DUMMYFUNCTION("IFERROR(GOOGLEFINANCE(A286,""yield"")*100,"""")"),"")</f>
        <v/>
      </c>
      <c r="C286" s="3" t="str">
        <f>IFERROR(__xludf.DUMMYFUNCTION("IFERROR(GOOGLEFINANCE(A286,""trail_dividend""),"""")"),"")</f>
        <v/>
      </c>
      <c r="D286" s="3" t="str">
        <f>IFERROR(__xludf.DUMMYFUNCTION("IFERROR(INDEX(IMPORTXML(""https://finance.yahoo.com/quote/""&amp;A286, ""//td[@data-test='EX_DIVIDEND_DATE-value']""),1),"""")"),"")</f>
        <v/>
      </c>
    </row>
    <row r="287" ht="15.75" customHeight="1">
      <c r="B287" s="3" t="str">
        <f>IFERROR(__xludf.DUMMYFUNCTION("IFERROR(GOOGLEFINANCE(A287,""yield"")*100,"""")"),"")</f>
        <v/>
      </c>
      <c r="C287" s="3" t="str">
        <f>IFERROR(__xludf.DUMMYFUNCTION("IFERROR(GOOGLEFINANCE(A287,""trail_dividend""),"""")"),"")</f>
        <v/>
      </c>
      <c r="D287" s="3" t="str">
        <f>IFERROR(__xludf.DUMMYFUNCTION("IFERROR(INDEX(IMPORTXML(""https://finance.yahoo.com/quote/""&amp;A287, ""//td[@data-test='EX_DIVIDEND_DATE-value']""),1),"""")"),"")</f>
        <v/>
      </c>
    </row>
    <row r="288" ht="15.75" customHeight="1">
      <c r="B288" s="3" t="str">
        <f>IFERROR(__xludf.DUMMYFUNCTION("IFERROR(GOOGLEFINANCE(A288,""yield"")*100,"""")"),"")</f>
        <v/>
      </c>
      <c r="C288" s="3" t="str">
        <f>IFERROR(__xludf.DUMMYFUNCTION("IFERROR(GOOGLEFINANCE(A288,""trail_dividend""),"""")"),"")</f>
        <v/>
      </c>
      <c r="D288" s="3" t="str">
        <f>IFERROR(__xludf.DUMMYFUNCTION("IFERROR(INDEX(IMPORTXML(""https://finance.yahoo.com/quote/""&amp;A288, ""//td[@data-test='EX_DIVIDEND_DATE-value']""),1),"""")"),"")</f>
        <v/>
      </c>
    </row>
    <row r="289" ht="15.75" customHeight="1">
      <c r="B289" s="3" t="str">
        <f>IFERROR(__xludf.DUMMYFUNCTION("IFERROR(GOOGLEFINANCE(A289,""yield"")*100,"""")"),"")</f>
        <v/>
      </c>
      <c r="C289" s="3" t="str">
        <f>IFERROR(__xludf.DUMMYFUNCTION("IFERROR(GOOGLEFINANCE(A289,""trail_dividend""),"""")"),"")</f>
        <v/>
      </c>
      <c r="D289" s="3" t="str">
        <f>IFERROR(__xludf.DUMMYFUNCTION("IFERROR(INDEX(IMPORTXML(""https://finance.yahoo.com/quote/""&amp;A289, ""//td[@data-test='EX_DIVIDEND_DATE-value']""),1),"""")"),"")</f>
        <v/>
      </c>
    </row>
    <row r="290" ht="15.75" customHeight="1">
      <c r="B290" s="3" t="str">
        <f>IFERROR(__xludf.DUMMYFUNCTION("IFERROR(GOOGLEFINANCE(A290,""yield"")*100,"""")"),"")</f>
        <v/>
      </c>
      <c r="C290" s="3" t="str">
        <f>IFERROR(__xludf.DUMMYFUNCTION("IFERROR(GOOGLEFINANCE(A290,""trail_dividend""),"""")"),"")</f>
        <v/>
      </c>
      <c r="D290" s="3" t="str">
        <f>IFERROR(__xludf.DUMMYFUNCTION("IFERROR(INDEX(IMPORTXML(""https://finance.yahoo.com/quote/""&amp;A290, ""//td[@data-test='EX_DIVIDEND_DATE-value']""),1),"""")"),"")</f>
        <v/>
      </c>
    </row>
    <row r="291" ht="15.75" customHeight="1">
      <c r="B291" s="3" t="str">
        <f>IFERROR(__xludf.DUMMYFUNCTION("IFERROR(GOOGLEFINANCE(A291,""yield"")*100,"""")"),"")</f>
        <v/>
      </c>
      <c r="C291" s="3" t="str">
        <f>IFERROR(__xludf.DUMMYFUNCTION("IFERROR(GOOGLEFINANCE(A291,""trail_dividend""),"""")"),"")</f>
        <v/>
      </c>
      <c r="D291" s="3" t="str">
        <f>IFERROR(__xludf.DUMMYFUNCTION("IFERROR(INDEX(IMPORTXML(""https://finance.yahoo.com/quote/""&amp;A291, ""//td[@data-test='EX_DIVIDEND_DATE-value']""),1),"""")"),"")</f>
        <v/>
      </c>
    </row>
    <row r="292" ht="15.75" customHeight="1">
      <c r="B292" s="3" t="str">
        <f>IFERROR(__xludf.DUMMYFUNCTION("IFERROR(GOOGLEFINANCE(A292,""yield"")*100,"""")"),"")</f>
        <v/>
      </c>
      <c r="C292" s="3" t="str">
        <f>IFERROR(__xludf.DUMMYFUNCTION("IFERROR(GOOGLEFINANCE(A292,""trail_dividend""),"""")"),"")</f>
        <v/>
      </c>
      <c r="D292" s="3" t="str">
        <f>IFERROR(__xludf.DUMMYFUNCTION("IFERROR(INDEX(IMPORTXML(""https://finance.yahoo.com/quote/""&amp;A292, ""//td[@data-test='EX_DIVIDEND_DATE-value']""),1),"""")"),"")</f>
        <v/>
      </c>
    </row>
    <row r="293" ht="15.75" customHeight="1">
      <c r="B293" s="3" t="str">
        <f>IFERROR(__xludf.DUMMYFUNCTION("IFERROR(GOOGLEFINANCE(A293,""yield"")*100,"""")"),"")</f>
        <v/>
      </c>
      <c r="C293" s="3" t="str">
        <f>IFERROR(__xludf.DUMMYFUNCTION("IFERROR(GOOGLEFINANCE(A293,""trail_dividend""),"""")"),"")</f>
        <v/>
      </c>
      <c r="D293" s="3" t="str">
        <f>IFERROR(__xludf.DUMMYFUNCTION("IFERROR(INDEX(IMPORTXML(""https://finance.yahoo.com/quote/""&amp;A293, ""//td[@data-test='EX_DIVIDEND_DATE-value']""),1),"""")"),"")</f>
        <v/>
      </c>
    </row>
    <row r="294" ht="15.75" customHeight="1">
      <c r="B294" s="3" t="str">
        <f>IFERROR(__xludf.DUMMYFUNCTION("IFERROR(GOOGLEFINANCE(A294,""yield"")*100,"""")"),"")</f>
        <v/>
      </c>
      <c r="C294" s="3" t="str">
        <f>IFERROR(__xludf.DUMMYFUNCTION("IFERROR(GOOGLEFINANCE(A294,""trail_dividend""),"""")"),"")</f>
        <v/>
      </c>
      <c r="D294" s="3" t="str">
        <f>IFERROR(__xludf.DUMMYFUNCTION("IFERROR(INDEX(IMPORTXML(""https://finance.yahoo.com/quote/""&amp;A294, ""//td[@data-test='EX_DIVIDEND_DATE-value']""),1),"""")"),"")</f>
        <v/>
      </c>
    </row>
    <row r="295" ht="15.75" customHeight="1">
      <c r="B295" s="3" t="str">
        <f>IFERROR(__xludf.DUMMYFUNCTION("IFERROR(GOOGLEFINANCE(A295,""yield"")*100,"""")"),"")</f>
        <v/>
      </c>
      <c r="C295" s="3" t="str">
        <f>IFERROR(__xludf.DUMMYFUNCTION("IFERROR(GOOGLEFINANCE(A295,""trail_dividend""),"""")"),"")</f>
        <v/>
      </c>
      <c r="D295" s="3" t="str">
        <f>IFERROR(__xludf.DUMMYFUNCTION("IFERROR(INDEX(IMPORTXML(""https://finance.yahoo.com/quote/""&amp;A295, ""//td[@data-test='EX_DIVIDEND_DATE-value']""),1),"""")"),"")</f>
        <v/>
      </c>
    </row>
    <row r="296" ht="15.75" customHeight="1">
      <c r="B296" s="3" t="str">
        <f>IFERROR(__xludf.DUMMYFUNCTION("IFERROR(GOOGLEFINANCE(A296,""yield"")*100,"""")"),"")</f>
        <v/>
      </c>
      <c r="C296" s="3" t="str">
        <f>IFERROR(__xludf.DUMMYFUNCTION("IFERROR(GOOGLEFINANCE(A296,""trail_dividend""),"""")"),"")</f>
        <v/>
      </c>
      <c r="D296" s="3" t="str">
        <f>IFERROR(__xludf.DUMMYFUNCTION("IFERROR(INDEX(IMPORTXML(""https://finance.yahoo.com/quote/""&amp;A296, ""//td[@data-test='EX_DIVIDEND_DATE-value']""),1),"""")"),"")</f>
        <v/>
      </c>
    </row>
    <row r="297" ht="15.75" customHeight="1">
      <c r="B297" s="3" t="str">
        <f>IFERROR(__xludf.DUMMYFUNCTION("IFERROR(GOOGLEFINANCE(A297,""yield"")*100,"""")"),"")</f>
        <v/>
      </c>
      <c r="C297" s="3" t="str">
        <f>IFERROR(__xludf.DUMMYFUNCTION("IFERROR(GOOGLEFINANCE(A297,""trail_dividend""),"""")"),"")</f>
        <v/>
      </c>
      <c r="D297" s="3" t="str">
        <f>IFERROR(__xludf.DUMMYFUNCTION("IFERROR(INDEX(IMPORTXML(""https://finance.yahoo.com/quote/""&amp;A297, ""//td[@data-test='EX_DIVIDEND_DATE-value']""),1),"""")"),"")</f>
        <v/>
      </c>
    </row>
    <row r="298" ht="15.75" customHeight="1">
      <c r="B298" s="3" t="str">
        <f>IFERROR(__xludf.DUMMYFUNCTION("IFERROR(GOOGLEFINANCE(A298,""yield"")*100,"""")"),"")</f>
        <v/>
      </c>
      <c r="C298" s="3" t="str">
        <f>IFERROR(__xludf.DUMMYFUNCTION("IFERROR(GOOGLEFINANCE(A298,""trail_dividend""),"""")"),"")</f>
        <v/>
      </c>
      <c r="D298" s="3" t="str">
        <f>IFERROR(__xludf.DUMMYFUNCTION("IFERROR(INDEX(IMPORTXML(""https://finance.yahoo.com/quote/""&amp;A298, ""//td[@data-test='EX_DIVIDEND_DATE-value']""),1),"""")"),"")</f>
        <v/>
      </c>
    </row>
    <row r="299" ht="15.75" customHeight="1">
      <c r="B299" s="3" t="str">
        <f>IFERROR(__xludf.DUMMYFUNCTION("IFERROR(GOOGLEFINANCE(A299,""yield"")*100,"""")"),"")</f>
        <v/>
      </c>
      <c r="C299" s="3" t="str">
        <f>IFERROR(__xludf.DUMMYFUNCTION("IFERROR(GOOGLEFINANCE(A299,""trail_dividend""),"""")"),"")</f>
        <v/>
      </c>
      <c r="D299" s="3" t="str">
        <f>IFERROR(__xludf.DUMMYFUNCTION("IFERROR(INDEX(IMPORTXML(""https://finance.yahoo.com/quote/""&amp;A299, ""//td[@data-test='EX_DIVIDEND_DATE-value']""),1),"""")"),"")</f>
        <v/>
      </c>
    </row>
    <row r="300" ht="15.75" customHeight="1">
      <c r="B300" s="3" t="str">
        <f>IFERROR(__xludf.DUMMYFUNCTION("IFERROR(GOOGLEFINANCE(A300,""yield"")*100,"""")"),"")</f>
        <v/>
      </c>
      <c r="C300" s="3" t="str">
        <f>IFERROR(__xludf.DUMMYFUNCTION("IFERROR(GOOGLEFINANCE(A300,""trail_dividend""),"""")"),"")</f>
        <v/>
      </c>
      <c r="D300" s="3" t="str">
        <f>IFERROR(__xludf.DUMMYFUNCTION("IFERROR(INDEX(IMPORTXML(""https://finance.yahoo.com/quote/""&amp;A300, ""//td[@data-test='EX_DIVIDEND_DATE-value']""),1),"""")"),"")</f>
        <v/>
      </c>
    </row>
    <row r="301" ht="15.75" customHeight="1">
      <c r="B301" s="3" t="str">
        <f>IFERROR(__xludf.DUMMYFUNCTION("IFERROR(GOOGLEFINANCE(A301,""yield"")*100,"""")"),"")</f>
        <v/>
      </c>
      <c r="C301" s="3" t="str">
        <f>IFERROR(__xludf.DUMMYFUNCTION("IFERROR(GOOGLEFINANCE(A301,""trail_dividend""),"""")"),"")</f>
        <v/>
      </c>
      <c r="D301" s="3" t="str">
        <f>IFERROR(__xludf.DUMMYFUNCTION("IFERROR(INDEX(IMPORTXML(""https://finance.yahoo.com/quote/""&amp;A301, ""//td[@data-test='EX_DIVIDEND_DATE-value']""),1),"""")"),"")</f>
        <v/>
      </c>
    </row>
    <row r="302" ht="15.75" customHeight="1">
      <c r="B302" s="3" t="str">
        <f>IFERROR(__xludf.DUMMYFUNCTION("IFERROR(GOOGLEFINANCE(A302,""yield"")*100,"""")"),"")</f>
        <v/>
      </c>
      <c r="C302" s="3" t="str">
        <f>IFERROR(__xludf.DUMMYFUNCTION("IFERROR(GOOGLEFINANCE(A302,""trail_dividend""),"""")"),"")</f>
        <v/>
      </c>
      <c r="D302" s="3" t="str">
        <f>IFERROR(__xludf.DUMMYFUNCTION("IFERROR(INDEX(IMPORTXML(""https://finance.yahoo.com/quote/""&amp;A302, ""//td[@data-test='EX_DIVIDEND_DATE-value']""),1),"""")"),"")</f>
        <v/>
      </c>
    </row>
    <row r="303" ht="15.75" customHeight="1">
      <c r="B303" s="3" t="str">
        <f>IFERROR(__xludf.DUMMYFUNCTION("IFERROR(GOOGLEFINANCE(A303,""yield"")*100,"""")"),"")</f>
        <v/>
      </c>
      <c r="C303" s="3" t="str">
        <f>IFERROR(__xludf.DUMMYFUNCTION("IFERROR(GOOGLEFINANCE(A303,""trail_dividend""),"""")"),"")</f>
        <v/>
      </c>
      <c r="D303" s="3" t="str">
        <f>IFERROR(__xludf.DUMMYFUNCTION("IFERROR(INDEX(IMPORTXML(""https://finance.yahoo.com/quote/""&amp;A303, ""//td[@data-test='EX_DIVIDEND_DATE-value']""),1),"""")"),"")</f>
        <v/>
      </c>
    </row>
    <row r="304" ht="15.75" customHeight="1">
      <c r="B304" s="3" t="str">
        <f>IFERROR(__xludf.DUMMYFUNCTION("IFERROR(GOOGLEFINANCE(A304,""yield"")*100,"""")"),"")</f>
        <v/>
      </c>
      <c r="C304" s="3" t="str">
        <f>IFERROR(__xludf.DUMMYFUNCTION("IFERROR(GOOGLEFINANCE(A304,""trail_dividend""),"""")"),"")</f>
        <v/>
      </c>
      <c r="D304" s="3" t="str">
        <f>IFERROR(__xludf.DUMMYFUNCTION("IFERROR(INDEX(IMPORTXML(""https://finance.yahoo.com/quote/""&amp;A304, ""//td[@data-test='EX_DIVIDEND_DATE-value']""),1),"""")"),"")</f>
        <v/>
      </c>
    </row>
    <row r="305" ht="15.75" customHeight="1">
      <c r="B305" s="3" t="str">
        <f>IFERROR(__xludf.DUMMYFUNCTION("IFERROR(GOOGLEFINANCE(A305,""yield"")*100,"""")"),"")</f>
        <v/>
      </c>
      <c r="C305" s="3" t="str">
        <f>IFERROR(__xludf.DUMMYFUNCTION("IFERROR(GOOGLEFINANCE(A305,""trail_dividend""),"""")"),"")</f>
        <v/>
      </c>
      <c r="D305" s="3" t="str">
        <f>IFERROR(__xludf.DUMMYFUNCTION("IFERROR(INDEX(IMPORTXML(""https://finance.yahoo.com/quote/""&amp;A305, ""//td[@data-test='EX_DIVIDEND_DATE-value']""),1),"""")"),"")</f>
        <v/>
      </c>
    </row>
    <row r="306" ht="15.75" customHeight="1">
      <c r="B306" s="3" t="str">
        <f>IFERROR(__xludf.DUMMYFUNCTION("IFERROR(GOOGLEFINANCE(A306,""yield"")*100,"""")"),"")</f>
        <v/>
      </c>
      <c r="C306" s="3" t="str">
        <f>IFERROR(__xludf.DUMMYFUNCTION("IFERROR(GOOGLEFINANCE(A306,""trail_dividend""),"""")"),"")</f>
        <v/>
      </c>
      <c r="D306" s="3" t="str">
        <f>IFERROR(__xludf.DUMMYFUNCTION("IFERROR(INDEX(IMPORTXML(""https://finance.yahoo.com/quote/""&amp;A306, ""//td[@data-test='EX_DIVIDEND_DATE-value']""),1),"""")"),"")</f>
        <v/>
      </c>
    </row>
    <row r="307" ht="15.75" customHeight="1">
      <c r="B307" s="3" t="str">
        <f>IFERROR(__xludf.DUMMYFUNCTION("IFERROR(GOOGLEFINANCE(A307,""yield"")*100,"""")"),"")</f>
        <v/>
      </c>
      <c r="C307" s="3" t="str">
        <f>IFERROR(__xludf.DUMMYFUNCTION("IFERROR(GOOGLEFINANCE(A307,""trail_dividend""),"""")"),"")</f>
        <v/>
      </c>
      <c r="D307" s="3" t="str">
        <f>IFERROR(__xludf.DUMMYFUNCTION("IFERROR(INDEX(IMPORTXML(""https://finance.yahoo.com/quote/""&amp;A307, ""//td[@data-test='EX_DIVIDEND_DATE-value']""),1),"""")"),"")</f>
        <v/>
      </c>
    </row>
    <row r="308" ht="15.75" customHeight="1">
      <c r="B308" s="3" t="str">
        <f>IFERROR(__xludf.DUMMYFUNCTION("IFERROR(GOOGLEFINANCE(A308,""yield"")*100,"""")"),"")</f>
        <v/>
      </c>
      <c r="C308" s="3" t="str">
        <f>IFERROR(__xludf.DUMMYFUNCTION("IFERROR(GOOGLEFINANCE(A308,""trail_dividend""),"""")"),"")</f>
        <v/>
      </c>
      <c r="D308" s="3" t="str">
        <f>IFERROR(__xludf.DUMMYFUNCTION("IFERROR(INDEX(IMPORTXML(""https://finance.yahoo.com/quote/""&amp;A308, ""//td[@data-test='EX_DIVIDEND_DATE-value']""),1),"""")"),"")</f>
        <v/>
      </c>
    </row>
    <row r="309" ht="15.75" customHeight="1">
      <c r="B309" s="3" t="str">
        <f>IFERROR(__xludf.DUMMYFUNCTION("IFERROR(GOOGLEFINANCE(A309,""yield"")*100,"""")"),"")</f>
        <v/>
      </c>
      <c r="C309" s="3" t="str">
        <f>IFERROR(__xludf.DUMMYFUNCTION("IFERROR(GOOGLEFINANCE(A309,""trail_dividend""),"""")"),"")</f>
        <v/>
      </c>
      <c r="D309" s="3" t="str">
        <f>IFERROR(__xludf.DUMMYFUNCTION("IFERROR(INDEX(IMPORTXML(""https://finance.yahoo.com/quote/""&amp;A309, ""//td[@data-test='EX_DIVIDEND_DATE-value']""),1),"""")"),"")</f>
        <v/>
      </c>
    </row>
    <row r="310" ht="15.75" customHeight="1">
      <c r="B310" s="3" t="str">
        <f>IFERROR(__xludf.DUMMYFUNCTION("IFERROR(GOOGLEFINANCE(A310,""yield"")*100,"""")"),"")</f>
        <v/>
      </c>
      <c r="C310" s="3" t="str">
        <f>IFERROR(__xludf.DUMMYFUNCTION("IFERROR(GOOGLEFINANCE(A310,""trail_dividend""),"""")"),"")</f>
        <v/>
      </c>
      <c r="D310" s="3" t="str">
        <f>IFERROR(__xludf.DUMMYFUNCTION("IFERROR(INDEX(IMPORTXML(""https://finance.yahoo.com/quote/""&amp;A310, ""//td[@data-test='EX_DIVIDEND_DATE-value']""),1),"""")"),"")</f>
        <v/>
      </c>
    </row>
    <row r="311" ht="15.75" customHeight="1">
      <c r="B311" s="3" t="str">
        <f>IFERROR(__xludf.DUMMYFUNCTION("IFERROR(GOOGLEFINANCE(A311,""yield"")*100,"""")"),"")</f>
        <v/>
      </c>
      <c r="C311" s="3" t="str">
        <f>IFERROR(__xludf.DUMMYFUNCTION("IFERROR(GOOGLEFINANCE(A311,""trail_dividend""),"""")"),"")</f>
        <v/>
      </c>
      <c r="D311" s="3" t="str">
        <f>IFERROR(__xludf.DUMMYFUNCTION("IFERROR(INDEX(IMPORTXML(""https://finance.yahoo.com/quote/""&amp;A311, ""//td[@data-test='EX_DIVIDEND_DATE-value']""),1),"""")"),"")</f>
        <v/>
      </c>
    </row>
    <row r="312" ht="15.75" customHeight="1">
      <c r="B312" s="3" t="str">
        <f>IFERROR(__xludf.DUMMYFUNCTION("IFERROR(GOOGLEFINANCE(A312,""yield"")*100,"""")"),"")</f>
        <v/>
      </c>
      <c r="C312" s="3" t="str">
        <f>IFERROR(__xludf.DUMMYFUNCTION("IFERROR(GOOGLEFINANCE(A312,""trail_dividend""),"""")"),"")</f>
        <v/>
      </c>
      <c r="D312" s="3" t="str">
        <f>IFERROR(__xludf.DUMMYFUNCTION("IFERROR(INDEX(IMPORTXML(""https://finance.yahoo.com/quote/""&amp;A312, ""//td[@data-test='EX_DIVIDEND_DATE-value']""),1),"""")"),"")</f>
        <v/>
      </c>
    </row>
    <row r="313" ht="15.75" customHeight="1">
      <c r="B313" s="3" t="str">
        <f>IFERROR(__xludf.DUMMYFUNCTION("IFERROR(GOOGLEFINANCE(A313,""yield"")*100,"""")"),"")</f>
        <v/>
      </c>
      <c r="C313" s="3" t="str">
        <f>IFERROR(__xludf.DUMMYFUNCTION("IFERROR(GOOGLEFINANCE(A313,""trail_dividend""),"""")"),"")</f>
        <v/>
      </c>
      <c r="D313" s="3" t="str">
        <f>IFERROR(__xludf.DUMMYFUNCTION("IFERROR(INDEX(IMPORTXML(""https://finance.yahoo.com/quote/""&amp;A313, ""//td[@data-test='EX_DIVIDEND_DATE-value']""),1),"""")"),"")</f>
        <v/>
      </c>
    </row>
    <row r="314" ht="15.75" customHeight="1">
      <c r="B314" s="3" t="str">
        <f>IFERROR(__xludf.DUMMYFUNCTION("IFERROR(GOOGLEFINANCE(A314,""yield"")*100,"""")"),"")</f>
        <v/>
      </c>
      <c r="C314" s="3" t="str">
        <f>IFERROR(__xludf.DUMMYFUNCTION("IFERROR(GOOGLEFINANCE(A314,""trail_dividend""),"""")"),"")</f>
        <v/>
      </c>
      <c r="D314" s="3" t="str">
        <f>IFERROR(__xludf.DUMMYFUNCTION("IFERROR(INDEX(IMPORTXML(""https://finance.yahoo.com/quote/""&amp;A314, ""//td[@data-test='EX_DIVIDEND_DATE-value']""),1),"""")"),"")</f>
        <v/>
      </c>
    </row>
    <row r="315" ht="15.75" customHeight="1">
      <c r="B315" s="3" t="str">
        <f>IFERROR(__xludf.DUMMYFUNCTION("IFERROR(GOOGLEFINANCE(A315,""yield"")*100,"""")"),"")</f>
        <v/>
      </c>
      <c r="C315" s="3" t="str">
        <f>IFERROR(__xludf.DUMMYFUNCTION("IFERROR(GOOGLEFINANCE(A315,""trail_dividend""),"""")"),"")</f>
        <v/>
      </c>
      <c r="D315" s="3" t="str">
        <f>IFERROR(__xludf.DUMMYFUNCTION("IFERROR(INDEX(IMPORTXML(""https://finance.yahoo.com/quote/""&amp;A315, ""//td[@data-test='EX_DIVIDEND_DATE-value']""),1),"""")"),"")</f>
        <v/>
      </c>
    </row>
    <row r="316" ht="15.75" customHeight="1">
      <c r="B316" s="3" t="str">
        <f>IFERROR(__xludf.DUMMYFUNCTION("IFERROR(GOOGLEFINANCE(A316,""yield"")*100,"""")"),"")</f>
        <v/>
      </c>
      <c r="C316" s="3" t="str">
        <f>IFERROR(__xludf.DUMMYFUNCTION("IFERROR(GOOGLEFINANCE(A316,""trail_dividend""),"""")"),"")</f>
        <v/>
      </c>
      <c r="D316" s="3" t="str">
        <f>IFERROR(__xludf.DUMMYFUNCTION("IFERROR(INDEX(IMPORTXML(""https://finance.yahoo.com/quote/""&amp;A316, ""//td[@data-test='EX_DIVIDEND_DATE-value']""),1),"""")"),"")</f>
        <v/>
      </c>
    </row>
    <row r="317" ht="15.75" customHeight="1">
      <c r="B317" s="3" t="str">
        <f>IFERROR(__xludf.DUMMYFUNCTION("IFERROR(GOOGLEFINANCE(A317,""yield"")*100,"""")"),"")</f>
        <v/>
      </c>
      <c r="C317" s="3" t="str">
        <f>IFERROR(__xludf.DUMMYFUNCTION("IFERROR(GOOGLEFINANCE(A317,""trail_dividend""),"""")"),"")</f>
        <v/>
      </c>
      <c r="D317" s="3" t="str">
        <f>IFERROR(__xludf.DUMMYFUNCTION("IFERROR(INDEX(IMPORTXML(""https://finance.yahoo.com/quote/""&amp;A317, ""//td[@data-test='EX_DIVIDEND_DATE-value']""),1),"""")"),"")</f>
        <v/>
      </c>
    </row>
    <row r="318" ht="15.75" customHeight="1">
      <c r="B318" s="3" t="str">
        <f>IFERROR(__xludf.DUMMYFUNCTION("IFERROR(GOOGLEFINANCE(A318,""yield"")*100,"""")"),"")</f>
        <v/>
      </c>
      <c r="C318" s="3" t="str">
        <f>IFERROR(__xludf.DUMMYFUNCTION("IFERROR(GOOGLEFINANCE(A318,""trail_dividend""),"""")"),"")</f>
        <v/>
      </c>
      <c r="D318" s="3" t="str">
        <f>IFERROR(__xludf.DUMMYFUNCTION("IFERROR(INDEX(IMPORTXML(""https://finance.yahoo.com/quote/""&amp;A318, ""//td[@data-test='EX_DIVIDEND_DATE-value']""),1),"""")"),"")</f>
        <v/>
      </c>
    </row>
    <row r="319" ht="15.75" customHeight="1">
      <c r="B319" s="3" t="str">
        <f>IFERROR(__xludf.DUMMYFUNCTION("IFERROR(GOOGLEFINANCE(A319,""yield"")*100,"""")"),"")</f>
        <v/>
      </c>
      <c r="C319" s="3" t="str">
        <f>IFERROR(__xludf.DUMMYFUNCTION("IFERROR(GOOGLEFINANCE(A319,""trail_dividend""),"""")"),"")</f>
        <v/>
      </c>
      <c r="D319" s="3" t="str">
        <f>IFERROR(__xludf.DUMMYFUNCTION("IFERROR(INDEX(IMPORTXML(""https://finance.yahoo.com/quote/""&amp;A319, ""//td[@data-test='EX_DIVIDEND_DATE-value']""),1),"""")"),"")</f>
        <v/>
      </c>
    </row>
    <row r="320" ht="15.75" customHeight="1">
      <c r="B320" s="3" t="str">
        <f>IFERROR(__xludf.DUMMYFUNCTION("IFERROR(GOOGLEFINANCE(A320,""yield"")*100,"""")"),"")</f>
        <v/>
      </c>
      <c r="C320" s="3" t="str">
        <f>IFERROR(__xludf.DUMMYFUNCTION("IFERROR(GOOGLEFINANCE(A320,""trail_dividend""),"""")"),"")</f>
        <v/>
      </c>
      <c r="D320" s="3" t="str">
        <f>IFERROR(__xludf.DUMMYFUNCTION("IFERROR(INDEX(IMPORTXML(""https://finance.yahoo.com/quote/""&amp;A320, ""//td[@data-test='EX_DIVIDEND_DATE-value']""),1),"""")"),"")</f>
        <v/>
      </c>
    </row>
    <row r="321" ht="15.75" customHeight="1">
      <c r="B321" s="3" t="str">
        <f>IFERROR(__xludf.DUMMYFUNCTION("IFERROR(GOOGLEFINANCE(A321,""yield"")*100,"""")"),"")</f>
        <v/>
      </c>
      <c r="C321" s="3" t="str">
        <f>IFERROR(__xludf.DUMMYFUNCTION("IFERROR(GOOGLEFINANCE(A321,""trail_dividend""),"""")"),"")</f>
        <v/>
      </c>
      <c r="D321" s="3" t="str">
        <f>IFERROR(__xludf.DUMMYFUNCTION("IFERROR(INDEX(IMPORTXML(""https://finance.yahoo.com/quote/""&amp;A321, ""//td[@data-test='EX_DIVIDEND_DATE-value']""),1),"""")"),"")</f>
        <v/>
      </c>
    </row>
    <row r="322" ht="15.75" customHeight="1">
      <c r="B322" s="3" t="str">
        <f>IFERROR(__xludf.DUMMYFUNCTION("IFERROR(GOOGLEFINANCE(A322,""yield"")*100,"""")"),"")</f>
        <v/>
      </c>
      <c r="C322" s="3" t="str">
        <f>IFERROR(__xludf.DUMMYFUNCTION("IFERROR(GOOGLEFINANCE(A322,""trail_dividend""),"""")"),"")</f>
        <v/>
      </c>
      <c r="D322" s="3" t="str">
        <f>IFERROR(__xludf.DUMMYFUNCTION("IFERROR(INDEX(IMPORTXML(""https://finance.yahoo.com/quote/""&amp;A322, ""//td[@data-test='EX_DIVIDEND_DATE-value']""),1),"""")"),"")</f>
        <v/>
      </c>
    </row>
    <row r="323" ht="15.75" customHeight="1">
      <c r="B323" s="3" t="str">
        <f>IFERROR(__xludf.DUMMYFUNCTION("IFERROR(GOOGLEFINANCE(A323,""yield"")*100,"""")"),"")</f>
        <v/>
      </c>
      <c r="C323" s="3" t="str">
        <f>IFERROR(__xludf.DUMMYFUNCTION("IFERROR(GOOGLEFINANCE(A323,""trail_dividend""),"""")"),"")</f>
        <v/>
      </c>
      <c r="D323" s="3" t="str">
        <f>IFERROR(__xludf.DUMMYFUNCTION("IFERROR(INDEX(IMPORTXML(""https://finance.yahoo.com/quote/""&amp;A323, ""//td[@data-test='EX_DIVIDEND_DATE-value']""),1),"""")"),"")</f>
        <v/>
      </c>
    </row>
    <row r="324" ht="15.75" customHeight="1">
      <c r="B324" s="3" t="str">
        <f>IFERROR(__xludf.DUMMYFUNCTION("IFERROR(GOOGLEFINANCE(A324,""yield"")*100,"""")"),"")</f>
        <v/>
      </c>
      <c r="C324" s="3" t="str">
        <f>IFERROR(__xludf.DUMMYFUNCTION("IFERROR(GOOGLEFINANCE(A324,""trail_dividend""),"""")"),"")</f>
        <v/>
      </c>
      <c r="D324" s="3" t="str">
        <f>IFERROR(__xludf.DUMMYFUNCTION("IFERROR(INDEX(IMPORTXML(""https://finance.yahoo.com/quote/""&amp;A324, ""//td[@data-test='EX_DIVIDEND_DATE-value']""),1),"""")"),"")</f>
        <v/>
      </c>
    </row>
    <row r="325" ht="15.75" customHeight="1">
      <c r="B325" s="3" t="str">
        <f>IFERROR(__xludf.DUMMYFUNCTION("IFERROR(GOOGLEFINANCE(A325,""yield"")*100,"""")"),"")</f>
        <v/>
      </c>
      <c r="C325" s="3" t="str">
        <f>IFERROR(__xludf.DUMMYFUNCTION("IFERROR(GOOGLEFINANCE(A325,""trail_dividend""),"""")"),"")</f>
        <v/>
      </c>
      <c r="D325" s="3" t="str">
        <f>IFERROR(__xludf.DUMMYFUNCTION("IFERROR(INDEX(IMPORTXML(""https://finance.yahoo.com/quote/""&amp;A325, ""//td[@data-test='EX_DIVIDEND_DATE-value']""),1),"""")"),"")</f>
        <v/>
      </c>
    </row>
    <row r="326" ht="15.75" customHeight="1">
      <c r="B326" s="3" t="str">
        <f>IFERROR(__xludf.DUMMYFUNCTION("IFERROR(GOOGLEFINANCE(A326,""yield"")*100,"""")"),"")</f>
        <v/>
      </c>
      <c r="C326" s="3" t="str">
        <f>IFERROR(__xludf.DUMMYFUNCTION("IFERROR(GOOGLEFINANCE(A326,""trail_dividend""),"""")"),"")</f>
        <v/>
      </c>
      <c r="D326" s="3" t="str">
        <f>IFERROR(__xludf.DUMMYFUNCTION("IFERROR(INDEX(IMPORTXML(""https://finance.yahoo.com/quote/""&amp;A326, ""//td[@data-test='EX_DIVIDEND_DATE-value']""),1),"""")"),"")</f>
        <v/>
      </c>
    </row>
    <row r="327" ht="15.75" customHeight="1">
      <c r="B327" s="3" t="str">
        <f>IFERROR(__xludf.DUMMYFUNCTION("IFERROR(GOOGLEFINANCE(A327,""yield"")*100,"""")"),"")</f>
        <v/>
      </c>
      <c r="C327" s="3" t="str">
        <f>IFERROR(__xludf.DUMMYFUNCTION("IFERROR(GOOGLEFINANCE(A327,""trail_dividend""),"""")"),"")</f>
        <v/>
      </c>
      <c r="D327" s="3" t="str">
        <f>IFERROR(__xludf.DUMMYFUNCTION("IFERROR(INDEX(IMPORTXML(""https://finance.yahoo.com/quote/""&amp;A327, ""//td[@data-test='EX_DIVIDEND_DATE-value']""),1),"""")"),"")</f>
        <v/>
      </c>
    </row>
    <row r="328" ht="15.75" customHeight="1">
      <c r="B328" s="3" t="str">
        <f>IFERROR(__xludf.DUMMYFUNCTION("IFERROR(GOOGLEFINANCE(A328,""yield"")*100,"""")"),"")</f>
        <v/>
      </c>
      <c r="C328" s="3" t="str">
        <f>IFERROR(__xludf.DUMMYFUNCTION("IFERROR(GOOGLEFINANCE(A328,""trail_dividend""),"""")"),"")</f>
        <v/>
      </c>
      <c r="D328" s="3" t="str">
        <f>IFERROR(__xludf.DUMMYFUNCTION("IFERROR(INDEX(IMPORTXML(""https://finance.yahoo.com/quote/""&amp;A328, ""//td[@data-test='EX_DIVIDEND_DATE-value']""),1),"""")"),"")</f>
        <v/>
      </c>
    </row>
    <row r="329" ht="15.75" customHeight="1">
      <c r="B329" s="3" t="str">
        <f>IFERROR(__xludf.DUMMYFUNCTION("IFERROR(GOOGLEFINANCE(A329,""yield"")*100,"""")"),"")</f>
        <v/>
      </c>
      <c r="C329" s="3" t="str">
        <f>IFERROR(__xludf.DUMMYFUNCTION("IFERROR(GOOGLEFINANCE(A329,""trail_dividend""),"""")"),"")</f>
        <v/>
      </c>
      <c r="D329" s="3" t="str">
        <f>IFERROR(__xludf.DUMMYFUNCTION("IFERROR(INDEX(IMPORTXML(""https://finance.yahoo.com/quote/""&amp;A329, ""//td[@data-test='EX_DIVIDEND_DATE-value']""),1),"""")"),"")</f>
        <v/>
      </c>
    </row>
    <row r="330" ht="15.75" customHeight="1">
      <c r="B330" s="3" t="str">
        <f>IFERROR(__xludf.DUMMYFUNCTION("IFERROR(GOOGLEFINANCE(A330,""yield"")*100,"""")"),"")</f>
        <v/>
      </c>
      <c r="C330" s="3" t="str">
        <f>IFERROR(__xludf.DUMMYFUNCTION("IFERROR(GOOGLEFINANCE(A330,""trail_dividend""),"""")"),"")</f>
        <v/>
      </c>
      <c r="D330" s="3" t="str">
        <f>IFERROR(__xludf.DUMMYFUNCTION("IFERROR(INDEX(IMPORTXML(""https://finance.yahoo.com/quote/""&amp;A330, ""//td[@data-test='EX_DIVIDEND_DATE-value']""),1),"""")"),"")</f>
        <v/>
      </c>
    </row>
    <row r="331" ht="15.75" customHeight="1">
      <c r="B331" s="3" t="str">
        <f>IFERROR(__xludf.DUMMYFUNCTION("IFERROR(GOOGLEFINANCE(A331,""yield"")*100,"""")"),"")</f>
        <v/>
      </c>
      <c r="C331" s="3" t="str">
        <f>IFERROR(__xludf.DUMMYFUNCTION("IFERROR(GOOGLEFINANCE(A331,""trail_dividend""),"""")"),"")</f>
        <v/>
      </c>
      <c r="D331" s="3" t="str">
        <f>IFERROR(__xludf.DUMMYFUNCTION("IFERROR(INDEX(IMPORTXML(""https://finance.yahoo.com/quote/""&amp;A331, ""//td[@data-test='EX_DIVIDEND_DATE-value']""),1),"""")"),"")</f>
        <v/>
      </c>
    </row>
    <row r="332" ht="15.75" customHeight="1">
      <c r="B332" s="3" t="str">
        <f>IFERROR(__xludf.DUMMYFUNCTION("IFERROR(GOOGLEFINANCE(A332,""yield"")*100,"""")"),"")</f>
        <v/>
      </c>
      <c r="C332" s="3" t="str">
        <f>IFERROR(__xludf.DUMMYFUNCTION("IFERROR(GOOGLEFINANCE(A332,""trail_dividend""),"""")"),"")</f>
        <v/>
      </c>
      <c r="D332" s="3" t="str">
        <f>IFERROR(__xludf.DUMMYFUNCTION("IFERROR(INDEX(IMPORTXML(""https://finance.yahoo.com/quote/""&amp;A332, ""//td[@data-test='EX_DIVIDEND_DATE-value']""),1),"""")"),"")</f>
        <v/>
      </c>
    </row>
    <row r="333" ht="15.75" customHeight="1">
      <c r="B333" s="3" t="str">
        <f>IFERROR(__xludf.DUMMYFUNCTION("IFERROR(GOOGLEFINANCE(A333,""yield"")*100,"""")"),"")</f>
        <v/>
      </c>
      <c r="C333" s="3" t="str">
        <f>IFERROR(__xludf.DUMMYFUNCTION("IFERROR(GOOGLEFINANCE(A333,""trail_dividend""),"""")"),"")</f>
        <v/>
      </c>
      <c r="D333" s="3" t="str">
        <f>IFERROR(__xludf.DUMMYFUNCTION("IFERROR(INDEX(IMPORTXML(""https://finance.yahoo.com/quote/""&amp;A333, ""//td[@data-test='EX_DIVIDEND_DATE-value']""),1),"""")"),"")</f>
        <v/>
      </c>
    </row>
    <row r="334" ht="15.75" customHeight="1">
      <c r="B334" s="3" t="str">
        <f>IFERROR(__xludf.DUMMYFUNCTION("IFERROR(GOOGLEFINANCE(A334,""yield"")*100,"""")"),"")</f>
        <v/>
      </c>
      <c r="C334" s="3" t="str">
        <f>IFERROR(__xludf.DUMMYFUNCTION("IFERROR(GOOGLEFINANCE(A334,""trail_dividend""),"""")"),"")</f>
        <v/>
      </c>
      <c r="D334" s="3" t="str">
        <f>IFERROR(__xludf.DUMMYFUNCTION("IFERROR(INDEX(IMPORTXML(""https://finance.yahoo.com/quote/""&amp;A334, ""//td[@data-test='EX_DIVIDEND_DATE-value']""),1),"""")"),"")</f>
        <v/>
      </c>
    </row>
    <row r="335" ht="15.75" customHeight="1">
      <c r="B335" s="3" t="str">
        <f>IFERROR(__xludf.DUMMYFUNCTION("IFERROR(GOOGLEFINANCE(A335,""yield"")*100,"""")"),"")</f>
        <v/>
      </c>
      <c r="C335" s="3" t="str">
        <f>IFERROR(__xludf.DUMMYFUNCTION("IFERROR(GOOGLEFINANCE(A335,""trail_dividend""),"""")"),"")</f>
        <v/>
      </c>
      <c r="D335" s="3" t="str">
        <f>IFERROR(__xludf.DUMMYFUNCTION("IFERROR(INDEX(IMPORTXML(""https://finance.yahoo.com/quote/""&amp;A335, ""//td[@data-test='EX_DIVIDEND_DATE-value']""),1),"""")"),"")</f>
        <v/>
      </c>
    </row>
    <row r="336" ht="15.75" customHeight="1">
      <c r="B336" s="3" t="str">
        <f>IFERROR(__xludf.DUMMYFUNCTION("IFERROR(GOOGLEFINANCE(A336,""yield"")*100,"""")"),"")</f>
        <v/>
      </c>
      <c r="C336" s="3" t="str">
        <f>IFERROR(__xludf.DUMMYFUNCTION("IFERROR(GOOGLEFINANCE(A336,""trail_dividend""),"""")"),"")</f>
        <v/>
      </c>
      <c r="D336" s="3" t="str">
        <f>IFERROR(__xludf.DUMMYFUNCTION("IFERROR(INDEX(IMPORTXML(""https://finance.yahoo.com/quote/""&amp;A336, ""//td[@data-test='EX_DIVIDEND_DATE-value']""),1),"""")"),"")</f>
        <v/>
      </c>
    </row>
    <row r="337" ht="15.75" customHeight="1">
      <c r="B337" s="3" t="str">
        <f>IFERROR(__xludf.DUMMYFUNCTION("IFERROR(GOOGLEFINANCE(A337,""yield"")*100,"""")"),"")</f>
        <v/>
      </c>
      <c r="C337" s="3" t="str">
        <f>IFERROR(__xludf.DUMMYFUNCTION("IFERROR(GOOGLEFINANCE(A337,""trail_dividend""),"""")"),"")</f>
        <v/>
      </c>
      <c r="D337" s="3" t="str">
        <f>IFERROR(__xludf.DUMMYFUNCTION("IFERROR(INDEX(IMPORTXML(""https://finance.yahoo.com/quote/""&amp;A337, ""//td[@data-test='EX_DIVIDEND_DATE-value']""),1),"""")"),"")</f>
        <v/>
      </c>
    </row>
    <row r="338" ht="15.75" customHeight="1">
      <c r="B338" s="3" t="str">
        <f>IFERROR(__xludf.DUMMYFUNCTION("IFERROR(GOOGLEFINANCE(A338,""yield"")*100,"""")"),"")</f>
        <v/>
      </c>
      <c r="C338" s="3" t="str">
        <f>IFERROR(__xludf.DUMMYFUNCTION("IFERROR(GOOGLEFINANCE(A338,""trail_dividend""),"""")"),"")</f>
        <v/>
      </c>
      <c r="D338" s="3" t="str">
        <f>IFERROR(__xludf.DUMMYFUNCTION("IFERROR(INDEX(IMPORTXML(""https://finance.yahoo.com/quote/""&amp;A338, ""//td[@data-test='EX_DIVIDEND_DATE-value']""),1),"""")"),"")</f>
        <v/>
      </c>
    </row>
    <row r="339" ht="15.75" customHeight="1">
      <c r="B339" s="3" t="str">
        <f>IFERROR(__xludf.DUMMYFUNCTION("IFERROR(GOOGLEFINANCE(A339,""yield"")*100,"""")"),"")</f>
        <v/>
      </c>
      <c r="C339" s="3" t="str">
        <f>IFERROR(__xludf.DUMMYFUNCTION("IFERROR(GOOGLEFINANCE(A339,""trail_dividend""),"""")"),"")</f>
        <v/>
      </c>
      <c r="D339" s="3" t="str">
        <f>IFERROR(__xludf.DUMMYFUNCTION("IFERROR(INDEX(IMPORTXML(""https://finance.yahoo.com/quote/""&amp;A339, ""//td[@data-test='EX_DIVIDEND_DATE-value']""),1),"""")"),"")</f>
        <v/>
      </c>
    </row>
    <row r="340" ht="15.75" customHeight="1">
      <c r="B340" s="3" t="str">
        <f>IFERROR(__xludf.DUMMYFUNCTION("IFERROR(GOOGLEFINANCE(A340,""yield"")*100,"""")"),"")</f>
        <v/>
      </c>
      <c r="C340" s="3" t="str">
        <f>IFERROR(__xludf.DUMMYFUNCTION("IFERROR(GOOGLEFINANCE(A340,""trail_dividend""),"""")"),"")</f>
        <v/>
      </c>
      <c r="D340" s="3" t="str">
        <f>IFERROR(__xludf.DUMMYFUNCTION("IFERROR(INDEX(IMPORTXML(""https://finance.yahoo.com/quote/""&amp;A340, ""//td[@data-test='EX_DIVIDEND_DATE-value']""),1),"""")"),"")</f>
        <v/>
      </c>
    </row>
    <row r="341" ht="15.75" customHeight="1">
      <c r="B341" s="3" t="str">
        <f>IFERROR(__xludf.DUMMYFUNCTION("IFERROR(GOOGLEFINANCE(A341,""yield"")*100,"""")"),"")</f>
        <v/>
      </c>
      <c r="C341" s="3" t="str">
        <f>IFERROR(__xludf.DUMMYFUNCTION("IFERROR(GOOGLEFINANCE(A341,""trail_dividend""),"""")"),"")</f>
        <v/>
      </c>
      <c r="D341" s="3" t="str">
        <f>IFERROR(__xludf.DUMMYFUNCTION("IFERROR(INDEX(IMPORTXML(""https://finance.yahoo.com/quote/""&amp;A341, ""//td[@data-test='EX_DIVIDEND_DATE-value']""),1),"""")"),"")</f>
        <v/>
      </c>
    </row>
    <row r="342" ht="15.75" customHeight="1">
      <c r="B342" s="3" t="str">
        <f>IFERROR(__xludf.DUMMYFUNCTION("IFERROR(GOOGLEFINANCE(A342,""yield"")*100,"""")"),"")</f>
        <v/>
      </c>
      <c r="C342" s="3" t="str">
        <f>IFERROR(__xludf.DUMMYFUNCTION("IFERROR(GOOGLEFINANCE(A342,""trail_dividend""),"""")"),"")</f>
        <v/>
      </c>
      <c r="D342" s="3" t="str">
        <f>IFERROR(__xludf.DUMMYFUNCTION("IFERROR(INDEX(IMPORTXML(""https://finance.yahoo.com/quote/""&amp;A342, ""//td[@data-test='EX_DIVIDEND_DATE-value']""),1),"""")"),"")</f>
        <v/>
      </c>
    </row>
    <row r="343" ht="15.75" customHeight="1">
      <c r="B343" s="3" t="str">
        <f>IFERROR(__xludf.DUMMYFUNCTION("IFERROR(GOOGLEFINANCE(A343,""yield"")*100,"""")"),"")</f>
        <v/>
      </c>
      <c r="C343" s="3" t="str">
        <f>IFERROR(__xludf.DUMMYFUNCTION("IFERROR(GOOGLEFINANCE(A343,""trail_dividend""),"""")"),"")</f>
        <v/>
      </c>
      <c r="D343" s="3" t="str">
        <f>IFERROR(__xludf.DUMMYFUNCTION("IFERROR(INDEX(IMPORTXML(""https://finance.yahoo.com/quote/""&amp;A343, ""//td[@data-test='EX_DIVIDEND_DATE-value']""),1),"""")"),"")</f>
        <v/>
      </c>
    </row>
    <row r="344" ht="15.75" customHeight="1">
      <c r="B344" s="3" t="str">
        <f>IFERROR(__xludf.DUMMYFUNCTION("IFERROR(GOOGLEFINANCE(A344,""yield"")*100,"""")"),"")</f>
        <v/>
      </c>
      <c r="C344" s="3" t="str">
        <f>IFERROR(__xludf.DUMMYFUNCTION("IFERROR(GOOGLEFINANCE(A344,""trail_dividend""),"""")"),"")</f>
        <v/>
      </c>
      <c r="D344" s="3" t="str">
        <f>IFERROR(__xludf.DUMMYFUNCTION("IFERROR(INDEX(IMPORTXML(""https://finance.yahoo.com/quote/""&amp;A344, ""//td[@data-test='EX_DIVIDEND_DATE-value']""),1),"""")"),"")</f>
        <v/>
      </c>
    </row>
    <row r="345" ht="15.75" customHeight="1">
      <c r="B345" s="3" t="str">
        <f>IFERROR(__xludf.DUMMYFUNCTION("IFERROR(GOOGLEFINANCE(A345,""yield"")*100,"""")"),"")</f>
        <v/>
      </c>
      <c r="C345" s="3" t="str">
        <f>IFERROR(__xludf.DUMMYFUNCTION("IFERROR(GOOGLEFINANCE(A345,""trail_dividend""),"""")"),"")</f>
        <v/>
      </c>
      <c r="D345" s="3" t="str">
        <f>IFERROR(__xludf.DUMMYFUNCTION("IFERROR(INDEX(IMPORTXML(""https://finance.yahoo.com/quote/""&amp;A345, ""//td[@data-test='EX_DIVIDEND_DATE-value']""),1),"""")"),"")</f>
        <v/>
      </c>
    </row>
    <row r="346" ht="15.75" customHeight="1">
      <c r="B346" s="3" t="str">
        <f>IFERROR(__xludf.DUMMYFUNCTION("IFERROR(GOOGLEFINANCE(A346,""yield"")*100,"""")"),"")</f>
        <v/>
      </c>
      <c r="C346" s="3" t="str">
        <f>IFERROR(__xludf.DUMMYFUNCTION("IFERROR(GOOGLEFINANCE(A346,""trail_dividend""),"""")"),"")</f>
        <v/>
      </c>
      <c r="D346" s="3" t="str">
        <f>IFERROR(__xludf.DUMMYFUNCTION("IFERROR(INDEX(IMPORTXML(""https://finance.yahoo.com/quote/""&amp;A346, ""//td[@data-test='EX_DIVIDEND_DATE-value']""),1),"""")"),"")</f>
        <v/>
      </c>
    </row>
    <row r="347" ht="15.75" customHeight="1">
      <c r="B347" s="3" t="str">
        <f>IFERROR(__xludf.DUMMYFUNCTION("IFERROR(GOOGLEFINANCE(A347,""yield"")*100,"""")"),"")</f>
        <v/>
      </c>
      <c r="C347" s="3" t="str">
        <f>IFERROR(__xludf.DUMMYFUNCTION("IFERROR(GOOGLEFINANCE(A347,""trail_dividend""),"""")"),"")</f>
        <v/>
      </c>
      <c r="D347" s="3" t="str">
        <f>IFERROR(__xludf.DUMMYFUNCTION("IFERROR(INDEX(IMPORTXML(""https://finance.yahoo.com/quote/""&amp;A347, ""//td[@data-test='EX_DIVIDEND_DATE-value']""),1),"""")"),"")</f>
        <v/>
      </c>
    </row>
    <row r="348" ht="15.75" customHeight="1">
      <c r="B348" s="3" t="str">
        <f>IFERROR(__xludf.DUMMYFUNCTION("IFERROR(GOOGLEFINANCE(A348,""yield"")*100,"""")"),"")</f>
        <v/>
      </c>
      <c r="C348" s="3" t="str">
        <f>IFERROR(__xludf.DUMMYFUNCTION("IFERROR(GOOGLEFINANCE(A348,""trail_dividend""),"""")"),"")</f>
        <v/>
      </c>
      <c r="D348" s="3" t="str">
        <f>IFERROR(__xludf.DUMMYFUNCTION("IFERROR(INDEX(IMPORTXML(""https://finance.yahoo.com/quote/""&amp;A348, ""//td[@data-test='EX_DIVIDEND_DATE-value']""),1),"""")"),"")</f>
        <v/>
      </c>
    </row>
    <row r="349" ht="15.75" customHeight="1">
      <c r="B349" s="3" t="str">
        <f>IFERROR(__xludf.DUMMYFUNCTION("IFERROR(GOOGLEFINANCE(A349,""yield"")*100,"""")"),"")</f>
        <v/>
      </c>
      <c r="C349" s="3" t="str">
        <f>IFERROR(__xludf.DUMMYFUNCTION("IFERROR(GOOGLEFINANCE(A349,""trail_dividend""),"""")"),"")</f>
        <v/>
      </c>
      <c r="D349" s="3" t="str">
        <f>IFERROR(__xludf.DUMMYFUNCTION("IFERROR(INDEX(IMPORTXML(""https://finance.yahoo.com/quote/""&amp;A349, ""//td[@data-test='EX_DIVIDEND_DATE-value']""),1),"""")"),"")</f>
        <v/>
      </c>
    </row>
    <row r="350" ht="15.75" customHeight="1">
      <c r="B350" s="3" t="str">
        <f>IFERROR(__xludf.DUMMYFUNCTION("IFERROR(GOOGLEFINANCE(A350,""yield"")*100,"""")"),"")</f>
        <v/>
      </c>
      <c r="C350" s="3" t="str">
        <f>IFERROR(__xludf.DUMMYFUNCTION("IFERROR(GOOGLEFINANCE(A350,""trail_dividend""),"""")"),"")</f>
        <v/>
      </c>
      <c r="D350" s="3" t="str">
        <f>IFERROR(__xludf.DUMMYFUNCTION("IFERROR(INDEX(IMPORTXML(""https://finance.yahoo.com/quote/""&amp;A350, ""//td[@data-test='EX_DIVIDEND_DATE-value']""),1),"""")"),"")</f>
        <v/>
      </c>
    </row>
    <row r="351" ht="15.75" customHeight="1">
      <c r="B351" s="3" t="str">
        <f>IFERROR(__xludf.DUMMYFUNCTION("IFERROR(GOOGLEFINANCE(A351,""yield"")*100,"""")"),"")</f>
        <v/>
      </c>
      <c r="C351" s="3" t="str">
        <f>IFERROR(__xludf.DUMMYFUNCTION("IFERROR(GOOGLEFINANCE(A351,""trail_dividend""),"""")"),"")</f>
        <v/>
      </c>
      <c r="D351" s="3" t="str">
        <f>IFERROR(__xludf.DUMMYFUNCTION("IFERROR(INDEX(IMPORTXML(""https://finance.yahoo.com/quote/""&amp;A351, ""//td[@data-test='EX_DIVIDEND_DATE-value']""),1),"""")"),"")</f>
        <v/>
      </c>
    </row>
    <row r="352" ht="15.75" customHeight="1">
      <c r="B352" s="3" t="str">
        <f>IFERROR(__xludf.DUMMYFUNCTION("IFERROR(GOOGLEFINANCE(A352,""yield"")*100,"""")"),"")</f>
        <v/>
      </c>
      <c r="C352" s="3" t="str">
        <f>IFERROR(__xludf.DUMMYFUNCTION("IFERROR(GOOGLEFINANCE(A352,""trail_dividend""),"""")"),"")</f>
        <v/>
      </c>
      <c r="D352" s="3" t="str">
        <f>IFERROR(__xludf.DUMMYFUNCTION("IFERROR(INDEX(IMPORTXML(""https://finance.yahoo.com/quote/""&amp;A352, ""//td[@data-test='EX_DIVIDEND_DATE-value']""),1),"""")"),"")</f>
        <v/>
      </c>
    </row>
    <row r="353" ht="15.75" customHeight="1">
      <c r="B353" s="3" t="str">
        <f>IFERROR(__xludf.DUMMYFUNCTION("IFERROR(GOOGLEFINANCE(A353,""yield"")*100,"""")"),"")</f>
        <v/>
      </c>
      <c r="C353" s="3" t="str">
        <f>IFERROR(__xludf.DUMMYFUNCTION("IFERROR(GOOGLEFINANCE(A353,""trail_dividend""),"""")"),"")</f>
        <v/>
      </c>
      <c r="D353" s="3" t="str">
        <f>IFERROR(__xludf.DUMMYFUNCTION("IFERROR(INDEX(IMPORTXML(""https://finance.yahoo.com/quote/""&amp;A353, ""//td[@data-test='EX_DIVIDEND_DATE-value']""),1),"""")"),"")</f>
        <v/>
      </c>
    </row>
    <row r="354" ht="15.75" customHeight="1">
      <c r="B354" s="3" t="str">
        <f>IFERROR(__xludf.DUMMYFUNCTION("IFERROR(GOOGLEFINANCE(A354,""yield"")*100,"""")"),"")</f>
        <v/>
      </c>
      <c r="C354" s="3" t="str">
        <f>IFERROR(__xludf.DUMMYFUNCTION("IFERROR(GOOGLEFINANCE(A354,""trail_dividend""),"""")"),"")</f>
        <v/>
      </c>
      <c r="D354" s="3" t="str">
        <f>IFERROR(__xludf.DUMMYFUNCTION("IFERROR(INDEX(IMPORTXML(""https://finance.yahoo.com/quote/""&amp;A354, ""//td[@data-test='EX_DIVIDEND_DATE-value']""),1),"""")"),"")</f>
        <v/>
      </c>
    </row>
    <row r="355" ht="15.75" customHeight="1">
      <c r="B355" s="3" t="str">
        <f>IFERROR(__xludf.DUMMYFUNCTION("IFERROR(GOOGLEFINANCE(A355,""yield"")*100,"""")"),"")</f>
        <v/>
      </c>
      <c r="C355" s="3" t="str">
        <f>IFERROR(__xludf.DUMMYFUNCTION("IFERROR(GOOGLEFINANCE(A355,""trail_dividend""),"""")"),"")</f>
        <v/>
      </c>
      <c r="D355" s="3" t="str">
        <f>IFERROR(__xludf.DUMMYFUNCTION("IFERROR(INDEX(IMPORTXML(""https://finance.yahoo.com/quote/""&amp;A355, ""//td[@data-test='EX_DIVIDEND_DATE-value']""),1),"""")"),"")</f>
        <v/>
      </c>
    </row>
    <row r="356" ht="15.75" customHeight="1">
      <c r="B356" s="3" t="str">
        <f>IFERROR(__xludf.DUMMYFUNCTION("IFERROR(GOOGLEFINANCE(A356,""yield"")*100,"""")"),"")</f>
        <v/>
      </c>
      <c r="C356" s="3" t="str">
        <f>IFERROR(__xludf.DUMMYFUNCTION("IFERROR(GOOGLEFINANCE(A356,""trail_dividend""),"""")"),"")</f>
        <v/>
      </c>
      <c r="D356" s="3" t="str">
        <f>IFERROR(__xludf.DUMMYFUNCTION("IFERROR(INDEX(IMPORTXML(""https://finance.yahoo.com/quote/""&amp;A356, ""//td[@data-test='EX_DIVIDEND_DATE-value']""),1),"""")"),"")</f>
        <v/>
      </c>
    </row>
    <row r="357" ht="15.75" customHeight="1">
      <c r="B357" s="3" t="str">
        <f>IFERROR(__xludf.DUMMYFUNCTION("IFERROR(GOOGLEFINANCE(A357,""yield"")*100,"""")"),"")</f>
        <v/>
      </c>
      <c r="C357" s="3" t="str">
        <f>IFERROR(__xludf.DUMMYFUNCTION("IFERROR(GOOGLEFINANCE(A357,""trail_dividend""),"""")"),"")</f>
        <v/>
      </c>
      <c r="D357" s="3" t="str">
        <f>IFERROR(__xludf.DUMMYFUNCTION("IFERROR(INDEX(IMPORTXML(""https://finance.yahoo.com/quote/""&amp;A357, ""//td[@data-test='EX_DIVIDEND_DATE-value']""),1),"""")"),"")</f>
        <v/>
      </c>
    </row>
    <row r="358" ht="15.75" customHeight="1">
      <c r="B358" s="3" t="str">
        <f>IFERROR(__xludf.DUMMYFUNCTION("IFERROR(GOOGLEFINANCE(A358,""yield"")*100,"""")"),"")</f>
        <v/>
      </c>
      <c r="C358" s="3" t="str">
        <f>IFERROR(__xludf.DUMMYFUNCTION("IFERROR(GOOGLEFINANCE(A358,""trail_dividend""),"""")"),"")</f>
        <v/>
      </c>
      <c r="D358" s="3" t="str">
        <f>IFERROR(__xludf.DUMMYFUNCTION("IFERROR(INDEX(IMPORTXML(""https://finance.yahoo.com/quote/""&amp;A358, ""//td[@data-test='EX_DIVIDEND_DATE-value']""),1),"""")"),"")</f>
        <v/>
      </c>
    </row>
    <row r="359" ht="15.75" customHeight="1">
      <c r="B359" s="3" t="str">
        <f>IFERROR(__xludf.DUMMYFUNCTION("IFERROR(GOOGLEFINANCE(A359,""yield"")*100,"""")"),"")</f>
        <v/>
      </c>
      <c r="C359" s="3" t="str">
        <f>IFERROR(__xludf.DUMMYFUNCTION("IFERROR(GOOGLEFINANCE(A359,""trail_dividend""),"""")"),"")</f>
        <v/>
      </c>
      <c r="D359" s="3" t="str">
        <f>IFERROR(__xludf.DUMMYFUNCTION("IFERROR(INDEX(IMPORTXML(""https://finance.yahoo.com/quote/""&amp;A359, ""//td[@data-test='EX_DIVIDEND_DATE-value']""),1),"""")"),"")</f>
        <v/>
      </c>
    </row>
    <row r="360" ht="15.75" customHeight="1">
      <c r="B360" s="3" t="str">
        <f>IFERROR(__xludf.DUMMYFUNCTION("IFERROR(GOOGLEFINANCE(A360,""yield"")*100,"""")"),"")</f>
        <v/>
      </c>
      <c r="C360" s="3" t="str">
        <f>IFERROR(__xludf.DUMMYFUNCTION("IFERROR(GOOGLEFINANCE(A360,""trail_dividend""),"""")"),"")</f>
        <v/>
      </c>
      <c r="D360" s="3" t="str">
        <f>IFERROR(__xludf.DUMMYFUNCTION("IFERROR(INDEX(IMPORTXML(""https://finance.yahoo.com/quote/""&amp;A360, ""//td[@data-test='EX_DIVIDEND_DATE-value']""),1),"""")"),"")</f>
        <v/>
      </c>
    </row>
    <row r="361" ht="15.75" customHeight="1">
      <c r="B361" s="3" t="str">
        <f>IFERROR(__xludf.DUMMYFUNCTION("IFERROR(GOOGLEFINANCE(A361,""yield"")*100,"""")"),"")</f>
        <v/>
      </c>
      <c r="C361" s="3" t="str">
        <f>IFERROR(__xludf.DUMMYFUNCTION("IFERROR(GOOGLEFINANCE(A361,""trail_dividend""),"""")"),"")</f>
        <v/>
      </c>
      <c r="D361" s="3" t="str">
        <f>IFERROR(__xludf.DUMMYFUNCTION("IFERROR(INDEX(IMPORTXML(""https://finance.yahoo.com/quote/""&amp;A361, ""//td[@data-test='EX_DIVIDEND_DATE-value']""),1),"""")"),"")</f>
        <v/>
      </c>
    </row>
    <row r="362" ht="15.75" customHeight="1">
      <c r="B362" s="3" t="str">
        <f>IFERROR(__xludf.DUMMYFUNCTION("IFERROR(GOOGLEFINANCE(A362,""yield"")*100,"""")"),"")</f>
        <v/>
      </c>
      <c r="C362" s="3" t="str">
        <f>IFERROR(__xludf.DUMMYFUNCTION("IFERROR(GOOGLEFINANCE(A362,""trail_dividend""),"""")"),"")</f>
        <v/>
      </c>
      <c r="D362" s="3" t="str">
        <f>IFERROR(__xludf.DUMMYFUNCTION("IFERROR(INDEX(IMPORTXML(""https://finance.yahoo.com/quote/""&amp;A362, ""//td[@data-test='EX_DIVIDEND_DATE-value']""),1),"""")"),"")</f>
        <v/>
      </c>
    </row>
    <row r="363" ht="15.75" customHeight="1">
      <c r="B363" s="3" t="str">
        <f>IFERROR(__xludf.DUMMYFUNCTION("IFERROR(GOOGLEFINANCE(A363,""yield"")*100,"""")"),"")</f>
        <v/>
      </c>
      <c r="C363" s="3" t="str">
        <f>IFERROR(__xludf.DUMMYFUNCTION("IFERROR(GOOGLEFINANCE(A363,""trail_dividend""),"""")"),"")</f>
        <v/>
      </c>
      <c r="D363" s="3" t="str">
        <f>IFERROR(__xludf.DUMMYFUNCTION("IFERROR(INDEX(IMPORTXML(""https://finance.yahoo.com/quote/""&amp;A363, ""//td[@data-test='EX_DIVIDEND_DATE-value']""),1),"""")"),"")</f>
        <v/>
      </c>
    </row>
    <row r="364" ht="15.75" customHeight="1">
      <c r="B364" s="3" t="str">
        <f>IFERROR(__xludf.DUMMYFUNCTION("IFERROR(GOOGLEFINANCE(A364,""yield"")*100,"""")"),"")</f>
        <v/>
      </c>
      <c r="C364" s="3" t="str">
        <f>IFERROR(__xludf.DUMMYFUNCTION("IFERROR(GOOGLEFINANCE(A364,""trail_dividend""),"""")"),"")</f>
        <v/>
      </c>
      <c r="D364" s="3" t="str">
        <f>IFERROR(__xludf.DUMMYFUNCTION("IFERROR(INDEX(IMPORTXML(""https://finance.yahoo.com/quote/""&amp;A364, ""//td[@data-test='EX_DIVIDEND_DATE-value']""),1),"""")"),"")</f>
        <v/>
      </c>
    </row>
    <row r="365" ht="15.75" customHeight="1">
      <c r="B365" s="3" t="str">
        <f>IFERROR(__xludf.DUMMYFUNCTION("IFERROR(GOOGLEFINANCE(A365,""yield"")*100,"""")"),"")</f>
        <v/>
      </c>
      <c r="C365" s="3" t="str">
        <f>IFERROR(__xludf.DUMMYFUNCTION("IFERROR(GOOGLEFINANCE(A365,""trail_dividend""),"""")"),"")</f>
        <v/>
      </c>
      <c r="D365" s="3" t="str">
        <f>IFERROR(__xludf.DUMMYFUNCTION("IFERROR(INDEX(IMPORTXML(""https://finance.yahoo.com/quote/""&amp;A365, ""//td[@data-test='EX_DIVIDEND_DATE-value']""),1),"""")"),"")</f>
        <v/>
      </c>
    </row>
    <row r="366" ht="15.75" customHeight="1">
      <c r="B366" s="3" t="str">
        <f>IFERROR(__xludf.DUMMYFUNCTION("IFERROR(GOOGLEFINANCE(A366,""yield"")*100,"""")"),"")</f>
        <v/>
      </c>
      <c r="C366" s="3" t="str">
        <f>IFERROR(__xludf.DUMMYFUNCTION("IFERROR(GOOGLEFINANCE(A366,""trail_dividend""),"""")"),"")</f>
        <v/>
      </c>
      <c r="D366" s="3" t="str">
        <f>IFERROR(__xludf.DUMMYFUNCTION("IFERROR(INDEX(IMPORTXML(""https://finance.yahoo.com/quote/""&amp;A366, ""//td[@data-test='EX_DIVIDEND_DATE-value']""),1),"""")"),"")</f>
        <v/>
      </c>
    </row>
    <row r="367" ht="15.75" customHeight="1">
      <c r="B367" s="3" t="str">
        <f>IFERROR(__xludf.DUMMYFUNCTION("IFERROR(GOOGLEFINANCE(A367,""yield"")*100,"""")"),"")</f>
        <v/>
      </c>
      <c r="C367" s="3" t="str">
        <f>IFERROR(__xludf.DUMMYFUNCTION("IFERROR(GOOGLEFINANCE(A367,""trail_dividend""),"""")"),"")</f>
        <v/>
      </c>
      <c r="D367" s="3" t="str">
        <f>IFERROR(__xludf.DUMMYFUNCTION("IFERROR(INDEX(IMPORTXML(""https://finance.yahoo.com/quote/""&amp;A367, ""//td[@data-test='EX_DIVIDEND_DATE-value']""),1),"""")"),"")</f>
        <v/>
      </c>
    </row>
    <row r="368" ht="15.75" customHeight="1">
      <c r="B368" s="3" t="str">
        <f>IFERROR(__xludf.DUMMYFUNCTION("IFERROR(GOOGLEFINANCE(A368,""yield"")*100,"""")"),"")</f>
        <v/>
      </c>
      <c r="C368" s="3" t="str">
        <f>IFERROR(__xludf.DUMMYFUNCTION("IFERROR(GOOGLEFINANCE(A368,""trail_dividend""),"""")"),"")</f>
        <v/>
      </c>
      <c r="D368" s="3" t="str">
        <f>IFERROR(__xludf.DUMMYFUNCTION("IFERROR(INDEX(IMPORTXML(""https://finance.yahoo.com/quote/""&amp;A368, ""//td[@data-test='EX_DIVIDEND_DATE-value']""),1),"""")"),"")</f>
        <v/>
      </c>
    </row>
    <row r="369" ht="15.75" customHeight="1">
      <c r="B369" s="3" t="str">
        <f>IFERROR(__xludf.DUMMYFUNCTION("IFERROR(GOOGLEFINANCE(A369,""yield"")*100,"""")"),"")</f>
        <v/>
      </c>
      <c r="C369" s="3" t="str">
        <f>IFERROR(__xludf.DUMMYFUNCTION("IFERROR(GOOGLEFINANCE(A369,""trail_dividend""),"""")"),"")</f>
        <v/>
      </c>
      <c r="D369" s="3" t="str">
        <f>IFERROR(__xludf.DUMMYFUNCTION("IFERROR(INDEX(IMPORTXML(""https://finance.yahoo.com/quote/""&amp;A369, ""//td[@data-test='EX_DIVIDEND_DATE-value']""),1),"""")"),"")</f>
        <v/>
      </c>
    </row>
    <row r="370" ht="15.75" customHeight="1">
      <c r="B370" s="3" t="str">
        <f>IFERROR(__xludf.DUMMYFUNCTION("IFERROR(GOOGLEFINANCE(A370,""yield"")*100,"""")"),"")</f>
        <v/>
      </c>
      <c r="C370" s="3" t="str">
        <f>IFERROR(__xludf.DUMMYFUNCTION("IFERROR(GOOGLEFINANCE(A370,""trail_dividend""),"""")"),"")</f>
        <v/>
      </c>
      <c r="D370" s="3" t="str">
        <f>IFERROR(__xludf.DUMMYFUNCTION("IFERROR(INDEX(IMPORTXML(""https://finance.yahoo.com/quote/""&amp;A370, ""//td[@data-test='EX_DIVIDEND_DATE-value']""),1),"""")"),"")</f>
        <v/>
      </c>
    </row>
    <row r="371" ht="15.75" customHeight="1">
      <c r="B371" s="3" t="str">
        <f>IFERROR(__xludf.DUMMYFUNCTION("IFERROR(GOOGLEFINANCE(A371,""yield"")*100,"""")"),"")</f>
        <v/>
      </c>
      <c r="C371" s="3" t="str">
        <f>IFERROR(__xludf.DUMMYFUNCTION("IFERROR(GOOGLEFINANCE(A371,""trail_dividend""),"""")"),"")</f>
        <v/>
      </c>
      <c r="D371" s="3" t="str">
        <f>IFERROR(__xludf.DUMMYFUNCTION("IFERROR(INDEX(IMPORTXML(""https://finance.yahoo.com/quote/""&amp;A371, ""//td[@data-test='EX_DIVIDEND_DATE-value']""),1),"""")"),"")</f>
        <v/>
      </c>
    </row>
    <row r="372" ht="15.75" customHeight="1">
      <c r="B372" s="3" t="str">
        <f>IFERROR(__xludf.DUMMYFUNCTION("IFERROR(GOOGLEFINANCE(A372,""yield"")*100,"""")"),"")</f>
        <v/>
      </c>
      <c r="C372" s="3" t="str">
        <f>IFERROR(__xludf.DUMMYFUNCTION("IFERROR(GOOGLEFINANCE(A372,""trail_dividend""),"""")"),"")</f>
        <v/>
      </c>
      <c r="D372" s="3" t="str">
        <f>IFERROR(__xludf.DUMMYFUNCTION("IFERROR(INDEX(IMPORTXML(""https://finance.yahoo.com/quote/""&amp;A372, ""//td[@data-test='EX_DIVIDEND_DATE-value']""),1),"""")"),"")</f>
        <v/>
      </c>
    </row>
    <row r="373" ht="15.75" customHeight="1">
      <c r="B373" s="3" t="str">
        <f>IFERROR(__xludf.DUMMYFUNCTION("IFERROR(GOOGLEFINANCE(A373,""yield"")*100,"""")"),"")</f>
        <v/>
      </c>
      <c r="C373" s="3" t="str">
        <f>IFERROR(__xludf.DUMMYFUNCTION("IFERROR(GOOGLEFINANCE(A373,""trail_dividend""),"""")"),"")</f>
        <v/>
      </c>
      <c r="D373" s="3" t="str">
        <f>IFERROR(__xludf.DUMMYFUNCTION("IFERROR(INDEX(IMPORTXML(""https://finance.yahoo.com/quote/""&amp;A373, ""//td[@data-test='EX_DIVIDEND_DATE-value']""),1),"""")"),"")</f>
        <v/>
      </c>
    </row>
    <row r="374" ht="15.75" customHeight="1">
      <c r="B374" s="3" t="str">
        <f>IFERROR(__xludf.DUMMYFUNCTION("IFERROR(GOOGLEFINANCE(A374,""yield"")*100,"""")"),"")</f>
        <v/>
      </c>
      <c r="C374" s="3" t="str">
        <f>IFERROR(__xludf.DUMMYFUNCTION("IFERROR(GOOGLEFINANCE(A374,""trail_dividend""),"""")"),"")</f>
        <v/>
      </c>
      <c r="D374" s="3" t="str">
        <f>IFERROR(__xludf.DUMMYFUNCTION("IFERROR(INDEX(IMPORTXML(""https://finance.yahoo.com/quote/""&amp;A374, ""//td[@data-test='EX_DIVIDEND_DATE-value']""),1),"""")"),"")</f>
        <v/>
      </c>
    </row>
    <row r="375" ht="15.75" customHeight="1">
      <c r="B375" s="3" t="str">
        <f>IFERROR(__xludf.DUMMYFUNCTION("IFERROR(GOOGLEFINANCE(A375,""yield"")*100,"""")"),"")</f>
        <v/>
      </c>
      <c r="C375" s="3" t="str">
        <f>IFERROR(__xludf.DUMMYFUNCTION("IFERROR(GOOGLEFINANCE(A375,""trail_dividend""),"""")"),"")</f>
        <v/>
      </c>
      <c r="D375" s="3" t="str">
        <f>IFERROR(__xludf.DUMMYFUNCTION("IFERROR(INDEX(IMPORTXML(""https://finance.yahoo.com/quote/""&amp;A375, ""//td[@data-test='EX_DIVIDEND_DATE-value']""),1),"""")"),"")</f>
        <v/>
      </c>
    </row>
    <row r="376" ht="15.75" customHeight="1">
      <c r="B376" s="3" t="str">
        <f>IFERROR(__xludf.DUMMYFUNCTION("IFERROR(GOOGLEFINANCE(A376,""yield"")*100,"""")"),"")</f>
        <v/>
      </c>
      <c r="C376" s="3" t="str">
        <f>IFERROR(__xludf.DUMMYFUNCTION("IFERROR(GOOGLEFINANCE(A376,""trail_dividend""),"""")"),"")</f>
        <v/>
      </c>
      <c r="D376" s="3" t="str">
        <f>IFERROR(__xludf.DUMMYFUNCTION("IFERROR(INDEX(IMPORTXML(""https://finance.yahoo.com/quote/""&amp;A376, ""//td[@data-test='EX_DIVIDEND_DATE-value']""),1),"""")"),"")</f>
        <v/>
      </c>
    </row>
    <row r="377" ht="15.75" customHeight="1">
      <c r="B377" s="3" t="str">
        <f>IFERROR(__xludf.DUMMYFUNCTION("IFERROR(GOOGLEFINANCE(A377,""yield"")*100,"""")"),"")</f>
        <v/>
      </c>
      <c r="C377" s="3" t="str">
        <f>IFERROR(__xludf.DUMMYFUNCTION("IFERROR(GOOGLEFINANCE(A377,""trail_dividend""),"""")"),"")</f>
        <v/>
      </c>
      <c r="D377" s="3" t="str">
        <f>IFERROR(__xludf.DUMMYFUNCTION("IFERROR(INDEX(IMPORTXML(""https://finance.yahoo.com/quote/""&amp;A377, ""//td[@data-test='EX_DIVIDEND_DATE-value']""),1),"""")"),"")</f>
        <v/>
      </c>
    </row>
    <row r="378" ht="15.75" customHeight="1">
      <c r="B378" s="3" t="str">
        <f>IFERROR(__xludf.DUMMYFUNCTION("IFERROR(GOOGLEFINANCE(A378,""yield"")*100,"""")"),"")</f>
        <v/>
      </c>
      <c r="C378" s="3" t="str">
        <f>IFERROR(__xludf.DUMMYFUNCTION("IFERROR(GOOGLEFINANCE(A378,""trail_dividend""),"""")"),"")</f>
        <v/>
      </c>
      <c r="D378" s="3" t="str">
        <f>IFERROR(__xludf.DUMMYFUNCTION("IFERROR(INDEX(IMPORTXML(""https://finance.yahoo.com/quote/""&amp;A378, ""//td[@data-test='EX_DIVIDEND_DATE-value']""),1),"""")"),"")</f>
        <v/>
      </c>
    </row>
    <row r="379" ht="15.75" customHeight="1">
      <c r="B379" s="3" t="str">
        <f>IFERROR(__xludf.DUMMYFUNCTION("IFERROR(GOOGLEFINANCE(A379,""yield"")*100,"""")"),"")</f>
        <v/>
      </c>
      <c r="C379" s="3" t="str">
        <f>IFERROR(__xludf.DUMMYFUNCTION("IFERROR(GOOGLEFINANCE(A379,""trail_dividend""),"""")"),"")</f>
        <v/>
      </c>
      <c r="D379" s="3" t="str">
        <f>IFERROR(__xludf.DUMMYFUNCTION("IFERROR(INDEX(IMPORTXML(""https://finance.yahoo.com/quote/""&amp;A379, ""//td[@data-test='EX_DIVIDEND_DATE-value']""),1),"""")"),"")</f>
        <v/>
      </c>
    </row>
    <row r="380" ht="15.75" customHeight="1">
      <c r="B380" s="3" t="str">
        <f>IFERROR(__xludf.DUMMYFUNCTION("IFERROR(GOOGLEFINANCE(A380,""yield"")*100,"""")"),"")</f>
        <v/>
      </c>
      <c r="C380" s="3" t="str">
        <f>IFERROR(__xludf.DUMMYFUNCTION("IFERROR(GOOGLEFINANCE(A380,""trail_dividend""),"""")"),"")</f>
        <v/>
      </c>
      <c r="D380" s="3" t="str">
        <f>IFERROR(__xludf.DUMMYFUNCTION("IFERROR(INDEX(IMPORTXML(""https://finance.yahoo.com/quote/""&amp;A380, ""//td[@data-test='EX_DIVIDEND_DATE-value']""),1),"""")"),"")</f>
        <v/>
      </c>
    </row>
    <row r="381" ht="15.75" customHeight="1">
      <c r="B381" s="3" t="str">
        <f>IFERROR(__xludf.DUMMYFUNCTION("IFERROR(GOOGLEFINANCE(A381,""yield"")*100,"""")"),"")</f>
        <v/>
      </c>
      <c r="C381" s="3" t="str">
        <f>IFERROR(__xludf.DUMMYFUNCTION("IFERROR(GOOGLEFINANCE(A381,""trail_dividend""),"""")"),"")</f>
        <v/>
      </c>
      <c r="D381" s="3" t="str">
        <f>IFERROR(__xludf.DUMMYFUNCTION("IFERROR(INDEX(IMPORTXML(""https://finance.yahoo.com/quote/""&amp;A381, ""//td[@data-test='EX_DIVIDEND_DATE-value']""),1),"""")"),"")</f>
        <v/>
      </c>
    </row>
    <row r="382" ht="15.75" customHeight="1">
      <c r="B382" s="3" t="str">
        <f>IFERROR(__xludf.DUMMYFUNCTION("IFERROR(GOOGLEFINANCE(A382,""yield"")*100,"""")"),"")</f>
        <v/>
      </c>
      <c r="C382" s="3" t="str">
        <f>IFERROR(__xludf.DUMMYFUNCTION("IFERROR(GOOGLEFINANCE(A382,""trail_dividend""),"""")"),"")</f>
        <v/>
      </c>
      <c r="D382" s="3" t="str">
        <f>IFERROR(__xludf.DUMMYFUNCTION("IFERROR(INDEX(IMPORTXML(""https://finance.yahoo.com/quote/""&amp;A382, ""//td[@data-test='EX_DIVIDEND_DATE-value']""),1),"""")"),"")</f>
        <v/>
      </c>
    </row>
    <row r="383" ht="15.75" customHeight="1">
      <c r="B383" s="3" t="str">
        <f>IFERROR(__xludf.DUMMYFUNCTION("IFERROR(GOOGLEFINANCE(A383,""yield"")*100,"""")"),"")</f>
        <v/>
      </c>
      <c r="C383" s="3" t="str">
        <f>IFERROR(__xludf.DUMMYFUNCTION("IFERROR(GOOGLEFINANCE(A383,""trail_dividend""),"""")"),"")</f>
        <v/>
      </c>
      <c r="D383" s="3" t="str">
        <f>IFERROR(__xludf.DUMMYFUNCTION("IFERROR(INDEX(IMPORTXML(""https://finance.yahoo.com/quote/""&amp;A383, ""//td[@data-test='EX_DIVIDEND_DATE-value']""),1),"""")"),"")</f>
        <v/>
      </c>
    </row>
    <row r="384" ht="15.75" customHeight="1">
      <c r="B384" s="3" t="str">
        <f>IFERROR(__xludf.DUMMYFUNCTION("IFERROR(GOOGLEFINANCE(A384,""yield"")*100,"""")"),"")</f>
        <v/>
      </c>
      <c r="C384" s="3" t="str">
        <f>IFERROR(__xludf.DUMMYFUNCTION("IFERROR(GOOGLEFINANCE(A384,""trail_dividend""),"""")"),"")</f>
        <v/>
      </c>
      <c r="D384" s="3" t="str">
        <f>IFERROR(__xludf.DUMMYFUNCTION("IFERROR(INDEX(IMPORTXML(""https://finance.yahoo.com/quote/""&amp;A384, ""//td[@data-test='EX_DIVIDEND_DATE-value']""),1),"""")"),"")</f>
        <v/>
      </c>
    </row>
    <row r="385" ht="15.75" customHeight="1">
      <c r="B385" s="3" t="str">
        <f>IFERROR(__xludf.DUMMYFUNCTION("IFERROR(GOOGLEFINANCE(A385,""yield"")*100,"""")"),"")</f>
        <v/>
      </c>
      <c r="C385" s="3" t="str">
        <f>IFERROR(__xludf.DUMMYFUNCTION("IFERROR(GOOGLEFINANCE(A385,""trail_dividend""),"""")"),"")</f>
        <v/>
      </c>
      <c r="D385" s="3" t="str">
        <f>IFERROR(__xludf.DUMMYFUNCTION("IFERROR(INDEX(IMPORTXML(""https://finance.yahoo.com/quote/""&amp;A385, ""//td[@data-test='EX_DIVIDEND_DATE-value']""),1),"""")"),"")</f>
        <v/>
      </c>
    </row>
    <row r="386" ht="15.75" customHeight="1">
      <c r="B386" s="3" t="str">
        <f>IFERROR(__xludf.DUMMYFUNCTION("IFERROR(GOOGLEFINANCE(A386,""yield"")*100,"""")"),"")</f>
        <v/>
      </c>
      <c r="C386" s="3" t="str">
        <f>IFERROR(__xludf.DUMMYFUNCTION("IFERROR(GOOGLEFINANCE(A386,""trail_dividend""),"""")"),"")</f>
        <v/>
      </c>
      <c r="D386" s="3" t="str">
        <f>IFERROR(__xludf.DUMMYFUNCTION("IFERROR(INDEX(IMPORTXML(""https://finance.yahoo.com/quote/""&amp;A386, ""//td[@data-test='EX_DIVIDEND_DATE-value']""),1),"""")"),"")</f>
        <v/>
      </c>
    </row>
    <row r="387" ht="15.75" customHeight="1">
      <c r="B387" s="3" t="str">
        <f>IFERROR(__xludf.DUMMYFUNCTION("IFERROR(GOOGLEFINANCE(A387,""yield"")*100,"""")"),"")</f>
        <v/>
      </c>
      <c r="C387" s="3" t="str">
        <f>IFERROR(__xludf.DUMMYFUNCTION("IFERROR(GOOGLEFINANCE(A387,""trail_dividend""),"""")"),"")</f>
        <v/>
      </c>
      <c r="D387" s="3" t="str">
        <f>IFERROR(__xludf.DUMMYFUNCTION("IFERROR(INDEX(IMPORTXML(""https://finance.yahoo.com/quote/""&amp;A387, ""//td[@data-test='EX_DIVIDEND_DATE-value']""),1),"""")"),"")</f>
        <v/>
      </c>
    </row>
    <row r="388" ht="15.75" customHeight="1">
      <c r="B388" s="3" t="str">
        <f>IFERROR(__xludf.DUMMYFUNCTION("IFERROR(GOOGLEFINANCE(A388,""yield"")*100,"""")"),"")</f>
        <v/>
      </c>
      <c r="C388" s="3" t="str">
        <f>IFERROR(__xludf.DUMMYFUNCTION("IFERROR(GOOGLEFINANCE(A388,""trail_dividend""),"""")"),"")</f>
        <v/>
      </c>
      <c r="D388" s="3" t="str">
        <f>IFERROR(__xludf.DUMMYFUNCTION("IFERROR(INDEX(IMPORTXML(""https://finance.yahoo.com/quote/""&amp;A388, ""//td[@data-test='EX_DIVIDEND_DATE-value']""),1),"""")"),"")</f>
        <v/>
      </c>
    </row>
    <row r="389" ht="15.75" customHeight="1">
      <c r="B389" s="3" t="str">
        <f>IFERROR(__xludf.DUMMYFUNCTION("IFERROR(GOOGLEFINANCE(A389,""yield"")*100,"""")"),"")</f>
        <v/>
      </c>
      <c r="C389" s="3" t="str">
        <f>IFERROR(__xludf.DUMMYFUNCTION("IFERROR(GOOGLEFINANCE(A389,""trail_dividend""),"""")"),"")</f>
        <v/>
      </c>
      <c r="D389" s="3" t="str">
        <f>IFERROR(__xludf.DUMMYFUNCTION("IFERROR(INDEX(IMPORTXML(""https://finance.yahoo.com/quote/""&amp;A389, ""//td[@data-test='EX_DIVIDEND_DATE-value']""),1),"""")"),"")</f>
        <v/>
      </c>
    </row>
    <row r="390" ht="15.75" customHeight="1">
      <c r="B390" s="3" t="str">
        <f>IFERROR(__xludf.DUMMYFUNCTION("IFERROR(GOOGLEFINANCE(A390,""yield"")*100,"""")"),"")</f>
        <v/>
      </c>
      <c r="C390" s="3" t="str">
        <f>IFERROR(__xludf.DUMMYFUNCTION("IFERROR(GOOGLEFINANCE(A390,""trail_dividend""),"""")"),"")</f>
        <v/>
      </c>
      <c r="D390" s="3" t="str">
        <f>IFERROR(__xludf.DUMMYFUNCTION("IFERROR(INDEX(IMPORTXML(""https://finance.yahoo.com/quote/""&amp;A390, ""//td[@data-test='EX_DIVIDEND_DATE-value']""),1),"""")"),"")</f>
        <v/>
      </c>
    </row>
    <row r="391" ht="15.75" customHeight="1">
      <c r="B391" s="3" t="str">
        <f>IFERROR(__xludf.DUMMYFUNCTION("IFERROR(GOOGLEFINANCE(A391,""yield"")*100,"""")"),"")</f>
        <v/>
      </c>
      <c r="C391" s="3" t="str">
        <f>IFERROR(__xludf.DUMMYFUNCTION("IFERROR(GOOGLEFINANCE(A391,""trail_dividend""),"""")"),"")</f>
        <v/>
      </c>
      <c r="D391" s="3" t="str">
        <f>IFERROR(__xludf.DUMMYFUNCTION("IFERROR(INDEX(IMPORTXML(""https://finance.yahoo.com/quote/""&amp;A391, ""//td[@data-test='EX_DIVIDEND_DATE-value']""),1),"""")"),"")</f>
        <v/>
      </c>
    </row>
    <row r="392" ht="15.75" customHeight="1">
      <c r="B392" s="3" t="str">
        <f>IFERROR(__xludf.DUMMYFUNCTION("IFERROR(GOOGLEFINANCE(A392,""yield"")*100,"""")"),"")</f>
        <v/>
      </c>
      <c r="C392" s="3" t="str">
        <f>IFERROR(__xludf.DUMMYFUNCTION("IFERROR(GOOGLEFINANCE(A392,""trail_dividend""),"""")"),"")</f>
        <v/>
      </c>
      <c r="D392" s="3" t="str">
        <f>IFERROR(__xludf.DUMMYFUNCTION("IFERROR(INDEX(IMPORTXML(""https://finance.yahoo.com/quote/""&amp;A392, ""//td[@data-test='EX_DIVIDEND_DATE-value']""),1),"""")"),"")</f>
        <v/>
      </c>
    </row>
    <row r="393" ht="15.75" customHeight="1">
      <c r="B393" s="3" t="str">
        <f>IFERROR(__xludf.DUMMYFUNCTION("IFERROR(GOOGLEFINANCE(A393,""yield"")*100,"""")"),"")</f>
        <v/>
      </c>
      <c r="C393" s="3" t="str">
        <f>IFERROR(__xludf.DUMMYFUNCTION("IFERROR(GOOGLEFINANCE(A393,""trail_dividend""),"""")"),"")</f>
        <v/>
      </c>
      <c r="D393" s="3" t="str">
        <f>IFERROR(__xludf.DUMMYFUNCTION("IFERROR(INDEX(IMPORTXML(""https://finance.yahoo.com/quote/""&amp;A393, ""//td[@data-test='EX_DIVIDEND_DATE-value']""),1),"""")"),"")</f>
        <v/>
      </c>
    </row>
    <row r="394" ht="15.75" customHeight="1">
      <c r="B394" s="3" t="str">
        <f>IFERROR(__xludf.DUMMYFUNCTION("IFERROR(GOOGLEFINANCE(A394,""yield"")*100,"""")"),"")</f>
        <v/>
      </c>
      <c r="C394" s="3" t="str">
        <f>IFERROR(__xludf.DUMMYFUNCTION("IFERROR(GOOGLEFINANCE(A394,""trail_dividend""),"""")"),"")</f>
        <v/>
      </c>
      <c r="D394" s="3" t="str">
        <f>IFERROR(__xludf.DUMMYFUNCTION("IFERROR(INDEX(IMPORTXML(""https://finance.yahoo.com/quote/""&amp;A394, ""//td[@data-test='EX_DIVIDEND_DATE-value']""),1),"""")"),"")</f>
        <v/>
      </c>
    </row>
    <row r="395" ht="15.75" customHeight="1">
      <c r="B395" s="3" t="str">
        <f>IFERROR(__xludf.DUMMYFUNCTION("IFERROR(GOOGLEFINANCE(A395,""yield"")*100,"""")"),"")</f>
        <v/>
      </c>
      <c r="C395" s="3" t="str">
        <f>IFERROR(__xludf.DUMMYFUNCTION("IFERROR(GOOGLEFINANCE(A395,""trail_dividend""),"""")"),"")</f>
        <v/>
      </c>
      <c r="D395" s="3" t="str">
        <f>IFERROR(__xludf.DUMMYFUNCTION("IFERROR(INDEX(IMPORTXML(""https://finance.yahoo.com/quote/""&amp;A395, ""//td[@data-test='EX_DIVIDEND_DATE-value']""),1),"""")"),"")</f>
        <v/>
      </c>
    </row>
    <row r="396" ht="15.75" customHeight="1">
      <c r="B396" s="3" t="str">
        <f>IFERROR(__xludf.DUMMYFUNCTION("IFERROR(GOOGLEFINANCE(A396,""yield"")*100,"""")"),"")</f>
        <v/>
      </c>
      <c r="C396" s="3" t="str">
        <f>IFERROR(__xludf.DUMMYFUNCTION("IFERROR(GOOGLEFINANCE(A396,""trail_dividend""),"""")"),"")</f>
        <v/>
      </c>
      <c r="D396" s="3" t="str">
        <f>IFERROR(__xludf.DUMMYFUNCTION("IFERROR(INDEX(IMPORTXML(""https://finance.yahoo.com/quote/""&amp;A396, ""//td[@data-test='EX_DIVIDEND_DATE-value']""),1),"""")"),"")</f>
        <v/>
      </c>
    </row>
    <row r="397" ht="15.75" customHeight="1">
      <c r="B397" s="3" t="str">
        <f>IFERROR(__xludf.DUMMYFUNCTION("IFERROR(GOOGLEFINANCE(A397,""yield"")*100,"""")"),"")</f>
        <v/>
      </c>
      <c r="C397" s="3" t="str">
        <f>IFERROR(__xludf.DUMMYFUNCTION("IFERROR(GOOGLEFINANCE(A397,""trail_dividend""),"""")"),"")</f>
        <v/>
      </c>
      <c r="D397" s="3" t="str">
        <f>IFERROR(__xludf.DUMMYFUNCTION("IFERROR(INDEX(IMPORTXML(""https://finance.yahoo.com/quote/""&amp;A397, ""//td[@data-test='EX_DIVIDEND_DATE-value']""),1),"""")"),"")</f>
        <v/>
      </c>
    </row>
    <row r="398" ht="15.75" customHeight="1">
      <c r="B398" s="3" t="str">
        <f>IFERROR(__xludf.DUMMYFUNCTION("IFERROR(GOOGLEFINANCE(A398,""yield"")*100,"""")"),"")</f>
        <v/>
      </c>
      <c r="C398" s="3" t="str">
        <f>IFERROR(__xludf.DUMMYFUNCTION("IFERROR(GOOGLEFINANCE(A398,""trail_dividend""),"""")"),"")</f>
        <v/>
      </c>
      <c r="D398" s="3" t="str">
        <f>IFERROR(__xludf.DUMMYFUNCTION("IFERROR(INDEX(IMPORTXML(""https://finance.yahoo.com/quote/""&amp;A398, ""//td[@data-test='EX_DIVIDEND_DATE-value']""),1),"""")"),"")</f>
        <v/>
      </c>
    </row>
    <row r="399" ht="15.75" customHeight="1">
      <c r="B399" s="3" t="str">
        <f>IFERROR(__xludf.DUMMYFUNCTION("IFERROR(GOOGLEFINANCE(A399,""yield"")*100,"""")"),"")</f>
        <v/>
      </c>
      <c r="C399" s="3" t="str">
        <f>IFERROR(__xludf.DUMMYFUNCTION("IFERROR(GOOGLEFINANCE(A399,""trail_dividend""),"""")"),"")</f>
        <v/>
      </c>
      <c r="D399" s="3" t="str">
        <f>IFERROR(__xludf.DUMMYFUNCTION("IFERROR(INDEX(IMPORTXML(""https://finance.yahoo.com/quote/""&amp;A399, ""//td[@data-test='EX_DIVIDEND_DATE-value']""),1),"""")"),"")</f>
        <v/>
      </c>
    </row>
    <row r="400" ht="15.75" customHeight="1">
      <c r="B400" s="3" t="str">
        <f>IFERROR(__xludf.DUMMYFUNCTION("IFERROR(GOOGLEFINANCE(A400,""yield"")*100,"""")"),"")</f>
        <v/>
      </c>
      <c r="C400" s="3" t="str">
        <f>IFERROR(__xludf.DUMMYFUNCTION("IFERROR(GOOGLEFINANCE(A400,""trail_dividend""),"""")"),"")</f>
        <v/>
      </c>
      <c r="D400" s="3" t="str">
        <f>IFERROR(__xludf.DUMMYFUNCTION("IFERROR(INDEX(IMPORTXML(""https://finance.yahoo.com/quote/""&amp;A400, ""//td[@data-test='EX_DIVIDEND_DATE-value']""),1),"""")"),"")</f>
        <v/>
      </c>
    </row>
    <row r="401" ht="15.75" customHeight="1">
      <c r="B401" s="3" t="str">
        <f>IFERROR(__xludf.DUMMYFUNCTION("IFERROR(GOOGLEFINANCE(A401,""yield"")*100,"""")"),"")</f>
        <v/>
      </c>
      <c r="C401" s="3" t="str">
        <f>IFERROR(__xludf.DUMMYFUNCTION("IFERROR(GOOGLEFINANCE(A401,""trail_dividend""),"""")"),"")</f>
        <v/>
      </c>
      <c r="D401" s="3" t="str">
        <f>IFERROR(__xludf.DUMMYFUNCTION("IFERROR(INDEX(IMPORTXML(""https://finance.yahoo.com/quote/""&amp;A401, ""//td[@data-test='EX_DIVIDEND_DATE-value']""),1),"""")"),"")</f>
        <v/>
      </c>
    </row>
    <row r="402" ht="15.75" customHeight="1">
      <c r="B402" s="3" t="str">
        <f>IFERROR(__xludf.DUMMYFUNCTION("IFERROR(GOOGLEFINANCE(A402,""yield"")*100,"""")"),"")</f>
        <v/>
      </c>
      <c r="C402" s="3" t="str">
        <f>IFERROR(__xludf.DUMMYFUNCTION("IFERROR(GOOGLEFINANCE(A402,""trail_dividend""),"""")"),"")</f>
        <v/>
      </c>
      <c r="D402" s="3" t="str">
        <f>IFERROR(__xludf.DUMMYFUNCTION("IFERROR(INDEX(IMPORTXML(""https://finance.yahoo.com/quote/""&amp;A402, ""//td[@data-test='EX_DIVIDEND_DATE-value']""),1),"""")"),"")</f>
        <v/>
      </c>
    </row>
    <row r="403" ht="15.75" customHeight="1">
      <c r="B403" s="3" t="str">
        <f>IFERROR(__xludf.DUMMYFUNCTION("IFERROR(GOOGLEFINANCE(A403,""yield"")*100,"""")"),"")</f>
        <v/>
      </c>
      <c r="C403" s="3" t="str">
        <f>IFERROR(__xludf.DUMMYFUNCTION("IFERROR(GOOGLEFINANCE(A403,""trail_dividend""),"""")"),"")</f>
        <v/>
      </c>
      <c r="D403" s="3" t="str">
        <f>IFERROR(__xludf.DUMMYFUNCTION("IFERROR(INDEX(IMPORTXML(""https://finance.yahoo.com/quote/""&amp;A403, ""//td[@data-test='EX_DIVIDEND_DATE-value']""),1),"""")"),"")</f>
        <v/>
      </c>
    </row>
    <row r="404" ht="15.75" customHeight="1">
      <c r="B404" s="3" t="str">
        <f>IFERROR(__xludf.DUMMYFUNCTION("IFERROR(GOOGLEFINANCE(A404,""yield"")*100,"""")"),"")</f>
        <v/>
      </c>
      <c r="C404" s="3" t="str">
        <f>IFERROR(__xludf.DUMMYFUNCTION("IFERROR(GOOGLEFINANCE(A404,""trail_dividend""),"""")"),"")</f>
        <v/>
      </c>
      <c r="D404" s="3" t="str">
        <f>IFERROR(__xludf.DUMMYFUNCTION("IFERROR(INDEX(IMPORTXML(""https://finance.yahoo.com/quote/""&amp;A404, ""//td[@data-test='EX_DIVIDEND_DATE-value']""),1),"""")"),"")</f>
        <v/>
      </c>
    </row>
    <row r="405" ht="15.75" customHeight="1">
      <c r="B405" s="3" t="str">
        <f>IFERROR(__xludf.DUMMYFUNCTION("IFERROR(GOOGLEFINANCE(A405,""yield"")*100,"""")"),"")</f>
        <v/>
      </c>
      <c r="C405" s="3" t="str">
        <f>IFERROR(__xludf.DUMMYFUNCTION("IFERROR(GOOGLEFINANCE(A405,""trail_dividend""),"""")"),"")</f>
        <v/>
      </c>
      <c r="D405" s="3" t="str">
        <f>IFERROR(__xludf.DUMMYFUNCTION("IFERROR(INDEX(IMPORTXML(""https://finance.yahoo.com/quote/""&amp;A405, ""//td[@data-test='EX_DIVIDEND_DATE-value']""),1),"""")"),"")</f>
        <v/>
      </c>
    </row>
    <row r="406" ht="15.75" customHeight="1">
      <c r="B406" s="3" t="str">
        <f>IFERROR(__xludf.DUMMYFUNCTION("IFERROR(GOOGLEFINANCE(A406,""yield"")*100,"""")"),"")</f>
        <v/>
      </c>
      <c r="C406" s="3" t="str">
        <f>IFERROR(__xludf.DUMMYFUNCTION("IFERROR(GOOGLEFINANCE(A406,""trail_dividend""),"""")"),"")</f>
        <v/>
      </c>
      <c r="D406" s="3" t="str">
        <f>IFERROR(__xludf.DUMMYFUNCTION("IFERROR(INDEX(IMPORTXML(""https://finance.yahoo.com/quote/""&amp;A406, ""//td[@data-test='EX_DIVIDEND_DATE-value']""),1),"""")"),"")</f>
        <v/>
      </c>
    </row>
    <row r="407" ht="15.75" customHeight="1">
      <c r="B407" s="3" t="str">
        <f>IFERROR(__xludf.DUMMYFUNCTION("IFERROR(GOOGLEFINANCE(A407,""yield"")*100,"""")"),"")</f>
        <v/>
      </c>
      <c r="C407" s="3" t="str">
        <f>IFERROR(__xludf.DUMMYFUNCTION("IFERROR(GOOGLEFINANCE(A407,""trail_dividend""),"""")"),"")</f>
        <v/>
      </c>
      <c r="D407" s="3" t="str">
        <f>IFERROR(__xludf.DUMMYFUNCTION("IFERROR(INDEX(IMPORTXML(""https://finance.yahoo.com/quote/""&amp;A407, ""//td[@data-test='EX_DIVIDEND_DATE-value']""),1),"""")"),"")</f>
        <v/>
      </c>
    </row>
    <row r="408" ht="15.75" customHeight="1">
      <c r="B408" s="3" t="str">
        <f>IFERROR(__xludf.DUMMYFUNCTION("IFERROR(GOOGLEFINANCE(A408,""yield"")*100,"""")"),"")</f>
        <v/>
      </c>
      <c r="C408" s="3" t="str">
        <f>IFERROR(__xludf.DUMMYFUNCTION("IFERROR(GOOGLEFINANCE(A408,""trail_dividend""),"""")"),"")</f>
        <v/>
      </c>
      <c r="D408" s="3" t="str">
        <f>IFERROR(__xludf.DUMMYFUNCTION("IFERROR(INDEX(IMPORTXML(""https://finance.yahoo.com/quote/""&amp;A408, ""//td[@data-test='EX_DIVIDEND_DATE-value']""),1),"""")"),"")</f>
        <v/>
      </c>
    </row>
    <row r="409" ht="15.75" customHeight="1">
      <c r="B409" s="3" t="str">
        <f>IFERROR(__xludf.DUMMYFUNCTION("IFERROR(GOOGLEFINANCE(A409,""yield"")*100,"""")"),"")</f>
        <v/>
      </c>
      <c r="C409" s="3" t="str">
        <f>IFERROR(__xludf.DUMMYFUNCTION("IFERROR(GOOGLEFINANCE(A409,""trail_dividend""),"""")"),"")</f>
        <v/>
      </c>
      <c r="D409" s="3" t="str">
        <f>IFERROR(__xludf.DUMMYFUNCTION("IFERROR(INDEX(IMPORTXML(""https://finance.yahoo.com/quote/""&amp;A409, ""//td[@data-test='EX_DIVIDEND_DATE-value']""),1),"""")"),"")</f>
        <v/>
      </c>
    </row>
    <row r="410" ht="15.75" customHeight="1">
      <c r="B410" s="3" t="str">
        <f>IFERROR(__xludf.DUMMYFUNCTION("IFERROR(GOOGLEFINANCE(A410,""yield"")*100,"""")"),"")</f>
        <v/>
      </c>
      <c r="C410" s="3" t="str">
        <f>IFERROR(__xludf.DUMMYFUNCTION("IFERROR(GOOGLEFINANCE(A410,""trail_dividend""),"""")"),"")</f>
        <v/>
      </c>
      <c r="D410" s="3" t="str">
        <f>IFERROR(__xludf.DUMMYFUNCTION("IFERROR(INDEX(IMPORTXML(""https://finance.yahoo.com/quote/""&amp;A410, ""//td[@data-test='EX_DIVIDEND_DATE-value']""),1),"""")"),"")</f>
        <v/>
      </c>
    </row>
    <row r="411" ht="15.75" customHeight="1">
      <c r="B411" s="3" t="str">
        <f>IFERROR(__xludf.DUMMYFUNCTION("IFERROR(GOOGLEFINANCE(A411,""yield"")*100,"""")"),"")</f>
        <v/>
      </c>
      <c r="C411" s="3" t="str">
        <f>IFERROR(__xludf.DUMMYFUNCTION("IFERROR(GOOGLEFINANCE(A411,""trail_dividend""),"""")"),"")</f>
        <v/>
      </c>
      <c r="D411" s="3" t="str">
        <f>IFERROR(__xludf.DUMMYFUNCTION("IFERROR(INDEX(IMPORTXML(""https://finance.yahoo.com/quote/""&amp;A411, ""//td[@data-test='EX_DIVIDEND_DATE-value']""),1),"""")"),"")</f>
        <v/>
      </c>
    </row>
    <row r="412" ht="15.75" customHeight="1">
      <c r="B412" s="3" t="str">
        <f>IFERROR(__xludf.DUMMYFUNCTION("IFERROR(GOOGLEFINANCE(A412,""yield"")*100,"""")"),"")</f>
        <v/>
      </c>
      <c r="C412" s="3" t="str">
        <f>IFERROR(__xludf.DUMMYFUNCTION("IFERROR(GOOGLEFINANCE(A412,""trail_dividend""),"""")"),"")</f>
        <v/>
      </c>
      <c r="D412" s="3" t="str">
        <f>IFERROR(__xludf.DUMMYFUNCTION("IFERROR(INDEX(IMPORTXML(""https://finance.yahoo.com/quote/""&amp;A412, ""//td[@data-test='EX_DIVIDEND_DATE-value']""),1),"""")"),"")</f>
        <v/>
      </c>
    </row>
    <row r="413" ht="15.75" customHeight="1">
      <c r="B413" s="3" t="str">
        <f>IFERROR(__xludf.DUMMYFUNCTION("IFERROR(GOOGLEFINANCE(A413,""yield"")*100,"""")"),"")</f>
        <v/>
      </c>
      <c r="C413" s="3" t="str">
        <f>IFERROR(__xludf.DUMMYFUNCTION("IFERROR(GOOGLEFINANCE(A413,""trail_dividend""),"""")"),"")</f>
        <v/>
      </c>
      <c r="D413" s="3" t="str">
        <f>IFERROR(__xludf.DUMMYFUNCTION("IFERROR(INDEX(IMPORTXML(""https://finance.yahoo.com/quote/""&amp;A413, ""//td[@data-test='EX_DIVIDEND_DATE-value']""),1),"""")"),"")</f>
        <v/>
      </c>
    </row>
    <row r="414" ht="15.75" customHeight="1">
      <c r="B414" s="3" t="str">
        <f>IFERROR(__xludf.DUMMYFUNCTION("IFERROR(GOOGLEFINANCE(A414,""yield"")*100,"""")"),"")</f>
        <v/>
      </c>
      <c r="C414" s="3" t="str">
        <f>IFERROR(__xludf.DUMMYFUNCTION("IFERROR(GOOGLEFINANCE(A414,""trail_dividend""),"""")"),"")</f>
        <v/>
      </c>
      <c r="D414" s="3" t="str">
        <f>IFERROR(__xludf.DUMMYFUNCTION("IFERROR(INDEX(IMPORTXML(""https://finance.yahoo.com/quote/""&amp;A414, ""//td[@data-test='EX_DIVIDEND_DATE-value']""),1),"""")"),"")</f>
        <v/>
      </c>
    </row>
    <row r="415" ht="15.75" customHeight="1">
      <c r="B415" s="3" t="str">
        <f>IFERROR(__xludf.DUMMYFUNCTION("IFERROR(GOOGLEFINANCE(A415,""yield"")*100,"""")"),"")</f>
        <v/>
      </c>
      <c r="C415" s="3" t="str">
        <f>IFERROR(__xludf.DUMMYFUNCTION("IFERROR(GOOGLEFINANCE(A415,""trail_dividend""),"""")"),"")</f>
        <v/>
      </c>
      <c r="D415" s="3" t="str">
        <f>IFERROR(__xludf.DUMMYFUNCTION("IFERROR(INDEX(IMPORTXML(""https://finance.yahoo.com/quote/""&amp;A415, ""//td[@data-test='EX_DIVIDEND_DATE-value']""),1),"""")"),"")</f>
        <v/>
      </c>
    </row>
    <row r="416" ht="15.75" customHeight="1">
      <c r="B416" s="3" t="str">
        <f>IFERROR(__xludf.DUMMYFUNCTION("IFERROR(GOOGLEFINANCE(A416,""yield"")*100,"""")"),"")</f>
        <v/>
      </c>
      <c r="C416" s="3" t="str">
        <f>IFERROR(__xludf.DUMMYFUNCTION("IFERROR(GOOGLEFINANCE(A416,""trail_dividend""),"""")"),"")</f>
        <v/>
      </c>
      <c r="D416" s="3" t="str">
        <f>IFERROR(__xludf.DUMMYFUNCTION("IFERROR(INDEX(IMPORTXML(""https://finance.yahoo.com/quote/""&amp;A416, ""//td[@data-test='EX_DIVIDEND_DATE-value']""),1),"""")"),"")</f>
        <v/>
      </c>
    </row>
    <row r="417" ht="15.75" customHeight="1">
      <c r="B417" s="3" t="str">
        <f>IFERROR(__xludf.DUMMYFUNCTION("IFERROR(GOOGLEFINANCE(A417,""yield"")*100,"""")"),"")</f>
        <v/>
      </c>
      <c r="C417" s="3" t="str">
        <f>IFERROR(__xludf.DUMMYFUNCTION("IFERROR(GOOGLEFINANCE(A417,""trail_dividend""),"""")"),"")</f>
        <v/>
      </c>
      <c r="D417" s="3" t="str">
        <f>IFERROR(__xludf.DUMMYFUNCTION("IFERROR(INDEX(IMPORTXML(""https://finance.yahoo.com/quote/""&amp;A417, ""//td[@data-test='EX_DIVIDEND_DATE-value']""),1),"""")"),"")</f>
        <v/>
      </c>
    </row>
    <row r="418" ht="15.75" customHeight="1">
      <c r="B418" s="3" t="str">
        <f>IFERROR(__xludf.DUMMYFUNCTION("IFERROR(GOOGLEFINANCE(A418,""yield"")*100,"""")"),"")</f>
        <v/>
      </c>
      <c r="C418" s="3" t="str">
        <f>IFERROR(__xludf.DUMMYFUNCTION("IFERROR(GOOGLEFINANCE(A418,""trail_dividend""),"""")"),"")</f>
        <v/>
      </c>
      <c r="D418" s="3" t="str">
        <f>IFERROR(__xludf.DUMMYFUNCTION("IFERROR(INDEX(IMPORTXML(""https://finance.yahoo.com/quote/""&amp;A418, ""//td[@data-test='EX_DIVIDEND_DATE-value']""),1),"""")"),"")</f>
        <v/>
      </c>
    </row>
    <row r="419" ht="15.75" customHeight="1">
      <c r="B419" s="3" t="str">
        <f>IFERROR(__xludf.DUMMYFUNCTION("IFERROR(GOOGLEFINANCE(A419,""yield"")*100,"""")"),"")</f>
        <v/>
      </c>
      <c r="C419" s="3" t="str">
        <f>IFERROR(__xludf.DUMMYFUNCTION("IFERROR(GOOGLEFINANCE(A419,""trail_dividend""),"""")"),"")</f>
        <v/>
      </c>
      <c r="D419" s="3" t="str">
        <f>IFERROR(__xludf.DUMMYFUNCTION("IFERROR(INDEX(IMPORTXML(""https://finance.yahoo.com/quote/""&amp;A419, ""//td[@data-test='EX_DIVIDEND_DATE-value']""),1),"""")"),"")</f>
        <v/>
      </c>
    </row>
    <row r="420" ht="15.75" customHeight="1">
      <c r="B420" s="3" t="str">
        <f>IFERROR(__xludf.DUMMYFUNCTION("IFERROR(GOOGLEFINANCE(A420,""yield"")*100,"""")"),"")</f>
        <v/>
      </c>
      <c r="C420" s="3" t="str">
        <f>IFERROR(__xludf.DUMMYFUNCTION("IFERROR(GOOGLEFINANCE(A420,""trail_dividend""),"""")"),"")</f>
        <v/>
      </c>
      <c r="D420" s="3" t="str">
        <f>IFERROR(__xludf.DUMMYFUNCTION("IFERROR(INDEX(IMPORTXML(""https://finance.yahoo.com/quote/""&amp;A420, ""//td[@data-test='EX_DIVIDEND_DATE-value']""),1),"""")"),"")</f>
        <v/>
      </c>
    </row>
    <row r="421" ht="15.75" customHeight="1">
      <c r="B421" s="3" t="str">
        <f>IFERROR(__xludf.DUMMYFUNCTION("IFERROR(GOOGLEFINANCE(A421,""yield"")*100,"""")"),"")</f>
        <v/>
      </c>
      <c r="C421" s="3" t="str">
        <f>IFERROR(__xludf.DUMMYFUNCTION("IFERROR(GOOGLEFINANCE(A421,""trail_dividend""),"""")"),"")</f>
        <v/>
      </c>
      <c r="D421" s="3" t="str">
        <f>IFERROR(__xludf.DUMMYFUNCTION("IFERROR(INDEX(IMPORTXML(""https://finance.yahoo.com/quote/""&amp;A421, ""//td[@data-test='EX_DIVIDEND_DATE-value']""),1),"""")"),"")</f>
        <v/>
      </c>
    </row>
    <row r="422" ht="15.75" customHeight="1">
      <c r="B422" s="3" t="str">
        <f>IFERROR(__xludf.DUMMYFUNCTION("IFERROR(GOOGLEFINANCE(A422,""yield"")*100,"""")"),"")</f>
        <v/>
      </c>
      <c r="C422" s="3" t="str">
        <f>IFERROR(__xludf.DUMMYFUNCTION("IFERROR(GOOGLEFINANCE(A422,""trail_dividend""),"""")"),"")</f>
        <v/>
      </c>
      <c r="D422" s="3" t="str">
        <f>IFERROR(__xludf.DUMMYFUNCTION("IFERROR(INDEX(IMPORTXML(""https://finance.yahoo.com/quote/""&amp;A422, ""//td[@data-test='EX_DIVIDEND_DATE-value']""),1),"""")"),"")</f>
        <v/>
      </c>
    </row>
    <row r="423" ht="15.75" customHeight="1">
      <c r="B423" s="3" t="str">
        <f>IFERROR(__xludf.DUMMYFUNCTION("IFERROR(GOOGLEFINANCE(A423,""yield"")*100,"""")"),"")</f>
        <v/>
      </c>
      <c r="C423" s="3" t="str">
        <f>IFERROR(__xludf.DUMMYFUNCTION("IFERROR(GOOGLEFINANCE(A423,""trail_dividend""),"""")"),"")</f>
        <v/>
      </c>
      <c r="D423" s="3" t="str">
        <f>IFERROR(__xludf.DUMMYFUNCTION("IFERROR(INDEX(IMPORTXML(""https://finance.yahoo.com/quote/""&amp;A423, ""//td[@data-test='EX_DIVIDEND_DATE-value']""),1),"""")"),"")</f>
        <v/>
      </c>
    </row>
    <row r="424" ht="15.75" customHeight="1">
      <c r="B424" s="3" t="str">
        <f>IFERROR(__xludf.DUMMYFUNCTION("IFERROR(GOOGLEFINANCE(A424,""yield"")*100,"""")"),"")</f>
        <v/>
      </c>
      <c r="C424" s="3" t="str">
        <f>IFERROR(__xludf.DUMMYFUNCTION("IFERROR(GOOGLEFINANCE(A424,""trail_dividend""),"""")"),"")</f>
        <v/>
      </c>
      <c r="D424" s="3" t="str">
        <f>IFERROR(__xludf.DUMMYFUNCTION("IFERROR(INDEX(IMPORTXML(""https://finance.yahoo.com/quote/""&amp;A424, ""//td[@data-test='EX_DIVIDEND_DATE-value']""),1),"""")"),"")</f>
        <v/>
      </c>
    </row>
    <row r="425" ht="15.75" customHeight="1">
      <c r="B425" s="3" t="str">
        <f>IFERROR(__xludf.DUMMYFUNCTION("IFERROR(GOOGLEFINANCE(A425,""yield"")*100,"""")"),"")</f>
        <v/>
      </c>
      <c r="C425" s="3" t="str">
        <f>IFERROR(__xludf.DUMMYFUNCTION("IFERROR(GOOGLEFINANCE(A425,""trail_dividend""),"""")"),"")</f>
        <v/>
      </c>
      <c r="D425" s="3" t="str">
        <f>IFERROR(__xludf.DUMMYFUNCTION("IFERROR(INDEX(IMPORTXML(""https://finance.yahoo.com/quote/""&amp;A425, ""//td[@data-test='EX_DIVIDEND_DATE-value']""),1),"""")"),"")</f>
        <v/>
      </c>
    </row>
    <row r="426" ht="15.75" customHeight="1">
      <c r="B426" s="3" t="str">
        <f>IFERROR(__xludf.DUMMYFUNCTION("IFERROR(GOOGLEFINANCE(A426,""yield"")*100,"""")"),"")</f>
        <v/>
      </c>
      <c r="C426" s="3" t="str">
        <f>IFERROR(__xludf.DUMMYFUNCTION("IFERROR(GOOGLEFINANCE(A426,""trail_dividend""),"""")"),"")</f>
        <v/>
      </c>
      <c r="D426" s="3" t="str">
        <f>IFERROR(__xludf.DUMMYFUNCTION("IFERROR(INDEX(IMPORTXML(""https://finance.yahoo.com/quote/""&amp;A426, ""//td[@data-test='EX_DIVIDEND_DATE-value']""),1),"""")"),"")</f>
        <v/>
      </c>
    </row>
    <row r="427" ht="15.75" customHeight="1">
      <c r="B427" s="3" t="str">
        <f>IFERROR(__xludf.DUMMYFUNCTION("IFERROR(GOOGLEFINANCE(A427,""yield"")*100,"""")"),"")</f>
        <v/>
      </c>
      <c r="C427" s="3" t="str">
        <f>IFERROR(__xludf.DUMMYFUNCTION("IFERROR(GOOGLEFINANCE(A427,""trail_dividend""),"""")"),"")</f>
        <v/>
      </c>
      <c r="D427" s="3" t="str">
        <f>IFERROR(__xludf.DUMMYFUNCTION("IFERROR(INDEX(IMPORTXML(""https://finance.yahoo.com/quote/""&amp;A427, ""//td[@data-test='EX_DIVIDEND_DATE-value']""),1),"""")"),"")</f>
        <v/>
      </c>
    </row>
    <row r="428" ht="15.75" customHeight="1">
      <c r="B428" s="3" t="str">
        <f>IFERROR(__xludf.DUMMYFUNCTION("IFERROR(GOOGLEFINANCE(A428,""yield"")*100,"""")"),"")</f>
        <v/>
      </c>
      <c r="C428" s="3" t="str">
        <f>IFERROR(__xludf.DUMMYFUNCTION("IFERROR(GOOGLEFINANCE(A428,""trail_dividend""),"""")"),"")</f>
        <v/>
      </c>
      <c r="D428" s="3" t="str">
        <f>IFERROR(__xludf.DUMMYFUNCTION("IFERROR(INDEX(IMPORTXML(""https://finance.yahoo.com/quote/""&amp;A428, ""//td[@data-test='EX_DIVIDEND_DATE-value']""),1),"""")"),"")</f>
        <v/>
      </c>
    </row>
    <row r="429" ht="15.75" customHeight="1">
      <c r="B429" s="3" t="str">
        <f>IFERROR(__xludf.DUMMYFUNCTION("IFERROR(GOOGLEFINANCE(A429,""yield"")*100,"""")"),"")</f>
        <v/>
      </c>
      <c r="C429" s="3" t="str">
        <f>IFERROR(__xludf.DUMMYFUNCTION("IFERROR(GOOGLEFINANCE(A429,""trail_dividend""),"""")"),"")</f>
        <v/>
      </c>
      <c r="D429" s="3" t="str">
        <f>IFERROR(__xludf.DUMMYFUNCTION("IFERROR(INDEX(IMPORTXML(""https://finance.yahoo.com/quote/""&amp;A429, ""//td[@data-test='EX_DIVIDEND_DATE-value']""),1),"""")"),"")</f>
        <v/>
      </c>
    </row>
    <row r="430" ht="15.75" customHeight="1">
      <c r="B430" s="3" t="str">
        <f>IFERROR(__xludf.DUMMYFUNCTION("IFERROR(GOOGLEFINANCE(A430,""yield"")*100,"""")"),"")</f>
        <v/>
      </c>
      <c r="C430" s="3" t="str">
        <f>IFERROR(__xludf.DUMMYFUNCTION("IFERROR(GOOGLEFINANCE(A430,""trail_dividend""),"""")"),"")</f>
        <v/>
      </c>
      <c r="D430" s="3" t="str">
        <f>IFERROR(__xludf.DUMMYFUNCTION("IFERROR(INDEX(IMPORTXML(""https://finance.yahoo.com/quote/""&amp;A430, ""//td[@data-test='EX_DIVIDEND_DATE-value']""),1),"""")"),"")</f>
        <v/>
      </c>
    </row>
    <row r="431" ht="15.75" customHeight="1">
      <c r="B431" s="3" t="str">
        <f>IFERROR(__xludf.DUMMYFUNCTION("IFERROR(GOOGLEFINANCE(A431,""yield"")*100,"""")"),"")</f>
        <v/>
      </c>
      <c r="C431" s="3" t="str">
        <f>IFERROR(__xludf.DUMMYFUNCTION("IFERROR(GOOGLEFINANCE(A431,""trail_dividend""),"""")"),"")</f>
        <v/>
      </c>
      <c r="D431" s="3" t="str">
        <f>IFERROR(__xludf.DUMMYFUNCTION("IFERROR(INDEX(IMPORTXML(""https://finance.yahoo.com/quote/""&amp;A431, ""//td[@data-test='EX_DIVIDEND_DATE-value']""),1),"""")"),"")</f>
        <v/>
      </c>
    </row>
    <row r="432" ht="15.75" customHeight="1">
      <c r="B432" s="3" t="str">
        <f>IFERROR(__xludf.DUMMYFUNCTION("IFERROR(GOOGLEFINANCE(A432,""yield"")*100,"""")"),"")</f>
        <v/>
      </c>
      <c r="C432" s="3" t="str">
        <f>IFERROR(__xludf.DUMMYFUNCTION("IFERROR(GOOGLEFINANCE(A432,""trail_dividend""),"""")"),"")</f>
        <v/>
      </c>
      <c r="D432" s="3" t="str">
        <f>IFERROR(__xludf.DUMMYFUNCTION("IFERROR(INDEX(IMPORTXML(""https://finance.yahoo.com/quote/""&amp;A432, ""//td[@data-test='EX_DIVIDEND_DATE-value']""),1),"""")"),"")</f>
        <v/>
      </c>
    </row>
    <row r="433" ht="15.75" customHeight="1">
      <c r="B433" s="3" t="str">
        <f>IFERROR(__xludf.DUMMYFUNCTION("IFERROR(GOOGLEFINANCE(A433,""yield"")*100,"""")"),"")</f>
        <v/>
      </c>
      <c r="C433" s="3" t="str">
        <f>IFERROR(__xludf.DUMMYFUNCTION("IFERROR(GOOGLEFINANCE(A433,""trail_dividend""),"""")"),"")</f>
        <v/>
      </c>
      <c r="D433" s="3" t="str">
        <f>IFERROR(__xludf.DUMMYFUNCTION("IFERROR(INDEX(IMPORTXML(""https://finance.yahoo.com/quote/""&amp;A433, ""//td[@data-test='EX_DIVIDEND_DATE-value']""),1),"""")"),"")</f>
        <v/>
      </c>
    </row>
    <row r="434" ht="15.75" customHeight="1">
      <c r="B434" s="3" t="str">
        <f>IFERROR(__xludf.DUMMYFUNCTION("IFERROR(GOOGLEFINANCE(A434,""yield"")*100,"""")"),"")</f>
        <v/>
      </c>
      <c r="C434" s="3" t="str">
        <f>IFERROR(__xludf.DUMMYFUNCTION("IFERROR(GOOGLEFINANCE(A434,""trail_dividend""),"""")"),"")</f>
        <v/>
      </c>
      <c r="D434" s="3" t="str">
        <f>IFERROR(__xludf.DUMMYFUNCTION("IFERROR(INDEX(IMPORTXML(""https://finance.yahoo.com/quote/""&amp;A434, ""//td[@data-test='EX_DIVIDEND_DATE-value']""),1),"""")"),"")</f>
        <v/>
      </c>
    </row>
    <row r="435" ht="15.75" customHeight="1">
      <c r="B435" s="3" t="str">
        <f>IFERROR(__xludf.DUMMYFUNCTION("IFERROR(GOOGLEFINANCE(A435,""yield"")*100,"""")"),"")</f>
        <v/>
      </c>
      <c r="C435" s="3" t="str">
        <f>IFERROR(__xludf.DUMMYFUNCTION("IFERROR(GOOGLEFINANCE(A435,""trail_dividend""),"""")"),"")</f>
        <v/>
      </c>
      <c r="D435" s="3" t="str">
        <f>IFERROR(__xludf.DUMMYFUNCTION("IFERROR(INDEX(IMPORTXML(""https://finance.yahoo.com/quote/""&amp;A435, ""//td[@data-test='EX_DIVIDEND_DATE-value']""),1),"""")"),"")</f>
        <v/>
      </c>
    </row>
    <row r="436" ht="15.75" customHeight="1">
      <c r="B436" s="3" t="str">
        <f>IFERROR(__xludf.DUMMYFUNCTION("IFERROR(GOOGLEFINANCE(A436,""yield"")*100,"""")"),"")</f>
        <v/>
      </c>
      <c r="C436" s="3" t="str">
        <f>IFERROR(__xludf.DUMMYFUNCTION("IFERROR(GOOGLEFINANCE(A436,""trail_dividend""),"""")"),"")</f>
        <v/>
      </c>
      <c r="D436" s="3" t="str">
        <f>IFERROR(__xludf.DUMMYFUNCTION("IFERROR(INDEX(IMPORTXML(""https://finance.yahoo.com/quote/""&amp;A436, ""//td[@data-test='EX_DIVIDEND_DATE-value']""),1),"""")"),"")</f>
        <v/>
      </c>
    </row>
    <row r="437" ht="15.75" customHeight="1">
      <c r="B437" s="3" t="str">
        <f>IFERROR(__xludf.DUMMYFUNCTION("IFERROR(GOOGLEFINANCE(A437,""yield"")*100,"""")"),"")</f>
        <v/>
      </c>
      <c r="C437" s="3" t="str">
        <f>IFERROR(__xludf.DUMMYFUNCTION("IFERROR(GOOGLEFINANCE(A437,""trail_dividend""),"""")"),"")</f>
        <v/>
      </c>
      <c r="D437" s="3" t="str">
        <f>IFERROR(__xludf.DUMMYFUNCTION("IFERROR(INDEX(IMPORTXML(""https://finance.yahoo.com/quote/""&amp;A437, ""//td[@data-test='EX_DIVIDEND_DATE-value']""),1),"""")"),"")</f>
        <v/>
      </c>
    </row>
    <row r="438" ht="15.75" customHeight="1">
      <c r="B438" s="3" t="str">
        <f>IFERROR(__xludf.DUMMYFUNCTION("IFERROR(GOOGLEFINANCE(A438,""yield"")*100,"""")"),"")</f>
        <v/>
      </c>
      <c r="C438" s="3" t="str">
        <f>IFERROR(__xludf.DUMMYFUNCTION("IFERROR(GOOGLEFINANCE(A438,""trail_dividend""),"""")"),"")</f>
        <v/>
      </c>
      <c r="D438" s="3" t="str">
        <f>IFERROR(__xludf.DUMMYFUNCTION("IFERROR(INDEX(IMPORTXML(""https://finance.yahoo.com/quote/""&amp;A438, ""//td[@data-test='EX_DIVIDEND_DATE-value']""),1),"""")"),"")</f>
        <v/>
      </c>
    </row>
    <row r="439" ht="15.75" customHeight="1">
      <c r="B439" s="3" t="str">
        <f>IFERROR(__xludf.DUMMYFUNCTION("IFERROR(GOOGLEFINANCE(A439,""yield"")*100,"""")"),"")</f>
        <v/>
      </c>
      <c r="C439" s="3" t="str">
        <f>IFERROR(__xludf.DUMMYFUNCTION("IFERROR(GOOGLEFINANCE(A439,""trail_dividend""),"""")"),"")</f>
        <v/>
      </c>
      <c r="D439" s="3" t="str">
        <f>IFERROR(__xludf.DUMMYFUNCTION("IFERROR(INDEX(IMPORTXML(""https://finance.yahoo.com/quote/""&amp;A439, ""//td[@data-test='EX_DIVIDEND_DATE-value']""),1),"""")"),"")</f>
        <v/>
      </c>
    </row>
    <row r="440" ht="15.75" customHeight="1">
      <c r="B440" s="3" t="str">
        <f>IFERROR(__xludf.DUMMYFUNCTION("IFERROR(GOOGLEFINANCE(A440,""yield"")*100,"""")"),"")</f>
        <v/>
      </c>
      <c r="C440" s="3" t="str">
        <f>IFERROR(__xludf.DUMMYFUNCTION("IFERROR(GOOGLEFINANCE(A440,""trail_dividend""),"""")"),"")</f>
        <v/>
      </c>
      <c r="D440" s="3" t="str">
        <f>IFERROR(__xludf.DUMMYFUNCTION("IFERROR(INDEX(IMPORTXML(""https://finance.yahoo.com/quote/""&amp;A440, ""//td[@data-test='EX_DIVIDEND_DATE-value']""),1),"""")"),"")</f>
        <v/>
      </c>
    </row>
    <row r="441" ht="15.75" customHeight="1">
      <c r="B441" s="3" t="str">
        <f>IFERROR(__xludf.DUMMYFUNCTION("IFERROR(GOOGLEFINANCE(A441,""yield"")*100,"""")"),"")</f>
        <v/>
      </c>
      <c r="C441" s="3" t="str">
        <f>IFERROR(__xludf.DUMMYFUNCTION("IFERROR(GOOGLEFINANCE(A441,""trail_dividend""),"""")"),"")</f>
        <v/>
      </c>
      <c r="D441" s="3" t="str">
        <f>IFERROR(__xludf.DUMMYFUNCTION("IFERROR(INDEX(IMPORTXML(""https://finance.yahoo.com/quote/""&amp;A441, ""//td[@data-test='EX_DIVIDEND_DATE-value']""),1),"""")"),"")</f>
        <v/>
      </c>
    </row>
    <row r="442" ht="15.75" customHeight="1">
      <c r="B442" s="3" t="str">
        <f>IFERROR(__xludf.DUMMYFUNCTION("IFERROR(GOOGLEFINANCE(A442,""yield"")*100,"""")"),"")</f>
        <v/>
      </c>
      <c r="C442" s="3" t="str">
        <f>IFERROR(__xludf.DUMMYFUNCTION("IFERROR(GOOGLEFINANCE(A442,""trail_dividend""),"""")"),"")</f>
        <v/>
      </c>
      <c r="D442" s="3" t="str">
        <f>IFERROR(__xludf.DUMMYFUNCTION("IFERROR(INDEX(IMPORTXML(""https://finance.yahoo.com/quote/""&amp;A442, ""//td[@data-test='EX_DIVIDEND_DATE-value']""),1),"""")"),"")</f>
        <v/>
      </c>
    </row>
    <row r="443" ht="15.75" customHeight="1">
      <c r="B443" s="3" t="str">
        <f>IFERROR(__xludf.DUMMYFUNCTION("IFERROR(GOOGLEFINANCE(A443,""yield"")*100,"""")"),"")</f>
        <v/>
      </c>
      <c r="C443" s="3" t="str">
        <f>IFERROR(__xludf.DUMMYFUNCTION("IFERROR(GOOGLEFINANCE(A443,""trail_dividend""),"""")"),"")</f>
        <v/>
      </c>
      <c r="D443" s="3" t="str">
        <f>IFERROR(__xludf.DUMMYFUNCTION("IFERROR(INDEX(IMPORTXML(""https://finance.yahoo.com/quote/""&amp;A443, ""//td[@data-test='EX_DIVIDEND_DATE-value']""),1),"""")"),"")</f>
        <v/>
      </c>
    </row>
    <row r="444" ht="15.75" customHeight="1">
      <c r="B444" s="3" t="str">
        <f>IFERROR(__xludf.DUMMYFUNCTION("IFERROR(GOOGLEFINANCE(A444,""yield"")*100,"""")"),"")</f>
        <v/>
      </c>
      <c r="C444" s="3" t="str">
        <f>IFERROR(__xludf.DUMMYFUNCTION("IFERROR(GOOGLEFINANCE(A444,""trail_dividend""),"""")"),"")</f>
        <v/>
      </c>
      <c r="D444" s="3" t="str">
        <f>IFERROR(__xludf.DUMMYFUNCTION("IFERROR(INDEX(IMPORTXML(""https://finance.yahoo.com/quote/""&amp;A444, ""//td[@data-test='EX_DIVIDEND_DATE-value']""),1),"""")"),"")</f>
        <v/>
      </c>
    </row>
    <row r="445" ht="15.75" customHeight="1">
      <c r="B445" s="3" t="str">
        <f>IFERROR(__xludf.DUMMYFUNCTION("IFERROR(GOOGLEFINANCE(A445,""yield"")*100,"""")"),"")</f>
        <v/>
      </c>
      <c r="C445" s="3" t="str">
        <f>IFERROR(__xludf.DUMMYFUNCTION("IFERROR(GOOGLEFINANCE(A445,""trail_dividend""),"""")"),"")</f>
        <v/>
      </c>
      <c r="D445" s="3" t="str">
        <f>IFERROR(__xludf.DUMMYFUNCTION("IFERROR(INDEX(IMPORTXML(""https://finance.yahoo.com/quote/""&amp;A445, ""//td[@data-test='EX_DIVIDEND_DATE-value']""),1),"""")"),"")</f>
        <v/>
      </c>
    </row>
    <row r="446" ht="15.75" customHeight="1">
      <c r="B446" s="3" t="str">
        <f>IFERROR(__xludf.DUMMYFUNCTION("IFERROR(GOOGLEFINANCE(A446,""yield"")*100,"""")"),"")</f>
        <v/>
      </c>
      <c r="C446" s="3" t="str">
        <f>IFERROR(__xludf.DUMMYFUNCTION("IFERROR(GOOGLEFINANCE(A446,""trail_dividend""),"""")"),"")</f>
        <v/>
      </c>
      <c r="D446" s="3" t="str">
        <f>IFERROR(__xludf.DUMMYFUNCTION("IFERROR(INDEX(IMPORTXML(""https://finance.yahoo.com/quote/""&amp;A446, ""//td[@data-test='EX_DIVIDEND_DATE-value']""),1),"""")"),"")</f>
        <v/>
      </c>
    </row>
    <row r="447" ht="15.75" customHeight="1">
      <c r="B447" s="3" t="str">
        <f>IFERROR(__xludf.DUMMYFUNCTION("IFERROR(GOOGLEFINANCE(A447,""yield"")*100,"""")"),"")</f>
        <v/>
      </c>
      <c r="C447" s="3" t="str">
        <f>IFERROR(__xludf.DUMMYFUNCTION("IFERROR(GOOGLEFINANCE(A447,""trail_dividend""),"""")"),"")</f>
        <v/>
      </c>
      <c r="D447" s="3" t="str">
        <f>IFERROR(__xludf.DUMMYFUNCTION("IFERROR(INDEX(IMPORTXML(""https://finance.yahoo.com/quote/""&amp;A447, ""//td[@data-test='EX_DIVIDEND_DATE-value']""),1),"""")"),"")</f>
        <v/>
      </c>
    </row>
    <row r="448" ht="15.75" customHeight="1">
      <c r="B448" s="3" t="str">
        <f>IFERROR(__xludf.DUMMYFUNCTION("IFERROR(GOOGLEFINANCE(A448,""yield"")*100,"""")"),"")</f>
        <v/>
      </c>
      <c r="C448" s="3" t="str">
        <f>IFERROR(__xludf.DUMMYFUNCTION("IFERROR(GOOGLEFINANCE(A448,""trail_dividend""),"""")"),"")</f>
        <v/>
      </c>
      <c r="D448" s="3" t="str">
        <f>IFERROR(__xludf.DUMMYFUNCTION("IFERROR(INDEX(IMPORTXML(""https://finance.yahoo.com/quote/""&amp;A448, ""//td[@data-test='EX_DIVIDEND_DATE-value']""),1),"""")"),"")</f>
        <v/>
      </c>
    </row>
    <row r="449" ht="15.75" customHeight="1">
      <c r="B449" s="3" t="str">
        <f>IFERROR(__xludf.DUMMYFUNCTION("IFERROR(GOOGLEFINANCE(A449,""yield"")*100,"""")"),"")</f>
        <v/>
      </c>
      <c r="C449" s="3" t="str">
        <f>IFERROR(__xludf.DUMMYFUNCTION("IFERROR(GOOGLEFINANCE(A449,""trail_dividend""),"""")"),"")</f>
        <v/>
      </c>
      <c r="D449" s="3" t="str">
        <f>IFERROR(__xludf.DUMMYFUNCTION("IFERROR(INDEX(IMPORTXML(""https://finance.yahoo.com/quote/""&amp;A449, ""//td[@data-test='EX_DIVIDEND_DATE-value']""),1),"""")"),"")</f>
        <v/>
      </c>
    </row>
    <row r="450" ht="15.75" customHeight="1">
      <c r="B450" s="3" t="str">
        <f>IFERROR(__xludf.DUMMYFUNCTION("IFERROR(GOOGLEFINANCE(A450,""yield"")*100,"""")"),"")</f>
        <v/>
      </c>
      <c r="C450" s="3" t="str">
        <f>IFERROR(__xludf.DUMMYFUNCTION("IFERROR(GOOGLEFINANCE(A450,""trail_dividend""),"""")"),"")</f>
        <v/>
      </c>
      <c r="D450" s="3" t="str">
        <f>IFERROR(__xludf.DUMMYFUNCTION("IFERROR(INDEX(IMPORTXML(""https://finance.yahoo.com/quote/""&amp;A450, ""//td[@data-test='EX_DIVIDEND_DATE-value']""),1),"""")"),"")</f>
        <v/>
      </c>
    </row>
    <row r="451" ht="15.75" customHeight="1">
      <c r="B451" s="3" t="str">
        <f>IFERROR(__xludf.DUMMYFUNCTION("IFERROR(GOOGLEFINANCE(A451,""yield"")*100,"""")"),"")</f>
        <v/>
      </c>
      <c r="C451" s="3" t="str">
        <f>IFERROR(__xludf.DUMMYFUNCTION("IFERROR(GOOGLEFINANCE(A451,""trail_dividend""),"""")"),"")</f>
        <v/>
      </c>
      <c r="D451" s="3" t="str">
        <f>IFERROR(__xludf.DUMMYFUNCTION("IFERROR(INDEX(IMPORTXML(""https://finance.yahoo.com/quote/""&amp;A451, ""//td[@data-test='EX_DIVIDEND_DATE-value']""),1),"""")"),"")</f>
        <v/>
      </c>
    </row>
    <row r="452" ht="15.75" customHeight="1">
      <c r="B452" s="3" t="str">
        <f>IFERROR(__xludf.DUMMYFUNCTION("IFERROR(GOOGLEFINANCE(A452,""yield"")*100,"""")"),"")</f>
        <v/>
      </c>
      <c r="C452" s="3" t="str">
        <f>IFERROR(__xludf.DUMMYFUNCTION("IFERROR(GOOGLEFINANCE(A452,""trail_dividend""),"""")"),"")</f>
        <v/>
      </c>
      <c r="D452" s="3" t="str">
        <f>IFERROR(__xludf.DUMMYFUNCTION("IFERROR(INDEX(IMPORTXML(""https://finance.yahoo.com/quote/""&amp;A452, ""//td[@data-test='EX_DIVIDEND_DATE-value']""),1),"""")"),"")</f>
        <v/>
      </c>
    </row>
    <row r="453" ht="15.75" customHeight="1">
      <c r="B453" s="3" t="str">
        <f>IFERROR(__xludf.DUMMYFUNCTION("IFERROR(GOOGLEFINANCE(A453,""yield"")*100,"""")"),"")</f>
        <v/>
      </c>
      <c r="C453" s="3" t="str">
        <f>IFERROR(__xludf.DUMMYFUNCTION("IFERROR(GOOGLEFINANCE(A453,""trail_dividend""),"""")"),"")</f>
        <v/>
      </c>
      <c r="D453" s="3" t="str">
        <f>IFERROR(__xludf.DUMMYFUNCTION("IFERROR(INDEX(IMPORTXML(""https://finance.yahoo.com/quote/""&amp;A453, ""//td[@data-test='EX_DIVIDEND_DATE-value']""),1),"""")"),"")</f>
        <v/>
      </c>
    </row>
    <row r="454" ht="15.75" customHeight="1">
      <c r="B454" s="3" t="str">
        <f>IFERROR(__xludf.DUMMYFUNCTION("IFERROR(GOOGLEFINANCE(A454,""yield"")*100,"""")"),"")</f>
        <v/>
      </c>
      <c r="C454" s="3" t="str">
        <f>IFERROR(__xludf.DUMMYFUNCTION("IFERROR(GOOGLEFINANCE(A454,""trail_dividend""),"""")"),"")</f>
        <v/>
      </c>
      <c r="D454" s="3" t="str">
        <f>IFERROR(__xludf.DUMMYFUNCTION("IFERROR(INDEX(IMPORTXML(""https://finance.yahoo.com/quote/""&amp;A454, ""//td[@data-test='EX_DIVIDEND_DATE-value']""),1),"""")"),"")</f>
        <v/>
      </c>
    </row>
    <row r="455" ht="15.75" customHeight="1">
      <c r="B455" s="3" t="str">
        <f>IFERROR(__xludf.DUMMYFUNCTION("IFERROR(GOOGLEFINANCE(A455,""yield"")*100,"""")"),"")</f>
        <v/>
      </c>
      <c r="C455" s="3" t="str">
        <f>IFERROR(__xludf.DUMMYFUNCTION("IFERROR(GOOGLEFINANCE(A455,""trail_dividend""),"""")"),"")</f>
        <v/>
      </c>
      <c r="D455" s="3" t="str">
        <f>IFERROR(__xludf.DUMMYFUNCTION("IFERROR(INDEX(IMPORTXML(""https://finance.yahoo.com/quote/""&amp;A455, ""//td[@data-test='EX_DIVIDEND_DATE-value']""),1),"""")"),"")</f>
        <v/>
      </c>
    </row>
    <row r="456" ht="15.75" customHeight="1">
      <c r="B456" s="3" t="str">
        <f>IFERROR(__xludf.DUMMYFUNCTION("IFERROR(GOOGLEFINANCE(A456,""yield"")*100,"""")"),"")</f>
        <v/>
      </c>
      <c r="C456" s="3" t="str">
        <f>IFERROR(__xludf.DUMMYFUNCTION("IFERROR(GOOGLEFINANCE(A456,""trail_dividend""),"""")"),"")</f>
        <v/>
      </c>
      <c r="D456" s="3" t="str">
        <f>IFERROR(__xludf.DUMMYFUNCTION("IFERROR(INDEX(IMPORTXML(""https://finance.yahoo.com/quote/""&amp;A456, ""//td[@data-test='EX_DIVIDEND_DATE-value']""),1),"""")"),"")</f>
        <v/>
      </c>
    </row>
    <row r="457" ht="15.75" customHeight="1">
      <c r="B457" s="3" t="str">
        <f>IFERROR(__xludf.DUMMYFUNCTION("IFERROR(GOOGLEFINANCE(A457,""yield"")*100,"""")"),"")</f>
        <v/>
      </c>
      <c r="C457" s="3" t="str">
        <f>IFERROR(__xludf.DUMMYFUNCTION("IFERROR(GOOGLEFINANCE(A457,""trail_dividend""),"""")"),"")</f>
        <v/>
      </c>
      <c r="D457" s="3" t="str">
        <f>IFERROR(__xludf.DUMMYFUNCTION("IFERROR(INDEX(IMPORTXML(""https://finance.yahoo.com/quote/""&amp;A457, ""//td[@data-test='EX_DIVIDEND_DATE-value']""),1),"""")"),"")</f>
        <v/>
      </c>
    </row>
    <row r="458" ht="15.75" customHeight="1">
      <c r="B458" s="3" t="str">
        <f>IFERROR(__xludf.DUMMYFUNCTION("IFERROR(GOOGLEFINANCE(A458,""yield"")*100,"""")"),"")</f>
        <v/>
      </c>
      <c r="C458" s="3" t="str">
        <f>IFERROR(__xludf.DUMMYFUNCTION("IFERROR(GOOGLEFINANCE(A458,""trail_dividend""),"""")"),"")</f>
        <v/>
      </c>
      <c r="D458" s="3" t="str">
        <f>IFERROR(__xludf.DUMMYFUNCTION("IFERROR(INDEX(IMPORTXML(""https://finance.yahoo.com/quote/""&amp;A458, ""//td[@data-test='EX_DIVIDEND_DATE-value']""),1),"""")"),"")</f>
        <v/>
      </c>
    </row>
    <row r="459" ht="15.75" customHeight="1">
      <c r="B459" s="3" t="str">
        <f>IFERROR(__xludf.DUMMYFUNCTION("IFERROR(GOOGLEFINANCE(A459,""yield"")*100,"""")"),"")</f>
        <v/>
      </c>
      <c r="C459" s="3" t="str">
        <f>IFERROR(__xludf.DUMMYFUNCTION("IFERROR(GOOGLEFINANCE(A459,""trail_dividend""),"""")"),"")</f>
        <v/>
      </c>
      <c r="D459" s="3" t="str">
        <f>IFERROR(__xludf.DUMMYFUNCTION("IFERROR(INDEX(IMPORTXML(""https://finance.yahoo.com/quote/""&amp;A459, ""//td[@data-test='EX_DIVIDEND_DATE-value']""),1),"""")"),"")</f>
        <v/>
      </c>
    </row>
    <row r="460" ht="15.75" customHeight="1">
      <c r="B460" s="3" t="str">
        <f>IFERROR(__xludf.DUMMYFUNCTION("IFERROR(GOOGLEFINANCE(A460,""yield"")*100,"""")"),"")</f>
        <v/>
      </c>
      <c r="C460" s="3" t="str">
        <f>IFERROR(__xludf.DUMMYFUNCTION("IFERROR(GOOGLEFINANCE(A460,""trail_dividend""),"""")"),"")</f>
        <v/>
      </c>
      <c r="D460" s="3" t="str">
        <f>IFERROR(__xludf.DUMMYFUNCTION("IFERROR(INDEX(IMPORTXML(""https://finance.yahoo.com/quote/""&amp;A460, ""//td[@data-test='EX_DIVIDEND_DATE-value']""),1),"""")"),"")</f>
        <v/>
      </c>
    </row>
    <row r="461" ht="15.75" customHeight="1">
      <c r="B461" s="3" t="str">
        <f>IFERROR(__xludf.DUMMYFUNCTION("IFERROR(GOOGLEFINANCE(A461,""yield"")*100,"""")"),"")</f>
        <v/>
      </c>
      <c r="C461" s="3" t="str">
        <f>IFERROR(__xludf.DUMMYFUNCTION("IFERROR(GOOGLEFINANCE(A461,""trail_dividend""),"""")"),"")</f>
        <v/>
      </c>
      <c r="D461" s="3" t="str">
        <f>IFERROR(__xludf.DUMMYFUNCTION("IFERROR(INDEX(IMPORTXML(""https://finance.yahoo.com/quote/""&amp;A461, ""//td[@data-test='EX_DIVIDEND_DATE-value']""),1),"""")"),"")</f>
        <v/>
      </c>
    </row>
    <row r="462" ht="15.75" customHeight="1">
      <c r="B462" s="3" t="str">
        <f>IFERROR(__xludf.DUMMYFUNCTION("IFERROR(GOOGLEFINANCE(A462,""yield"")*100,"""")"),"")</f>
        <v/>
      </c>
      <c r="C462" s="3" t="str">
        <f>IFERROR(__xludf.DUMMYFUNCTION("IFERROR(GOOGLEFINANCE(A462,""trail_dividend""),"""")"),"")</f>
        <v/>
      </c>
      <c r="D462" s="3" t="str">
        <f>IFERROR(__xludf.DUMMYFUNCTION("IFERROR(INDEX(IMPORTXML(""https://finance.yahoo.com/quote/""&amp;A462, ""//td[@data-test='EX_DIVIDEND_DATE-value']""),1),"""")"),"")</f>
        <v/>
      </c>
    </row>
    <row r="463" ht="15.75" customHeight="1">
      <c r="B463" s="3" t="str">
        <f>IFERROR(__xludf.DUMMYFUNCTION("IFERROR(GOOGLEFINANCE(A463,""yield"")*100,"""")"),"")</f>
        <v/>
      </c>
      <c r="C463" s="3" t="str">
        <f>IFERROR(__xludf.DUMMYFUNCTION("IFERROR(GOOGLEFINANCE(A463,""trail_dividend""),"""")"),"")</f>
        <v/>
      </c>
      <c r="D463" s="3" t="str">
        <f>IFERROR(__xludf.DUMMYFUNCTION("IFERROR(INDEX(IMPORTXML(""https://finance.yahoo.com/quote/""&amp;A463, ""//td[@data-test='EX_DIVIDEND_DATE-value']""),1),"""")"),"")</f>
        <v/>
      </c>
    </row>
    <row r="464" ht="15.75" customHeight="1">
      <c r="B464" s="3" t="str">
        <f>IFERROR(__xludf.DUMMYFUNCTION("IFERROR(GOOGLEFINANCE(A464,""yield"")*100,"""")"),"")</f>
        <v/>
      </c>
      <c r="C464" s="3" t="str">
        <f>IFERROR(__xludf.DUMMYFUNCTION("IFERROR(GOOGLEFINANCE(A464,""trail_dividend""),"""")"),"")</f>
        <v/>
      </c>
      <c r="D464" s="3" t="str">
        <f>IFERROR(__xludf.DUMMYFUNCTION("IFERROR(INDEX(IMPORTXML(""https://finance.yahoo.com/quote/""&amp;A464, ""//td[@data-test='EX_DIVIDEND_DATE-value']""),1),"""")"),"")</f>
        <v/>
      </c>
    </row>
    <row r="465" ht="15.75" customHeight="1">
      <c r="B465" s="3" t="str">
        <f>IFERROR(__xludf.DUMMYFUNCTION("IFERROR(GOOGLEFINANCE(A465,""yield"")*100,"""")"),"")</f>
        <v/>
      </c>
      <c r="C465" s="3" t="str">
        <f>IFERROR(__xludf.DUMMYFUNCTION("IFERROR(GOOGLEFINANCE(A465,""trail_dividend""),"""")"),"")</f>
        <v/>
      </c>
      <c r="D465" s="3" t="str">
        <f>IFERROR(__xludf.DUMMYFUNCTION("IFERROR(INDEX(IMPORTXML(""https://finance.yahoo.com/quote/""&amp;A465, ""//td[@data-test='EX_DIVIDEND_DATE-value']""),1),"""")"),"")</f>
        <v/>
      </c>
    </row>
    <row r="466" ht="15.75" customHeight="1">
      <c r="B466" s="3" t="str">
        <f>IFERROR(__xludf.DUMMYFUNCTION("IFERROR(GOOGLEFINANCE(A466,""yield"")*100,"""")"),"")</f>
        <v/>
      </c>
      <c r="C466" s="3" t="str">
        <f>IFERROR(__xludf.DUMMYFUNCTION("IFERROR(GOOGLEFINANCE(A466,""trail_dividend""),"""")"),"")</f>
        <v/>
      </c>
      <c r="D466" s="3" t="str">
        <f>IFERROR(__xludf.DUMMYFUNCTION("IFERROR(INDEX(IMPORTXML(""https://finance.yahoo.com/quote/""&amp;A466, ""//td[@data-test='EX_DIVIDEND_DATE-value']""),1),"""")"),"")</f>
        <v/>
      </c>
    </row>
    <row r="467" ht="15.75" customHeight="1">
      <c r="B467" s="3" t="str">
        <f>IFERROR(__xludf.DUMMYFUNCTION("IFERROR(GOOGLEFINANCE(A467,""yield"")*100,"""")"),"")</f>
        <v/>
      </c>
      <c r="C467" s="3" t="str">
        <f>IFERROR(__xludf.DUMMYFUNCTION("IFERROR(GOOGLEFINANCE(A467,""trail_dividend""),"""")"),"")</f>
        <v/>
      </c>
      <c r="D467" s="3" t="str">
        <f>IFERROR(__xludf.DUMMYFUNCTION("IFERROR(INDEX(IMPORTXML(""https://finance.yahoo.com/quote/""&amp;A467, ""//td[@data-test='EX_DIVIDEND_DATE-value']""),1),"""")"),"")</f>
        <v/>
      </c>
    </row>
    <row r="468" ht="15.75" customHeight="1">
      <c r="B468" s="3" t="str">
        <f>IFERROR(__xludf.DUMMYFUNCTION("IFERROR(GOOGLEFINANCE(A468,""yield"")*100,"""")"),"")</f>
        <v/>
      </c>
      <c r="C468" s="3" t="str">
        <f>IFERROR(__xludf.DUMMYFUNCTION("IFERROR(GOOGLEFINANCE(A468,""trail_dividend""),"""")"),"")</f>
        <v/>
      </c>
      <c r="D468" s="3" t="str">
        <f>IFERROR(__xludf.DUMMYFUNCTION("IFERROR(INDEX(IMPORTXML(""https://finance.yahoo.com/quote/""&amp;A468, ""//td[@data-test='EX_DIVIDEND_DATE-value']""),1),"""")"),"")</f>
        <v/>
      </c>
    </row>
    <row r="469" ht="15.75" customHeight="1">
      <c r="B469" s="3" t="str">
        <f>IFERROR(__xludf.DUMMYFUNCTION("IFERROR(GOOGLEFINANCE(A469,""yield"")*100,"""")"),"")</f>
        <v/>
      </c>
      <c r="C469" s="3" t="str">
        <f>IFERROR(__xludf.DUMMYFUNCTION("IFERROR(GOOGLEFINANCE(A469,""trail_dividend""),"""")"),"")</f>
        <v/>
      </c>
      <c r="D469" s="3" t="str">
        <f>IFERROR(__xludf.DUMMYFUNCTION("IFERROR(INDEX(IMPORTXML(""https://finance.yahoo.com/quote/""&amp;A469, ""//td[@data-test='EX_DIVIDEND_DATE-value']""),1),"""")"),"")</f>
        <v/>
      </c>
    </row>
    <row r="470" ht="15.75" customHeight="1">
      <c r="B470" s="3" t="str">
        <f>IFERROR(__xludf.DUMMYFUNCTION("IFERROR(GOOGLEFINANCE(A470,""yield"")*100,"""")"),"")</f>
        <v/>
      </c>
      <c r="C470" s="3" t="str">
        <f>IFERROR(__xludf.DUMMYFUNCTION("IFERROR(GOOGLEFINANCE(A470,""trail_dividend""),"""")"),"")</f>
        <v/>
      </c>
      <c r="D470" s="3" t="str">
        <f>IFERROR(__xludf.DUMMYFUNCTION("IFERROR(INDEX(IMPORTXML(""https://finance.yahoo.com/quote/""&amp;A470, ""//td[@data-test='EX_DIVIDEND_DATE-value']""),1),"""")"),"")</f>
        <v/>
      </c>
    </row>
    <row r="471" ht="15.75" customHeight="1">
      <c r="B471" s="3" t="str">
        <f>IFERROR(__xludf.DUMMYFUNCTION("IFERROR(GOOGLEFINANCE(A471,""yield"")*100,"""")"),"")</f>
        <v/>
      </c>
      <c r="C471" s="3" t="str">
        <f>IFERROR(__xludf.DUMMYFUNCTION("IFERROR(GOOGLEFINANCE(A471,""trail_dividend""),"""")"),"")</f>
        <v/>
      </c>
      <c r="D471" s="3" t="str">
        <f>IFERROR(__xludf.DUMMYFUNCTION("IFERROR(INDEX(IMPORTXML(""https://finance.yahoo.com/quote/""&amp;A471, ""//td[@data-test='EX_DIVIDEND_DATE-value']""),1),"""")"),"")</f>
        <v/>
      </c>
    </row>
    <row r="472" ht="15.75" customHeight="1">
      <c r="B472" s="3" t="str">
        <f>IFERROR(__xludf.DUMMYFUNCTION("IFERROR(GOOGLEFINANCE(A472,""yield"")*100,"""")"),"")</f>
        <v/>
      </c>
      <c r="C472" s="3" t="str">
        <f>IFERROR(__xludf.DUMMYFUNCTION("IFERROR(GOOGLEFINANCE(A472,""trail_dividend""),"""")"),"")</f>
        <v/>
      </c>
      <c r="D472" s="3" t="str">
        <f>IFERROR(__xludf.DUMMYFUNCTION("IFERROR(INDEX(IMPORTXML(""https://finance.yahoo.com/quote/""&amp;A472, ""//td[@data-test='EX_DIVIDEND_DATE-value']""),1),"""")"),"")</f>
        <v/>
      </c>
    </row>
    <row r="473" ht="15.75" customHeight="1">
      <c r="B473" s="3" t="str">
        <f>IFERROR(__xludf.DUMMYFUNCTION("IFERROR(GOOGLEFINANCE(A473,""yield"")*100,"""")"),"")</f>
        <v/>
      </c>
      <c r="C473" s="3" t="str">
        <f>IFERROR(__xludf.DUMMYFUNCTION("IFERROR(GOOGLEFINANCE(A473,""trail_dividend""),"""")"),"")</f>
        <v/>
      </c>
      <c r="D473" s="3" t="str">
        <f>IFERROR(__xludf.DUMMYFUNCTION("IFERROR(INDEX(IMPORTXML(""https://finance.yahoo.com/quote/""&amp;A473, ""//td[@data-test='EX_DIVIDEND_DATE-value']""),1),"""")"),"")</f>
        <v/>
      </c>
    </row>
    <row r="474" ht="15.75" customHeight="1">
      <c r="B474" s="3" t="str">
        <f>IFERROR(__xludf.DUMMYFUNCTION("IFERROR(GOOGLEFINANCE(A474,""yield"")*100,"""")"),"")</f>
        <v/>
      </c>
      <c r="C474" s="3" t="str">
        <f>IFERROR(__xludf.DUMMYFUNCTION("IFERROR(GOOGLEFINANCE(A474,""trail_dividend""),"""")"),"")</f>
        <v/>
      </c>
      <c r="D474" s="3" t="str">
        <f>IFERROR(__xludf.DUMMYFUNCTION("IFERROR(INDEX(IMPORTXML(""https://finance.yahoo.com/quote/""&amp;A474, ""//td[@data-test='EX_DIVIDEND_DATE-value']""),1),"""")"),"")</f>
        <v/>
      </c>
    </row>
    <row r="475" ht="15.75" customHeight="1">
      <c r="B475" s="3" t="str">
        <f>IFERROR(__xludf.DUMMYFUNCTION("IFERROR(GOOGLEFINANCE(A475,""yield"")*100,"""")"),"")</f>
        <v/>
      </c>
      <c r="C475" s="3" t="str">
        <f>IFERROR(__xludf.DUMMYFUNCTION("IFERROR(GOOGLEFINANCE(A475,""trail_dividend""),"""")"),"")</f>
        <v/>
      </c>
      <c r="D475" s="3" t="str">
        <f>IFERROR(__xludf.DUMMYFUNCTION("IFERROR(INDEX(IMPORTXML(""https://finance.yahoo.com/quote/""&amp;A475, ""//td[@data-test='EX_DIVIDEND_DATE-value']""),1),"""")"),"")</f>
        <v/>
      </c>
    </row>
    <row r="476" ht="15.75" customHeight="1">
      <c r="B476" s="3" t="str">
        <f>IFERROR(__xludf.DUMMYFUNCTION("IFERROR(GOOGLEFINANCE(A476,""yield"")*100,"""")"),"")</f>
        <v/>
      </c>
      <c r="C476" s="3" t="str">
        <f>IFERROR(__xludf.DUMMYFUNCTION("IFERROR(GOOGLEFINANCE(A476,""trail_dividend""),"""")"),"")</f>
        <v/>
      </c>
      <c r="D476" s="3" t="str">
        <f>IFERROR(__xludf.DUMMYFUNCTION("IFERROR(INDEX(IMPORTXML(""https://finance.yahoo.com/quote/""&amp;A476, ""//td[@data-test='EX_DIVIDEND_DATE-value']""),1),"""")"),"")</f>
        <v/>
      </c>
    </row>
    <row r="477" ht="15.75" customHeight="1">
      <c r="B477" s="3" t="str">
        <f>IFERROR(__xludf.DUMMYFUNCTION("IFERROR(GOOGLEFINANCE(A477,""yield"")*100,"""")"),"")</f>
        <v/>
      </c>
      <c r="C477" s="3" t="str">
        <f>IFERROR(__xludf.DUMMYFUNCTION("IFERROR(GOOGLEFINANCE(A477,""trail_dividend""),"""")"),"")</f>
        <v/>
      </c>
      <c r="D477" s="3" t="str">
        <f>IFERROR(__xludf.DUMMYFUNCTION("IFERROR(INDEX(IMPORTXML(""https://finance.yahoo.com/quote/""&amp;A477, ""//td[@data-test='EX_DIVIDEND_DATE-value']""),1),"""")"),"")</f>
        <v/>
      </c>
    </row>
    <row r="478" ht="15.75" customHeight="1">
      <c r="B478" s="3" t="str">
        <f>IFERROR(__xludf.DUMMYFUNCTION("IFERROR(GOOGLEFINANCE(A478,""yield"")*100,"""")"),"")</f>
        <v/>
      </c>
      <c r="C478" s="3" t="str">
        <f>IFERROR(__xludf.DUMMYFUNCTION("IFERROR(GOOGLEFINANCE(A478,""trail_dividend""),"""")"),"")</f>
        <v/>
      </c>
      <c r="D478" s="3" t="str">
        <f>IFERROR(__xludf.DUMMYFUNCTION("IFERROR(INDEX(IMPORTXML(""https://finance.yahoo.com/quote/""&amp;A478, ""//td[@data-test='EX_DIVIDEND_DATE-value']""),1),"""")"),"")</f>
        <v/>
      </c>
    </row>
    <row r="479" ht="15.75" customHeight="1">
      <c r="B479" s="3" t="str">
        <f>IFERROR(__xludf.DUMMYFUNCTION("IFERROR(GOOGLEFINANCE(A479,""yield"")*100,"""")"),"")</f>
        <v/>
      </c>
      <c r="C479" s="3" t="str">
        <f>IFERROR(__xludf.DUMMYFUNCTION("IFERROR(GOOGLEFINANCE(A479,""trail_dividend""),"""")"),"")</f>
        <v/>
      </c>
      <c r="D479" s="3" t="str">
        <f>IFERROR(__xludf.DUMMYFUNCTION("IFERROR(INDEX(IMPORTXML(""https://finance.yahoo.com/quote/""&amp;A479, ""//td[@data-test='EX_DIVIDEND_DATE-value']""),1),"""")"),"")</f>
        <v/>
      </c>
    </row>
    <row r="480" ht="15.75" customHeight="1">
      <c r="B480" s="3" t="str">
        <f>IFERROR(__xludf.DUMMYFUNCTION("IFERROR(GOOGLEFINANCE(A480,""yield"")*100,"""")"),"")</f>
        <v/>
      </c>
      <c r="C480" s="3" t="str">
        <f>IFERROR(__xludf.DUMMYFUNCTION("IFERROR(GOOGLEFINANCE(A480,""trail_dividend""),"""")"),"")</f>
        <v/>
      </c>
      <c r="D480" s="3" t="str">
        <f>IFERROR(__xludf.DUMMYFUNCTION("IFERROR(INDEX(IMPORTXML(""https://finance.yahoo.com/quote/""&amp;A480, ""//td[@data-test='EX_DIVIDEND_DATE-value']""),1),"""")"),"")</f>
        <v/>
      </c>
    </row>
    <row r="481" ht="15.75" customHeight="1">
      <c r="B481" s="3" t="str">
        <f>IFERROR(__xludf.DUMMYFUNCTION("IFERROR(GOOGLEFINANCE(A481,""yield"")*100,"""")"),"")</f>
        <v/>
      </c>
      <c r="C481" s="3" t="str">
        <f>IFERROR(__xludf.DUMMYFUNCTION("IFERROR(GOOGLEFINANCE(A481,""trail_dividend""),"""")"),"")</f>
        <v/>
      </c>
      <c r="D481" s="3" t="str">
        <f>IFERROR(__xludf.DUMMYFUNCTION("IFERROR(INDEX(IMPORTXML(""https://finance.yahoo.com/quote/""&amp;A481, ""//td[@data-test='EX_DIVIDEND_DATE-value']""),1),"""")"),"")</f>
        <v/>
      </c>
    </row>
    <row r="482" ht="15.75" customHeight="1">
      <c r="B482" s="3" t="str">
        <f>IFERROR(__xludf.DUMMYFUNCTION("IFERROR(GOOGLEFINANCE(A482,""yield"")*100,"""")"),"")</f>
        <v/>
      </c>
      <c r="C482" s="3" t="str">
        <f>IFERROR(__xludf.DUMMYFUNCTION("IFERROR(GOOGLEFINANCE(A482,""trail_dividend""),"""")"),"")</f>
        <v/>
      </c>
      <c r="D482" s="3" t="str">
        <f>IFERROR(__xludf.DUMMYFUNCTION("IFERROR(INDEX(IMPORTXML(""https://finance.yahoo.com/quote/""&amp;A482, ""//td[@data-test='EX_DIVIDEND_DATE-value']""),1),"""")"),"")</f>
        <v/>
      </c>
    </row>
    <row r="483" ht="15.75" customHeight="1">
      <c r="B483" s="3" t="str">
        <f>IFERROR(__xludf.DUMMYFUNCTION("IFERROR(GOOGLEFINANCE(A483,""yield"")*100,"""")"),"")</f>
        <v/>
      </c>
      <c r="C483" s="3" t="str">
        <f>IFERROR(__xludf.DUMMYFUNCTION("IFERROR(GOOGLEFINANCE(A483,""trail_dividend""),"""")"),"")</f>
        <v/>
      </c>
      <c r="D483" s="3" t="str">
        <f>IFERROR(__xludf.DUMMYFUNCTION("IFERROR(INDEX(IMPORTXML(""https://finance.yahoo.com/quote/""&amp;A483, ""//td[@data-test='EX_DIVIDEND_DATE-value']""),1),"""")"),"")</f>
        <v/>
      </c>
    </row>
    <row r="484" ht="15.75" customHeight="1">
      <c r="B484" s="3" t="str">
        <f>IFERROR(__xludf.DUMMYFUNCTION("IFERROR(GOOGLEFINANCE(A484,""yield"")*100,"""")"),"")</f>
        <v/>
      </c>
      <c r="C484" s="3" t="str">
        <f>IFERROR(__xludf.DUMMYFUNCTION("IFERROR(GOOGLEFINANCE(A484,""trail_dividend""),"""")"),"")</f>
        <v/>
      </c>
      <c r="D484" s="3" t="str">
        <f>IFERROR(__xludf.DUMMYFUNCTION("IFERROR(INDEX(IMPORTXML(""https://finance.yahoo.com/quote/""&amp;A484, ""//td[@data-test='EX_DIVIDEND_DATE-value']""),1),"""")"),"")</f>
        <v/>
      </c>
    </row>
    <row r="485" ht="15.75" customHeight="1">
      <c r="B485" s="3" t="str">
        <f>IFERROR(__xludf.DUMMYFUNCTION("IFERROR(GOOGLEFINANCE(A485,""yield"")*100,"""")"),"")</f>
        <v/>
      </c>
      <c r="C485" s="3" t="str">
        <f>IFERROR(__xludf.DUMMYFUNCTION("IFERROR(GOOGLEFINANCE(A485,""trail_dividend""),"""")"),"")</f>
        <v/>
      </c>
      <c r="D485" s="3" t="str">
        <f>IFERROR(__xludf.DUMMYFUNCTION("IFERROR(INDEX(IMPORTXML(""https://finance.yahoo.com/quote/""&amp;A485, ""//td[@data-test='EX_DIVIDEND_DATE-value']""),1),"""")"),"")</f>
        <v/>
      </c>
    </row>
    <row r="486" ht="15.75" customHeight="1">
      <c r="B486" s="3" t="str">
        <f>IFERROR(__xludf.DUMMYFUNCTION("IFERROR(GOOGLEFINANCE(A486,""yield"")*100,"""")"),"")</f>
        <v/>
      </c>
      <c r="C486" s="3" t="str">
        <f>IFERROR(__xludf.DUMMYFUNCTION("IFERROR(GOOGLEFINANCE(A486,""trail_dividend""),"""")"),"")</f>
        <v/>
      </c>
      <c r="D486" s="3" t="str">
        <f>IFERROR(__xludf.DUMMYFUNCTION("IFERROR(INDEX(IMPORTXML(""https://finance.yahoo.com/quote/""&amp;A486, ""//td[@data-test='EX_DIVIDEND_DATE-value']""),1),"""")"),"")</f>
        <v/>
      </c>
    </row>
    <row r="487" ht="15.75" customHeight="1">
      <c r="B487" s="3" t="str">
        <f>IFERROR(__xludf.DUMMYFUNCTION("IFERROR(GOOGLEFINANCE(A487,""yield"")*100,"""")"),"")</f>
        <v/>
      </c>
      <c r="C487" s="3" t="str">
        <f>IFERROR(__xludf.DUMMYFUNCTION("IFERROR(GOOGLEFINANCE(A487,""trail_dividend""),"""")"),"")</f>
        <v/>
      </c>
      <c r="D487" s="3" t="str">
        <f>IFERROR(__xludf.DUMMYFUNCTION("IFERROR(INDEX(IMPORTXML(""https://finance.yahoo.com/quote/""&amp;A487, ""//td[@data-test='EX_DIVIDEND_DATE-value']""),1),"""")"),"")</f>
        <v/>
      </c>
    </row>
    <row r="488" ht="15.75" customHeight="1">
      <c r="B488" s="3" t="str">
        <f>IFERROR(__xludf.DUMMYFUNCTION("IFERROR(GOOGLEFINANCE(A488,""yield"")*100,"""")"),"")</f>
        <v/>
      </c>
      <c r="C488" s="3" t="str">
        <f>IFERROR(__xludf.DUMMYFUNCTION("IFERROR(GOOGLEFINANCE(A488,""trail_dividend""),"""")"),"")</f>
        <v/>
      </c>
      <c r="D488" s="3" t="str">
        <f>IFERROR(__xludf.DUMMYFUNCTION("IFERROR(INDEX(IMPORTXML(""https://finance.yahoo.com/quote/""&amp;A488, ""//td[@data-test='EX_DIVIDEND_DATE-value']""),1),"""")"),"")</f>
        <v/>
      </c>
    </row>
    <row r="489" ht="15.75" customHeight="1">
      <c r="B489" s="3" t="str">
        <f>IFERROR(__xludf.DUMMYFUNCTION("IFERROR(GOOGLEFINANCE(A489,""yield"")*100,"""")"),"")</f>
        <v/>
      </c>
      <c r="C489" s="3" t="str">
        <f>IFERROR(__xludf.DUMMYFUNCTION("IFERROR(GOOGLEFINANCE(A489,""trail_dividend""),"""")"),"")</f>
        <v/>
      </c>
      <c r="D489" s="3" t="str">
        <f>IFERROR(__xludf.DUMMYFUNCTION("IFERROR(INDEX(IMPORTXML(""https://finance.yahoo.com/quote/""&amp;A489, ""//td[@data-test='EX_DIVIDEND_DATE-value']""),1),"""")"),"")</f>
        <v/>
      </c>
    </row>
    <row r="490" ht="15.75" customHeight="1">
      <c r="B490" s="3" t="str">
        <f>IFERROR(__xludf.DUMMYFUNCTION("IFERROR(GOOGLEFINANCE(A490,""yield"")*100,"""")"),"")</f>
        <v/>
      </c>
      <c r="C490" s="3" t="str">
        <f>IFERROR(__xludf.DUMMYFUNCTION("IFERROR(GOOGLEFINANCE(A490,""trail_dividend""),"""")"),"")</f>
        <v/>
      </c>
      <c r="D490" s="3" t="str">
        <f>IFERROR(__xludf.DUMMYFUNCTION("IFERROR(INDEX(IMPORTXML(""https://finance.yahoo.com/quote/""&amp;A490, ""//td[@data-test='EX_DIVIDEND_DATE-value']""),1),"""")"),"")</f>
        <v/>
      </c>
    </row>
    <row r="491" ht="15.75" customHeight="1">
      <c r="B491" s="3" t="str">
        <f>IFERROR(__xludf.DUMMYFUNCTION("IFERROR(GOOGLEFINANCE(A491,""yield"")*100,"""")"),"")</f>
        <v/>
      </c>
      <c r="C491" s="3" t="str">
        <f>IFERROR(__xludf.DUMMYFUNCTION("IFERROR(GOOGLEFINANCE(A491,""trail_dividend""),"""")"),"")</f>
        <v/>
      </c>
      <c r="D491" s="3" t="str">
        <f>IFERROR(__xludf.DUMMYFUNCTION("IFERROR(INDEX(IMPORTXML(""https://finance.yahoo.com/quote/""&amp;A491, ""//td[@data-test='EX_DIVIDEND_DATE-value']""),1),"""")"),"")</f>
        <v/>
      </c>
    </row>
    <row r="492" ht="15.75" customHeight="1">
      <c r="B492" s="3" t="str">
        <f>IFERROR(__xludf.DUMMYFUNCTION("IFERROR(GOOGLEFINANCE(A492,""yield"")*100,"""")"),"")</f>
        <v/>
      </c>
      <c r="C492" s="3" t="str">
        <f>IFERROR(__xludf.DUMMYFUNCTION("IFERROR(GOOGLEFINANCE(A492,""trail_dividend""),"""")"),"")</f>
        <v/>
      </c>
      <c r="D492" s="3" t="str">
        <f>IFERROR(__xludf.DUMMYFUNCTION("IFERROR(INDEX(IMPORTXML(""https://finance.yahoo.com/quote/""&amp;A492, ""//td[@data-test='EX_DIVIDEND_DATE-value']""),1),"""")"),"")</f>
        <v/>
      </c>
    </row>
    <row r="493" ht="15.75" customHeight="1">
      <c r="B493" s="3" t="str">
        <f>IFERROR(__xludf.DUMMYFUNCTION("IFERROR(GOOGLEFINANCE(A493,""yield"")*100,"""")"),"")</f>
        <v/>
      </c>
      <c r="C493" s="3" t="str">
        <f>IFERROR(__xludf.DUMMYFUNCTION("IFERROR(GOOGLEFINANCE(A493,""trail_dividend""),"""")"),"")</f>
        <v/>
      </c>
      <c r="D493" s="3" t="str">
        <f>IFERROR(__xludf.DUMMYFUNCTION("IFERROR(INDEX(IMPORTXML(""https://finance.yahoo.com/quote/""&amp;A493, ""//td[@data-test='EX_DIVIDEND_DATE-value']""),1),"""")"),"")</f>
        <v/>
      </c>
    </row>
    <row r="494" ht="15.75" customHeight="1">
      <c r="B494" s="3" t="str">
        <f>IFERROR(__xludf.DUMMYFUNCTION("IFERROR(GOOGLEFINANCE(A494,""yield"")*100,"""")"),"")</f>
        <v/>
      </c>
      <c r="C494" s="3" t="str">
        <f>IFERROR(__xludf.DUMMYFUNCTION("IFERROR(GOOGLEFINANCE(A494,""trail_dividend""),"""")"),"")</f>
        <v/>
      </c>
      <c r="D494" s="3" t="str">
        <f>IFERROR(__xludf.DUMMYFUNCTION("IFERROR(INDEX(IMPORTXML(""https://finance.yahoo.com/quote/""&amp;A494, ""//td[@data-test='EX_DIVIDEND_DATE-value']""),1),"""")"),"")</f>
        <v/>
      </c>
    </row>
    <row r="495" ht="15.75" customHeight="1">
      <c r="B495" s="3" t="str">
        <f>IFERROR(__xludf.DUMMYFUNCTION("IFERROR(GOOGLEFINANCE(A495,""yield"")*100,"""")"),"")</f>
        <v/>
      </c>
      <c r="C495" s="3" t="str">
        <f>IFERROR(__xludf.DUMMYFUNCTION("IFERROR(GOOGLEFINANCE(A495,""trail_dividend""),"""")"),"")</f>
        <v/>
      </c>
      <c r="D495" s="3" t="str">
        <f>IFERROR(__xludf.DUMMYFUNCTION("IFERROR(INDEX(IMPORTXML(""https://finance.yahoo.com/quote/""&amp;A495, ""//td[@data-test='EX_DIVIDEND_DATE-value']""),1),"""")"),"")</f>
        <v/>
      </c>
    </row>
    <row r="496" ht="15.75" customHeight="1">
      <c r="B496" s="3" t="str">
        <f>IFERROR(__xludf.DUMMYFUNCTION("IFERROR(GOOGLEFINANCE(A496,""yield"")*100,"""")"),"")</f>
        <v/>
      </c>
      <c r="C496" s="3" t="str">
        <f>IFERROR(__xludf.DUMMYFUNCTION("IFERROR(GOOGLEFINANCE(A496,""trail_dividend""),"""")"),"")</f>
        <v/>
      </c>
      <c r="D496" s="3" t="str">
        <f>IFERROR(__xludf.DUMMYFUNCTION("IFERROR(INDEX(IMPORTXML(""https://finance.yahoo.com/quote/""&amp;A496, ""//td[@data-test='EX_DIVIDEND_DATE-value']""),1),"""")"),"")</f>
        <v/>
      </c>
    </row>
    <row r="497" ht="15.75" customHeight="1">
      <c r="B497" s="3" t="str">
        <f>IFERROR(__xludf.DUMMYFUNCTION("IFERROR(GOOGLEFINANCE(A497,""yield"")*100,"""")"),"")</f>
        <v/>
      </c>
      <c r="C497" s="3" t="str">
        <f>IFERROR(__xludf.DUMMYFUNCTION("IFERROR(GOOGLEFINANCE(A497,""trail_dividend""),"""")"),"")</f>
        <v/>
      </c>
      <c r="D497" s="3" t="str">
        <f>IFERROR(__xludf.DUMMYFUNCTION("IFERROR(INDEX(IMPORTXML(""https://finance.yahoo.com/quote/""&amp;A497, ""//td[@data-test='EX_DIVIDEND_DATE-value']""),1),"""")"),"")</f>
        <v/>
      </c>
    </row>
    <row r="498" ht="15.75" customHeight="1">
      <c r="B498" s="3" t="str">
        <f>IFERROR(__xludf.DUMMYFUNCTION("IFERROR(GOOGLEFINANCE(A498,""yield"")*100,"""")"),"")</f>
        <v/>
      </c>
      <c r="C498" s="3" t="str">
        <f>IFERROR(__xludf.DUMMYFUNCTION("IFERROR(GOOGLEFINANCE(A498,""trail_dividend""),"""")"),"")</f>
        <v/>
      </c>
      <c r="D498" s="3" t="str">
        <f>IFERROR(__xludf.DUMMYFUNCTION("IFERROR(INDEX(IMPORTXML(""https://finance.yahoo.com/quote/""&amp;A498, ""//td[@data-test='EX_DIVIDEND_DATE-value']""),1),"""")"),"")</f>
        <v/>
      </c>
    </row>
    <row r="499" ht="15.75" customHeight="1">
      <c r="B499" s="3" t="str">
        <f>IFERROR(__xludf.DUMMYFUNCTION("IFERROR(GOOGLEFINANCE(A499,""yield"")*100,"""")"),"")</f>
        <v/>
      </c>
      <c r="C499" s="3" t="str">
        <f>IFERROR(__xludf.DUMMYFUNCTION("IFERROR(GOOGLEFINANCE(A499,""trail_dividend""),"""")"),"")</f>
        <v/>
      </c>
      <c r="D499" s="3" t="str">
        <f>IFERROR(__xludf.DUMMYFUNCTION("IFERROR(INDEX(IMPORTXML(""https://finance.yahoo.com/quote/""&amp;A499, ""//td[@data-test='EX_DIVIDEND_DATE-value']""),1),"""")"),"")</f>
        <v/>
      </c>
    </row>
    <row r="500" ht="15.75" customHeight="1">
      <c r="B500" s="3" t="str">
        <f>IFERROR(__xludf.DUMMYFUNCTION("IFERROR(GOOGLEFINANCE(A500,""yield"")*100,"""")"),"")</f>
        <v/>
      </c>
      <c r="C500" s="3" t="str">
        <f>IFERROR(__xludf.DUMMYFUNCTION("IFERROR(GOOGLEFINANCE(A500,""trail_dividend""),"""")"),"")</f>
        <v/>
      </c>
      <c r="D500" s="3" t="str">
        <f>IFERROR(__xludf.DUMMYFUNCTION("IFERROR(INDEX(IMPORTXML(""https://finance.yahoo.com/quote/""&amp;A500, ""//td[@data-test='EX_DIVIDEND_DATE-value']""),1),"""")"),"")</f>
        <v/>
      </c>
    </row>
    <row r="501" ht="15.75" customHeight="1">
      <c r="B501" s="3" t="str">
        <f>IFERROR(__xludf.DUMMYFUNCTION("IFERROR(GOOGLEFINANCE(A501,""yield"")*100,"""")"),"")</f>
        <v/>
      </c>
      <c r="C501" s="3" t="str">
        <f>IFERROR(__xludf.DUMMYFUNCTION("IFERROR(GOOGLEFINANCE(A501,""trail_dividend""),"""")"),"")</f>
        <v/>
      </c>
      <c r="D501" s="3" t="str">
        <f>IFERROR(__xludf.DUMMYFUNCTION("IFERROR(INDEX(IMPORTXML(""https://finance.yahoo.com/quote/""&amp;A501, ""//td[@data-test='EX_DIVIDEND_DATE-value']""),1),"""")"),"")</f>
        <v/>
      </c>
    </row>
    <row r="502" ht="15.75" customHeight="1">
      <c r="B502" s="3" t="str">
        <f>IFERROR(__xludf.DUMMYFUNCTION("IFERROR(GOOGLEFINANCE(A502,""yield"")*100,"""")"),"")</f>
        <v/>
      </c>
      <c r="C502" s="3" t="str">
        <f>IFERROR(__xludf.DUMMYFUNCTION("IFERROR(GOOGLEFINANCE(A502,""trail_dividend""),"""")"),"")</f>
        <v/>
      </c>
      <c r="D502" s="3" t="str">
        <f>IFERROR(__xludf.DUMMYFUNCTION("IFERROR(INDEX(IMPORTXML(""https://finance.yahoo.com/quote/""&amp;A502, ""//td[@data-test='EX_DIVIDEND_DATE-value']""),1),"""")"),"")</f>
        <v/>
      </c>
    </row>
    <row r="503" ht="15.75" customHeight="1">
      <c r="B503" s="3" t="str">
        <f>IFERROR(__xludf.DUMMYFUNCTION("IFERROR(GOOGLEFINANCE(A503,""yield"")*100,"""")"),"")</f>
        <v/>
      </c>
      <c r="C503" s="3" t="str">
        <f>IFERROR(__xludf.DUMMYFUNCTION("IFERROR(GOOGLEFINANCE(A503,""trail_dividend""),"""")"),"")</f>
        <v/>
      </c>
      <c r="D503" s="3" t="str">
        <f>IFERROR(__xludf.DUMMYFUNCTION("IFERROR(INDEX(IMPORTXML(""https://finance.yahoo.com/quote/""&amp;A503, ""//td[@data-test='EX_DIVIDEND_DATE-value']""),1),"""")"),"")</f>
        <v/>
      </c>
    </row>
    <row r="504" ht="15.75" customHeight="1">
      <c r="B504" s="3" t="str">
        <f>IFERROR(__xludf.DUMMYFUNCTION("IFERROR(GOOGLEFINANCE(A504,""yield"")*100,"""")"),"")</f>
        <v/>
      </c>
      <c r="C504" s="3" t="str">
        <f>IFERROR(__xludf.DUMMYFUNCTION("IFERROR(GOOGLEFINANCE(A504,""trail_dividend""),"""")"),"")</f>
        <v/>
      </c>
      <c r="D504" s="3" t="str">
        <f>IFERROR(__xludf.DUMMYFUNCTION("IFERROR(INDEX(IMPORTXML(""https://finance.yahoo.com/quote/""&amp;A504, ""//td[@data-test='EX_DIVIDEND_DATE-value']""),1),"""")"),"")</f>
        <v/>
      </c>
    </row>
    <row r="505" ht="15.75" customHeight="1">
      <c r="B505" s="3" t="str">
        <f>IFERROR(__xludf.DUMMYFUNCTION("IFERROR(GOOGLEFINANCE(A505,""yield"")*100,"""")"),"")</f>
        <v/>
      </c>
      <c r="C505" s="3" t="str">
        <f>IFERROR(__xludf.DUMMYFUNCTION("IFERROR(GOOGLEFINANCE(A505,""trail_dividend""),"""")"),"")</f>
        <v/>
      </c>
      <c r="D505" s="3" t="str">
        <f>IFERROR(__xludf.DUMMYFUNCTION("IFERROR(INDEX(IMPORTXML(""https://finance.yahoo.com/quote/""&amp;A505, ""//td[@data-test='EX_DIVIDEND_DATE-value']""),1),"""")"),"")</f>
        <v/>
      </c>
    </row>
    <row r="506" ht="15.75" customHeight="1">
      <c r="B506" s="3" t="str">
        <f>IFERROR(__xludf.DUMMYFUNCTION("IFERROR(GOOGLEFINANCE(A506,""yield"")*100,"""")"),"")</f>
        <v/>
      </c>
      <c r="C506" s="3" t="str">
        <f>IFERROR(__xludf.DUMMYFUNCTION("IFERROR(GOOGLEFINANCE(A506,""trail_dividend""),"""")"),"")</f>
        <v/>
      </c>
      <c r="D506" s="3" t="str">
        <f>IFERROR(__xludf.DUMMYFUNCTION("IFERROR(INDEX(IMPORTXML(""https://finance.yahoo.com/quote/""&amp;A506, ""//td[@data-test='EX_DIVIDEND_DATE-value']""),1),"""")"),"")</f>
        <v/>
      </c>
    </row>
    <row r="507" ht="15.75" customHeight="1">
      <c r="B507" s="3" t="str">
        <f>IFERROR(__xludf.DUMMYFUNCTION("IFERROR(GOOGLEFINANCE(A507,""yield"")*100,"""")"),"")</f>
        <v/>
      </c>
      <c r="C507" s="3" t="str">
        <f>IFERROR(__xludf.DUMMYFUNCTION("IFERROR(GOOGLEFINANCE(A507,""trail_dividend""),"""")"),"")</f>
        <v/>
      </c>
      <c r="D507" s="3" t="str">
        <f>IFERROR(__xludf.DUMMYFUNCTION("IFERROR(INDEX(IMPORTXML(""https://finance.yahoo.com/quote/""&amp;A507, ""//td[@data-test='EX_DIVIDEND_DATE-value']""),1),"""")"),"")</f>
        <v/>
      </c>
    </row>
    <row r="508" ht="15.75" customHeight="1">
      <c r="B508" s="3" t="str">
        <f>IFERROR(__xludf.DUMMYFUNCTION("IFERROR(GOOGLEFINANCE(A508,""yield"")*100,"""")"),"")</f>
        <v/>
      </c>
      <c r="C508" s="3" t="str">
        <f>IFERROR(__xludf.DUMMYFUNCTION("IFERROR(GOOGLEFINANCE(A508,""trail_dividend""),"""")"),"")</f>
        <v/>
      </c>
      <c r="D508" s="3" t="str">
        <f>IFERROR(__xludf.DUMMYFUNCTION("IFERROR(INDEX(IMPORTXML(""https://finance.yahoo.com/quote/""&amp;A508, ""//td[@data-test='EX_DIVIDEND_DATE-value']""),1),"""")"),"")</f>
        <v/>
      </c>
    </row>
    <row r="509" ht="15.75" customHeight="1">
      <c r="B509" s="3" t="str">
        <f>IFERROR(__xludf.DUMMYFUNCTION("IFERROR(GOOGLEFINANCE(A509,""yield"")*100,"""")"),"")</f>
        <v/>
      </c>
      <c r="C509" s="3" t="str">
        <f>IFERROR(__xludf.DUMMYFUNCTION("IFERROR(GOOGLEFINANCE(A509,""trail_dividend""),"""")"),"")</f>
        <v/>
      </c>
      <c r="D509" s="3" t="str">
        <f>IFERROR(__xludf.DUMMYFUNCTION("IFERROR(INDEX(IMPORTXML(""https://finance.yahoo.com/quote/""&amp;A509, ""//td[@data-test='EX_DIVIDEND_DATE-value']""),1),"""")"),"")</f>
        <v/>
      </c>
    </row>
    <row r="510" ht="15.75" customHeight="1">
      <c r="B510" s="3" t="str">
        <f>IFERROR(__xludf.DUMMYFUNCTION("IFERROR(GOOGLEFINANCE(A510,""yield"")*100,"""")"),"")</f>
        <v/>
      </c>
      <c r="C510" s="3" t="str">
        <f>IFERROR(__xludf.DUMMYFUNCTION("IFERROR(GOOGLEFINANCE(A510,""trail_dividend""),"""")"),"")</f>
        <v/>
      </c>
      <c r="D510" s="3" t="str">
        <f>IFERROR(__xludf.DUMMYFUNCTION("IFERROR(INDEX(IMPORTXML(""https://finance.yahoo.com/quote/""&amp;A510, ""//td[@data-test='EX_DIVIDEND_DATE-value']""),1),"""")"),"")</f>
        <v/>
      </c>
    </row>
    <row r="511" ht="15.75" customHeight="1">
      <c r="B511" s="3" t="str">
        <f>IFERROR(__xludf.DUMMYFUNCTION("IFERROR(GOOGLEFINANCE(A511,""yield"")*100,"""")"),"")</f>
        <v/>
      </c>
      <c r="C511" s="3" t="str">
        <f>IFERROR(__xludf.DUMMYFUNCTION("IFERROR(GOOGLEFINANCE(A511,""trail_dividend""),"""")"),"")</f>
        <v/>
      </c>
      <c r="D511" s="3" t="str">
        <f>IFERROR(__xludf.DUMMYFUNCTION("IFERROR(INDEX(IMPORTXML(""https://finance.yahoo.com/quote/""&amp;A511, ""//td[@data-test='EX_DIVIDEND_DATE-value']""),1),"""")"),"")</f>
        <v/>
      </c>
    </row>
    <row r="512" ht="15.75" customHeight="1">
      <c r="B512" s="3" t="str">
        <f>IFERROR(__xludf.DUMMYFUNCTION("IFERROR(GOOGLEFINANCE(A512,""yield"")*100,"""")"),"")</f>
        <v/>
      </c>
      <c r="C512" s="3" t="str">
        <f>IFERROR(__xludf.DUMMYFUNCTION("IFERROR(GOOGLEFINANCE(A512,""trail_dividend""),"""")"),"")</f>
        <v/>
      </c>
      <c r="D512" s="3" t="str">
        <f>IFERROR(__xludf.DUMMYFUNCTION("IFERROR(INDEX(IMPORTXML(""https://finance.yahoo.com/quote/""&amp;A512, ""//td[@data-test='EX_DIVIDEND_DATE-value']""),1),"""")"),"")</f>
        <v/>
      </c>
    </row>
    <row r="513" ht="15.75" customHeight="1">
      <c r="B513" s="3" t="str">
        <f>IFERROR(__xludf.DUMMYFUNCTION("IFERROR(GOOGLEFINANCE(A513,""yield"")*100,"""")"),"")</f>
        <v/>
      </c>
      <c r="C513" s="3" t="str">
        <f>IFERROR(__xludf.DUMMYFUNCTION("IFERROR(GOOGLEFINANCE(A513,""trail_dividend""),"""")"),"")</f>
        <v/>
      </c>
      <c r="D513" s="3" t="str">
        <f>IFERROR(__xludf.DUMMYFUNCTION("IFERROR(INDEX(IMPORTXML(""https://finance.yahoo.com/quote/""&amp;A513, ""//td[@data-test='EX_DIVIDEND_DATE-value']""),1),"""")"),"")</f>
        <v/>
      </c>
    </row>
    <row r="514" ht="15.75" customHeight="1">
      <c r="B514" s="3" t="str">
        <f>IFERROR(__xludf.DUMMYFUNCTION("IFERROR(GOOGLEFINANCE(A514,""yield"")*100,"""")"),"")</f>
        <v/>
      </c>
      <c r="C514" s="3" t="str">
        <f>IFERROR(__xludf.DUMMYFUNCTION("IFERROR(GOOGLEFINANCE(A514,""trail_dividend""),"""")"),"")</f>
        <v/>
      </c>
      <c r="D514" s="3" t="str">
        <f>IFERROR(__xludf.DUMMYFUNCTION("IFERROR(INDEX(IMPORTXML(""https://finance.yahoo.com/quote/""&amp;A514, ""//td[@data-test='EX_DIVIDEND_DATE-value']""),1),"""")"),"")</f>
        <v/>
      </c>
    </row>
    <row r="515" ht="15.75" customHeight="1">
      <c r="B515" s="3" t="str">
        <f>IFERROR(__xludf.DUMMYFUNCTION("IFERROR(GOOGLEFINANCE(A515,""yield"")*100,"""")"),"")</f>
        <v/>
      </c>
      <c r="C515" s="3" t="str">
        <f>IFERROR(__xludf.DUMMYFUNCTION("IFERROR(GOOGLEFINANCE(A515,""trail_dividend""),"""")"),"")</f>
        <v/>
      </c>
      <c r="D515" s="3" t="str">
        <f>IFERROR(__xludf.DUMMYFUNCTION("IFERROR(INDEX(IMPORTXML(""https://finance.yahoo.com/quote/""&amp;A515, ""//td[@data-test='EX_DIVIDEND_DATE-value']""),1),"""")"),"")</f>
        <v/>
      </c>
    </row>
    <row r="516" ht="15.75" customHeight="1">
      <c r="B516" s="3" t="str">
        <f>IFERROR(__xludf.DUMMYFUNCTION("IFERROR(GOOGLEFINANCE(A516,""yield"")*100,"""")"),"")</f>
        <v/>
      </c>
      <c r="C516" s="3" t="str">
        <f>IFERROR(__xludf.DUMMYFUNCTION("IFERROR(GOOGLEFINANCE(A516,""trail_dividend""),"""")"),"")</f>
        <v/>
      </c>
      <c r="D516" s="3" t="str">
        <f>IFERROR(__xludf.DUMMYFUNCTION("IFERROR(INDEX(IMPORTXML(""https://finance.yahoo.com/quote/""&amp;A516, ""//td[@data-test='EX_DIVIDEND_DATE-value']""),1),"""")"),"")</f>
        <v/>
      </c>
    </row>
    <row r="517" ht="15.75" customHeight="1">
      <c r="B517" s="3" t="str">
        <f>IFERROR(__xludf.DUMMYFUNCTION("IFERROR(GOOGLEFINANCE(A517,""yield"")*100,"""")"),"")</f>
        <v/>
      </c>
      <c r="C517" s="3" t="str">
        <f>IFERROR(__xludf.DUMMYFUNCTION("IFERROR(GOOGLEFINANCE(A517,""trail_dividend""),"""")"),"")</f>
        <v/>
      </c>
      <c r="D517" s="3" t="str">
        <f>IFERROR(__xludf.DUMMYFUNCTION("IFERROR(INDEX(IMPORTXML(""https://finance.yahoo.com/quote/""&amp;A517, ""//td[@data-test='EX_DIVIDEND_DATE-value']""),1),"""")"),"")</f>
        <v/>
      </c>
    </row>
    <row r="518" ht="15.75" customHeight="1">
      <c r="B518" s="3" t="str">
        <f>IFERROR(__xludf.DUMMYFUNCTION("IFERROR(GOOGLEFINANCE(A518,""yield"")*100,"""")"),"")</f>
        <v/>
      </c>
      <c r="C518" s="3" t="str">
        <f>IFERROR(__xludf.DUMMYFUNCTION("IFERROR(GOOGLEFINANCE(A518,""trail_dividend""),"""")"),"")</f>
        <v/>
      </c>
      <c r="D518" s="3" t="str">
        <f>IFERROR(__xludf.DUMMYFUNCTION("IFERROR(INDEX(IMPORTXML(""https://finance.yahoo.com/quote/""&amp;A518, ""//td[@data-test='EX_DIVIDEND_DATE-value']""),1),"""")"),"")</f>
        <v/>
      </c>
    </row>
    <row r="519" ht="15.75" customHeight="1">
      <c r="B519" s="3" t="str">
        <f>IFERROR(__xludf.DUMMYFUNCTION("IFERROR(GOOGLEFINANCE(A519,""yield"")*100,"""")"),"")</f>
        <v/>
      </c>
      <c r="C519" s="3" t="str">
        <f>IFERROR(__xludf.DUMMYFUNCTION("IFERROR(GOOGLEFINANCE(A519,""trail_dividend""),"""")"),"")</f>
        <v/>
      </c>
      <c r="D519" s="3" t="str">
        <f>IFERROR(__xludf.DUMMYFUNCTION("IFERROR(INDEX(IMPORTXML(""https://finance.yahoo.com/quote/""&amp;A519, ""//td[@data-test='EX_DIVIDEND_DATE-value']""),1),"""")"),"")</f>
        <v/>
      </c>
    </row>
    <row r="520" ht="15.75" customHeight="1">
      <c r="B520" s="3" t="str">
        <f>IFERROR(__xludf.DUMMYFUNCTION("IFERROR(GOOGLEFINANCE(A520,""yield"")*100,"""")"),"")</f>
        <v/>
      </c>
      <c r="C520" s="3" t="str">
        <f>IFERROR(__xludf.DUMMYFUNCTION("IFERROR(GOOGLEFINANCE(A520,""trail_dividend""),"""")"),"")</f>
        <v/>
      </c>
      <c r="D520" s="3" t="str">
        <f>IFERROR(__xludf.DUMMYFUNCTION("IFERROR(INDEX(IMPORTXML(""https://finance.yahoo.com/quote/""&amp;A520, ""//td[@data-test='EX_DIVIDEND_DATE-value']""),1),"""")"),"")</f>
        <v/>
      </c>
    </row>
    <row r="521" ht="15.75" customHeight="1">
      <c r="B521" s="3" t="str">
        <f>IFERROR(__xludf.DUMMYFUNCTION("IFERROR(GOOGLEFINANCE(A521,""yield"")*100,"""")"),"")</f>
        <v/>
      </c>
      <c r="C521" s="3" t="str">
        <f>IFERROR(__xludf.DUMMYFUNCTION("IFERROR(GOOGLEFINANCE(A521,""trail_dividend""),"""")"),"")</f>
        <v/>
      </c>
      <c r="D521" s="3" t="str">
        <f>IFERROR(__xludf.DUMMYFUNCTION("IFERROR(INDEX(IMPORTXML(""https://finance.yahoo.com/quote/""&amp;A521, ""//td[@data-test='EX_DIVIDEND_DATE-value']""),1),"""")"),"")</f>
        <v/>
      </c>
    </row>
    <row r="522" ht="15.75" customHeight="1">
      <c r="B522" s="3" t="str">
        <f>IFERROR(__xludf.DUMMYFUNCTION("IFERROR(GOOGLEFINANCE(A522,""yield"")*100,"""")"),"")</f>
        <v/>
      </c>
      <c r="C522" s="3" t="str">
        <f>IFERROR(__xludf.DUMMYFUNCTION("IFERROR(GOOGLEFINANCE(A522,""trail_dividend""),"""")"),"")</f>
        <v/>
      </c>
      <c r="D522" s="3" t="str">
        <f>IFERROR(__xludf.DUMMYFUNCTION("IFERROR(INDEX(IMPORTXML(""https://finance.yahoo.com/quote/""&amp;A522, ""//td[@data-test='EX_DIVIDEND_DATE-value']""),1),"""")"),"")</f>
        <v/>
      </c>
    </row>
    <row r="523" ht="15.75" customHeight="1">
      <c r="B523" s="3" t="str">
        <f>IFERROR(__xludf.DUMMYFUNCTION("IFERROR(GOOGLEFINANCE(A523,""yield"")*100,"""")"),"")</f>
        <v/>
      </c>
      <c r="C523" s="3" t="str">
        <f>IFERROR(__xludf.DUMMYFUNCTION("IFERROR(GOOGLEFINANCE(A523,""trail_dividend""),"""")"),"")</f>
        <v/>
      </c>
      <c r="D523" s="3" t="str">
        <f>IFERROR(__xludf.DUMMYFUNCTION("IFERROR(INDEX(IMPORTXML(""https://finance.yahoo.com/quote/""&amp;A523, ""//td[@data-test='EX_DIVIDEND_DATE-value']""),1),"""")"),"")</f>
        <v/>
      </c>
    </row>
    <row r="524" ht="15.75" customHeight="1">
      <c r="B524" s="3" t="str">
        <f>IFERROR(__xludf.DUMMYFUNCTION("IFERROR(GOOGLEFINANCE(A524,""yield"")*100,"""")"),"")</f>
        <v/>
      </c>
      <c r="C524" s="3" t="str">
        <f>IFERROR(__xludf.DUMMYFUNCTION("IFERROR(GOOGLEFINANCE(A524,""trail_dividend""),"""")"),"")</f>
        <v/>
      </c>
      <c r="D524" s="3" t="str">
        <f>IFERROR(__xludf.DUMMYFUNCTION("IFERROR(INDEX(IMPORTXML(""https://finance.yahoo.com/quote/""&amp;A524, ""//td[@data-test='EX_DIVIDEND_DATE-value']""),1),"""")"),"")</f>
        <v/>
      </c>
    </row>
    <row r="525" ht="15.75" customHeight="1">
      <c r="B525" s="3" t="str">
        <f>IFERROR(__xludf.DUMMYFUNCTION("IFERROR(GOOGLEFINANCE(A525,""yield"")*100,"""")"),"")</f>
        <v/>
      </c>
      <c r="C525" s="3" t="str">
        <f>IFERROR(__xludf.DUMMYFUNCTION("IFERROR(GOOGLEFINANCE(A525,""trail_dividend""),"""")"),"")</f>
        <v/>
      </c>
      <c r="D525" s="3" t="str">
        <f>IFERROR(__xludf.DUMMYFUNCTION("IFERROR(INDEX(IMPORTXML(""https://finance.yahoo.com/quote/""&amp;A525, ""//td[@data-test='EX_DIVIDEND_DATE-value']""),1),"""")"),"")</f>
        <v/>
      </c>
    </row>
    <row r="526" ht="15.75" customHeight="1">
      <c r="B526" s="3" t="str">
        <f>IFERROR(__xludf.DUMMYFUNCTION("IFERROR(GOOGLEFINANCE(A526,""yield"")*100,"""")"),"")</f>
        <v/>
      </c>
      <c r="C526" s="3" t="str">
        <f>IFERROR(__xludf.DUMMYFUNCTION("IFERROR(GOOGLEFINANCE(A526,""trail_dividend""),"""")"),"")</f>
        <v/>
      </c>
      <c r="D526" s="3" t="str">
        <f>IFERROR(__xludf.DUMMYFUNCTION("IFERROR(INDEX(IMPORTXML(""https://finance.yahoo.com/quote/""&amp;A526, ""//td[@data-test='EX_DIVIDEND_DATE-value']""),1),"""")"),"")</f>
        <v/>
      </c>
    </row>
    <row r="527" ht="15.75" customHeight="1">
      <c r="B527" s="3" t="str">
        <f>IFERROR(__xludf.DUMMYFUNCTION("IFERROR(GOOGLEFINANCE(A527,""yield"")*100,"""")"),"")</f>
        <v/>
      </c>
      <c r="C527" s="3" t="str">
        <f>IFERROR(__xludf.DUMMYFUNCTION("IFERROR(GOOGLEFINANCE(A527,""trail_dividend""),"""")"),"")</f>
        <v/>
      </c>
      <c r="D527" s="3" t="str">
        <f>IFERROR(__xludf.DUMMYFUNCTION("IFERROR(INDEX(IMPORTXML(""https://finance.yahoo.com/quote/""&amp;A527, ""//td[@data-test='EX_DIVIDEND_DATE-value']""),1),"""")"),"")</f>
        <v/>
      </c>
    </row>
    <row r="528" ht="15.75" customHeight="1">
      <c r="B528" s="3" t="str">
        <f>IFERROR(__xludf.DUMMYFUNCTION("IFERROR(GOOGLEFINANCE(A528,""yield"")*100,"""")"),"")</f>
        <v/>
      </c>
      <c r="C528" s="3" t="str">
        <f>IFERROR(__xludf.DUMMYFUNCTION("IFERROR(GOOGLEFINANCE(A528,""trail_dividend""),"""")"),"")</f>
        <v/>
      </c>
      <c r="D528" s="3" t="str">
        <f>IFERROR(__xludf.DUMMYFUNCTION("IFERROR(INDEX(IMPORTXML(""https://finance.yahoo.com/quote/""&amp;A528, ""//td[@data-test='EX_DIVIDEND_DATE-value']""),1),"""")"),"")</f>
        <v/>
      </c>
    </row>
    <row r="529" ht="15.75" customHeight="1">
      <c r="B529" s="3" t="str">
        <f>IFERROR(__xludf.DUMMYFUNCTION("IFERROR(GOOGLEFINANCE(A529,""yield"")*100,"""")"),"")</f>
        <v/>
      </c>
      <c r="C529" s="3" t="str">
        <f>IFERROR(__xludf.DUMMYFUNCTION("IFERROR(GOOGLEFINANCE(A529,""trail_dividend""),"""")"),"")</f>
        <v/>
      </c>
      <c r="D529" s="3" t="str">
        <f>IFERROR(__xludf.DUMMYFUNCTION("IFERROR(INDEX(IMPORTXML(""https://finance.yahoo.com/quote/""&amp;A529, ""//td[@data-test='EX_DIVIDEND_DATE-value']""),1),"""")"),"")</f>
        <v/>
      </c>
    </row>
    <row r="530" ht="15.75" customHeight="1">
      <c r="B530" s="3" t="str">
        <f>IFERROR(__xludf.DUMMYFUNCTION("IFERROR(GOOGLEFINANCE(A530,""yield"")*100,"""")"),"")</f>
        <v/>
      </c>
      <c r="C530" s="3" t="str">
        <f>IFERROR(__xludf.DUMMYFUNCTION("IFERROR(GOOGLEFINANCE(A530,""trail_dividend""),"""")"),"")</f>
        <v/>
      </c>
      <c r="D530" s="3" t="str">
        <f>IFERROR(__xludf.DUMMYFUNCTION("IFERROR(INDEX(IMPORTXML(""https://finance.yahoo.com/quote/""&amp;A530, ""//td[@data-test='EX_DIVIDEND_DATE-value']""),1),"""")"),"")</f>
        <v/>
      </c>
    </row>
    <row r="531" ht="15.75" customHeight="1">
      <c r="B531" s="3" t="str">
        <f>IFERROR(__xludf.DUMMYFUNCTION("IFERROR(GOOGLEFINANCE(A531,""yield"")*100,"""")"),"")</f>
        <v/>
      </c>
      <c r="C531" s="3" t="str">
        <f>IFERROR(__xludf.DUMMYFUNCTION("IFERROR(GOOGLEFINANCE(A531,""trail_dividend""),"""")"),"")</f>
        <v/>
      </c>
      <c r="D531" s="3" t="str">
        <f>IFERROR(__xludf.DUMMYFUNCTION("IFERROR(INDEX(IMPORTXML(""https://finance.yahoo.com/quote/""&amp;A531, ""//td[@data-test='EX_DIVIDEND_DATE-value']""),1),"""")"),"")</f>
        <v/>
      </c>
    </row>
    <row r="532" ht="15.75" customHeight="1">
      <c r="B532" s="3" t="str">
        <f>IFERROR(__xludf.DUMMYFUNCTION("IFERROR(GOOGLEFINANCE(A532,""yield"")*100,"""")"),"")</f>
        <v/>
      </c>
      <c r="C532" s="3" t="str">
        <f>IFERROR(__xludf.DUMMYFUNCTION("IFERROR(GOOGLEFINANCE(A532,""trail_dividend""),"""")"),"")</f>
        <v/>
      </c>
      <c r="D532" s="3" t="str">
        <f>IFERROR(__xludf.DUMMYFUNCTION("IFERROR(INDEX(IMPORTXML(""https://finance.yahoo.com/quote/""&amp;A532, ""//td[@data-test='EX_DIVIDEND_DATE-value']""),1),"""")"),"")</f>
        <v/>
      </c>
    </row>
    <row r="533" ht="15.75" customHeight="1">
      <c r="B533" s="3" t="str">
        <f>IFERROR(__xludf.DUMMYFUNCTION("IFERROR(GOOGLEFINANCE(A533,""yield"")*100,"""")"),"")</f>
        <v/>
      </c>
      <c r="C533" s="3" t="str">
        <f>IFERROR(__xludf.DUMMYFUNCTION("IFERROR(GOOGLEFINANCE(A533,""trail_dividend""),"""")"),"")</f>
        <v/>
      </c>
      <c r="D533" s="3" t="str">
        <f>IFERROR(__xludf.DUMMYFUNCTION("IFERROR(INDEX(IMPORTXML(""https://finance.yahoo.com/quote/""&amp;A533, ""//td[@data-test='EX_DIVIDEND_DATE-value']""),1),"""")"),"")</f>
        <v/>
      </c>
    </row>
    <row r="534" ht="15.75" customHeight="1">
      <c r="B534" s="3" t="str">
        <f>IFERROR(__xludf.DUMMYFUNCTION("IFERROR(GOOGLEFINANCE(A534,""yield"")*100,"""")"),"")</f>
        <v/>
      </c>
      <c r="C534" s="3" t="str">
        <f>IFERROR(__xludf.DUMMYFUNCTION("IFERROR(GOOGLEFINANCE(A534,""trail_dividend""),"""")"),"")</f>
        <v/>
      </c>
      <c r="D534" s="3" t="str">
        <f>IFERROR(__xludf.DUMMYFUNCTION("IFERROR(INDEX(IMPORTXML(""https://finance.yahoo.com/quote/""&amp;A534, ""//td[@data-test='EX_DIVIDEND_DATE-value']""),1),"""")"),"")</f>
        <v/>
      </c>
    </row>
    <row r="535" ht="15.75" customHeight="1">
      <c r="B535" s="3" t="str">
        <f>IFERROR(__xludf.DUMMYFUNCTION("IFERROR(GOOGLEFINANCE(A535,""yield"")*100,"""")"),"")</f>
        <v/>
      </c>
      <c r="C535" s="3" t="str">
        <f>IFERROR(__xludf.DUMMYFUNCTION("IFERROR(GOOGLEFINANCE(A535,""trail_dividend""),"""")"),"")</f>
        <v/>
      </c>
      <c r="D535" s="3" t="str">
        <f>IFERROR(__xludf.DUMMYFUNCTION("IFERROR(INDEX(IMPORTXML(""https://finance.yahoo.com/quote/""&amp;A535, ""//td[@data-test='EX_DIVIDEND_DATE-value']""),1),"""")"),"")</f>
        <v/>
      </c>
    </row>
    <row r="536" ht="15.75" customHeight="1">
      <c r="B536" s="3" t="str">
        <f>IFERROR(__xludf.DUMMYFUNCTION("IFERROR(GOOGLEFINANCE(A536,""yield"")*100,"""")"),"")</f>
        <v/>
      </c>
      <c r="C536" s="3" t="str">
        <f>IFERROR(__xludf.DUMMYFUNCTION("IFERROR(GOOGLEFINANCE(A536,""trail_dividend""),"""")"),"")</f>
        <v/>
      </c>
      <c r="D536" s="3" t="str">
        <f>IFERROR(__xludf.DUMMYFUNCTION("IFERROR(INDEX(IMPORTXML(""https://finance.yahoo.com/quote/""&amp;A536, ""//td[@data-test='EX_DIVIDEND_DATE-value']""),1),"""")"),"")</f>
        <v/>
      </c>
    </row>
    <row r="537" ht="15.75" customHeight="1">
      <c r="B537" s="3" t="str">
        <f>IFERROR(__xludf.DUMMYFUNCTION("IFERROR(GOOGLEFINANCE(A537,""yield"")*100,"""")"),"")</f>
        <v/>
      </c>
      <c r="C537" s="3" t="str">
        <f>IFERROR(__xludf.DUMMYFUNCTION("IFERROR(GOOGLEFINANCE(A537,""trail_dividend""),"""")"),"")</f>
        <v/>
      </c>
      <c r="D537" s="3" t="str">
        <f>IFERROR(__xludf.DUMMYFUNCTION("IFERROR(INDEX(IMPORTXML(""https://finance.yahoo.com/quote/""&amp;A537, ""//td[@data-test='EX_DIVIDEND_DATE-value']""),1),"""")"),"")</f>
        <v/>
      </c>
    </row>
    <row r="538" ht="15.75" customHeight="1">
      <c r="B538" s="3" t="str">
        <f>IFERROR(__xludf.DUMMYFUNCTION("IFERROR(GOOGLEFINANCE(A538,""yield"")*100,"""")"),"")</f>
        <v/>
      </c>
      <c r="C538" s="3" t="str">
        <f>IFERROR(__xludf.DUMMYFUNCTION("IFERROR(GOOGLEFINANCE(A538,""trail_dividend""),"""")"),"")</f>
        <v/>
      </c>
      <c r="D538" s="3" t="str">
        <f>IFERROR(__xludf.DUMMYFUNCTION("IFERROR(INDEX(IMPORTXML(""https://finance.yahoo.com/quote/""&amp;A538, ""//td[@data-test='EX_DIVIDEND_DATE-value']""),1),"""")"),"")</f>
        <v/>
      </c>
    </row>
    <row r="539" ht="15.75" customHeight="1">
      <c r="B539" s="3" t="str">
        <f>IFERROR(__xludf.DUMMYFUNCTION("IFERROR(GOOGLEFINANCE(A539,""yield"")*100,"""")"),"")</f>
        <v/>
      </c>
      <c r="C539" s="3" t="str">
        <f>IFERROR(__xludf.DUMMYFUNCTION("IFERROR(GOOGLEFINANCE(A539,""trail_dividend""),"""")"),"")</f>
        <v/>
      </c>
      <c r="D539" s="3" t="str">
        <f>IFERROR(__xludf.DUMMYFUNCTION("IFERROR(INDEX(IMPORTXML(""https://finance.yahoo.com/quote/""&amp;A539, ""//td[@data-test='EX_DIVIDEND_DATE-value']""),1),"""")"),"")</f>
        <v/>
      </c>
    </row>
    <row r="540" ht="15.75" customHeight="1">
      <c r="B540" s="3" t="str">
        <f>IFERROR(__xludf.DUMMYFUNCTION("IFERROR(GOOGLEFINANCE(A540,""yield"")*100,"""")"),"")</f>
        <v/>
      </c>
      <c r="C540" s="3" t="str">
        <f>IFERROR(__xludf.DUMMYFUNCTION("IFERROR(GOOGLEFINANCE(A540,""trail_dividend""),"""")"),"")</f>
        <v/>
      </c>
      <c r="D540" s="3" t="str">
        <f>IFERROR(__xludf.DUMMYFUNCTION("IFERROR(INDEX(IMPORTXML(""https://finance.yahoo.com/quote/""&amp;A540, ""//td[@data-test='EX_DIVIDEND_DATE-value']""),1),"""")"),"")</f>
        <v/>
      </c>
    </row>
    <row r="541" ht="15.75" customHeight="1">
      <c r="B541" s="3" t="str">
        <f>IFERROR(__xludf.DUMMYFUNCTION("IFERROR(GOOGLEFINANCE(A541,""yield"")*100,"""")"),"")</f>
        <v/>
      </c>
      <c r="C541" s="3" t="str">
        <f>IFERROR(__xludf.DUMMYFUNCTION("IFERROR(GOOGLEFINANCE(A541,""trail_dividend""),"""")"),"")</f>
        <v/>
      </c>
      <c r="D541" s="3" t="str">
        <f>IFERROR(__xludf.DUMMYFUNCTION("IFERROR(INDEX(IMPORTXML(""https://finance.yahoo.com/quote/""&amp;A541, ""//td[@data-test='EX_DIVIDEND_DATE-value']""),1),"""")"),"")</f>
        <v/>
      </c>
    </row>
    <row r="542" ht="15.75" customHeight="1">
      <c r="B542" s="3" t="str">
        <f>IFERROR(__xludf.DUMMYFUNCTION("IFERROR(GOOGLEFINANCE(A542,""yield"")*100,"""")"),"")</f>
        <v/>
      </c>
      <c r="C542" s="3" t="str">
        <f>IFERROR(__xludf.DUMMYFUNCTION("IFERROR(GOOGLEFINANCE(A542,""trail_dividend""),"""")"),"")</f>
        <v/>
      </c>
      <c r="D542" s="3" t="str">
        <f>IFERROR(__xludf.DUMMYFUNCTION("IFERROR(INDEX(IMPORTXML(""https://finance.yahoo.com/quote/""&amp;A542, ""//td[@data-test='EX_DIVIDEND_DATE-value']""),1),"""")"),"")</f>
        <v/>
      </c>
    </row>
    <row r="543" ht="15.75" customHeight="1">
      <c r="B543" s="3" t="str">
        <f>IFERROR(__xludf.DUMMYFUNCTION("IFERROR(GOOGLEFINANCE(A543,""yield"")*100,"""")"),"")</f>
        <v/>
      </c>
      <c r="C543" s="3" t="str">
        <f>IFERROR(__xludf.DUMMYFUNCTION("IFERROR(GOOGLEFINANCE(A543,""trail_dividend""),"""")"),"")</f>
        <v/>
      </c>
      <c r="D543" s="3" t="str">
        <f>IFERROR(__xludf.DUMMYFUNCTION("IFERROR(INDEX(IMPORTXML(""https://finance.yahoo.com/quote/""&amp;A543, ""//td[@data-test='EX_DIVIDEND_DATE-value']""),1),"""")"),"")</f>
        <v/>
      </c>
    </row>
    <row r="544" ht="15.75" customHeight="1">
      <c r="B544" s="3" t="str">
        <f>IFERROR(__xludf.DUMMYFUNCTION("IFERROR(GOOGLEFINANCE(A544,""yield"")*100,"""")"),"")</f>
        <v/>
      </c>
      <c r="C544" s="3" t="str">
        <f>IFERROR(__xludf.DUMMYFUNCTION("IFERROR(GOOGLEFINANCE(A544,""trail_dividend""),"""")"),"")</f>
        <v/>
      </c>
      <c r="D544" s="3" t="str">
        <f>IFERROR(__xludf.DUMMYFUNCTION("IFERROR(INDEX(IMPORTXML(""https://finance.yahoo.com/quote/""&amp;A544, ""//td[@data-test='EX_DIVIDEND_DATE-value']""),1),"""")"),"")</f>
        <v/>
      </c>
    </row>
    <row r="545" ht="15.75" customHeight="1">
      <c r="B545" s="3" t="str">
        <f>IFERROR(__xludf.DUMMYFUNCTION("IFERROR(GOOGLEFINANCE(A545,""yield"")*100,"""")"),"")</f>
        <v/>
      </c>
      <c r="C545" s="3" t="str">
        <f>IFERROR(__xludf.DUMMYFUNCTION("IFERROR(GOOGLEFINANCE(A545,""trail_dividend""),"""")"),"")</f>
        <v/>
      </c>
      <c r="D545" s="3" t="str">
        <f>IFERROR(__xludf.DUMMYFUNCTION("IFERROR(INDEX(IMPORTXML(""https://finance.yahoo.com/quote/""&amp;A545, ""//td[@data-test='EX_DIVIDEND_DATE-value']""),1),"""")"),"")</f>
        <v/>
      </c>
    </row>
    <row r="546" ht="15.75" customHeight="1">
      <c r="B546" s="3" t="str">
        <f>IFERROR(__xludf.DUMMYFUNCTION("IFERROR(GOOGLEFINANCE(A546,""yield"")*100,"""")"),"")</f>
        <v/>
      </c>
      <c r="C546" s="3" t="str">
        <f>IFERROR(__xludf.DUMMYFUNCTION("IFERROR(GOOGLEFINANCE(A546,""trail_dividend""),"""")"),"")</f>
        <v/>
      </c>
      <c r="D546" s="3" t="str">
        <f>IFERROR(__xludf.DUMMYFUNCTION("IFERROR(INDEX(IMPORTXML(""https://finance.yahoo.com/quote/""&amp;A546, ""//td[@data-test='EX_DIVIDEND_DATE-value']""),1),"""")"),"")</f>
        <v/>
      </c>
    </row>
    <row r="547" ht="15.75" customHeight="1">
      <c r="B547" s="3" t="str">
        <f>IFERROR(__xludf.DUMMYFUNCTION("IFERROR(GOOGLEFINANCE(A547,""yield"")*100,"""")"),"")</f>
        <v/>
      </c>
      <c r="C547" s="3" t="str">
        <f>IFERROR(__xludf.DUMMYFUNCTION("IFERROR(GOOGLEFINANCE(A547,""trail_dividend""),"""")"),"")</f>
        <v/>
      </c>
      <c r="D547" s="3" t="str">
        <f>IFERROR(__xludf.DUMMYFUNCTION("IFERROR(INDEX(IMPORTXML(""https://finance.yahoo.com/quote/""&amp;A547, ""//td[@data-test='EX_DIVIDEND_DATE-value']""),1),"""")"),"")</f>
        <v/>
      </c>
    </row>
    <row r="548" ht="15.75" customHeight="1">
      <c r="B548" s="3" t="str">
        <f>IFERROR(__xludf.DUMMYFUNCTION("IFERROR(GOOGLEFINANCE(A548,""yield"")*100,"""")"),"")</f>
        <v/>
      </c>
      <c r="C548" s="3" t="str">
        <f>IFERROR(__xludf.DUMMYFUNCTION("IFERROR(GOOGLEFINANCE(A548,""trail_dividend""),"""")"),"")</f>
        <v/>
      </c>
      <c r="D548" s="3" t="str">
        <f>IFERROR(__xludf.DUMMYFUNCTION("IFERROR(INDEX(IMPORTXML(""https://finance.yahoo.com/quote/""&amp;A548, ""//td[@data-test='EX_DIVIDEND_DATE-value']""),1),"""")"),"")</f>
        <v/>
      </c>
    </row>
    <row r="549" ht="15.75" customHeight="1">
      <c r="B549" s="3" t="str">
        <f>IFERROR(__xludf.DUMMYFUNCTION("IFERROR(GOOGLEFINANCE(A549,""yield"")*100,"""")"),"")</f>
        <v/>
      </c>
      <c r="C549" s="3" t="str">
        <f>IFERROR(__xludf.DUMMYFUNCTION("IFERROR(GOOGLEFINANCE(A549,""trail_dividend""),"""")"),"")</f>
        <v/>
      </c>
      <c r="D549" s="3" t="str">
        <f>IFERROR(__xludf.DUMMYFUNCTION("IFERROR(INDEX(IMPORTXML(""https://finance.yahoo.com/quote/""&amp;A549, ""//td[@data-test='EX_DIVIDEND_DATE-value']""),1),"""")"),"")</f>
        <v/>
      </c>
    </row>
    <row r="550" ht="15.75" customHeight="1">
      <c r="B550" s="3" t="str">
        <f>IFERROR(__xludf.DUMMYFUNCTION("IFERROR(GOOGLEFINANCE(A550,""yield"")*100,"""")"),"")</f>
        <v/>
      </c>
      <c r="C550" s="3" t="str">
        <f>IFERROR(__xludf.DUMMYFUNCTION("IFERROR(GOOGLEFINANCE(A550,""trail_dividend""),"""")"),"")</f>
        <v/>
      </c>
      <c r="D550" s="3" t="str">
        <f>IFERROR(__xludf.DUMMYFUNCTION("IFERROR(INDEX(IMPORTXML(""https://finance.yahoo.com/quote/""&amp;A550, ""//td[@data-test='EX_DIVIDEND_DATE-value']""),1),"""")"),"")</f>
        <v/>
      </c>
    </row>
    <row r="551" ht="15.75" customHeight="1">
      <c r="B551" s="3" t="str">
        <f>IFERROR(__xludf.DUMMYFUNCTION("IFERROR(GOOGLEFINANCE(A551,""yield"")*100,"""")"),"")</f>
        <v/>
      </c>
      <c r="C551" s="3" t="str">
        <f>IFERROR(__xludf.DUMMYFUNCTION("IFERROR(GOOGLEFINANCE(A551,""trail_dividend""),"""")"),"")</f>
        <v/>
      </c>
      <c r="D551" s="3" t="str">
        <f>IFERROR(__xludf.DUMMYFUNCTION("IFERROR(INDEX(IMPORTXML(""https://finance.yahoo.com/quote/""&amp;A551, ""//td[@data-test='EX_DIVIDEND_DATE-value']""),1),"""")"),"")</f>
        <v/>
      </c>
    </row>
    <row r="552" ht="15.75" customHeight="1">
      <c r="B552" s="3" t="str">
        <f>IFERROR(__xludf.DUMMYFUNCTION("IFERROR(GOOGLEFINANCE(A552,""yield"")*100,"""")"),"")</f>
        <v/>
      </c>
      <c r="C552" s="3" t="str">
        <f>IFERROR(__xludf.DUMMYFUNCTION("IFERROR(GOOGLEFINANCE(A552,""trail_dividend""),"""")"),"")</f>
        <v/>
      </c>
      <c r="D552" s="3" t="str">
        <f>IFERROR(__xludf.DUMMYFUNCTION("IFERROR(INDEX(IMPORTXML(""https://finance.yahoo.com/quote/""&amp;A552, ""//td[@data-test='EX_DIVIDEND_DATE-value']""),1),"""")"),"")</f>
        <v/>
      </c>
    </row>
    <row r="553" ht="15.75" customHeight="1">
      <c r="B553" s="3" t="str">
        <f>IFERROR(__xludf.DUMMYFUNCTION("IFERROR(GOOGLEFINANCE(A553,""yield"")*100,"""")"),"")</f>
        <v/>
      </c>
      <c r="C553" s="3" t="str">
        <f>IFERROR(__xludf.DUMMYFUNCTION("IFERROR(GOOGLEFINANCE(A553,""trail_dividend""),"""")"),"")</f>
        <v/>
      </c>
      <c r="D553" s="3" t="str">
        <f>IFERROR(__xludf.DUMMYFUNCTION("IFERROR(INDEX(IMPORTXML(""https://finance.yahoo.com/quote/""&amp;A553, ""//td[@data-test='EX_DIVIDEND_DATE-value']""),1),"""")"),"")</f>
        <v/>
      </c>
    </row>
    <row r="554" ht="15.75" customHeight="1">
      <c r="B554" s="3" t="str">
        <f>IFERROR(__xludf.DUMMYFUNCTION("IFERROR(GOOGLEFINANCE(A554,""yield"")*100,"""")"),"")</f>
        <v/>
      </c>
      <c r="C554" s="3" t="str">
        <f>IFERROR(__xludf.DUMMYFUNCTION("IFERROR(GOOGLEFINANCE(A554,""trail_dividend""),"""")"),"")</f>
        <v/>
      </c>
      <c r="D554" s="3" t="str">
        <f>IFERROR(__xludf.DUMMYFUNCTION("IFERROR(INDEX(IMPORTXML(""https://finance.yahoo.com/quote/""&amp;A554, ""//td[@data-test='EX_DIVIDEND_DATE-value']""),1),"""")"),"")</f>
        <v/>
      </c>
    </row>
    <row r="555" ht="15.75" customHeight="1">
      <c r="B555" s="3" t="str">
        <f>IFERROR(__xludf.DUMMYFUNCTION("IFERROR(GOOGLEFINANCE(A555,""yield"")*100,"""")"),"")</f>
        <v/>
      </c>
      <c r="C555" s="3" t="str">
        <f>IFERROR(__xludf.DUMMYFUNCTION("IFERROR(GOOGLEFINANCE(A555,""trail_dividend""),"""")"),"")</f>
        <v/>
      </c>
      <c r="D555" s="3" t="str">
        <f>IFERROR(__xludf.DUMMYFUNCTION("IFERROR(INDEX(IMPORTXML(""https://finance.yahoo.com/quote/""&amp;A555, ""//td[@data-test='EX_DIVIDEND_DATE-value']""),1),"""")"),"")</f>
        <v/>
      </c>
    </row>
    <row r="556" ht="15.75" customHeight="1">
      <c r="B556" s="3" t="str">
        <f>IFERROR(__xludf.DUMMYFUNCTION("IFERROR(GOOGLEFINANCE(A556,""yield"")*100,"""")"),"")</f>
        <v/>
      </c>
      <c r="C556" s="3" t="str">
        <f>IFERROR(__xludf.DUMMYFUNCTION("IFERROR(GOOGLEFINANCE(A556,""trail_dividend""),"""")"),"")</f>
        <v/>
      </c>
      <c r="D556" s="3" t="str">
        <f>IFERROR(__xludf.DUMMYFUNCTION("IFERROR(INDEX(IMPORTXML(""https://finance.yahoo.com/quote/""&amp;A556, ""//td[@data-test='EX_DIVIDEND_DATE-value']""),1),"""")"),"")</f>
        <v/>
      </c>
    </row>
    <row r="557" ht="15.75" customHeight="1">
      <c r="B557" s="3" t="str">
        <f>IFERROR(__xludf.DUMMYFUNCTION("IFERROR(GOOGLEFINANCE(A557,""yield"")*100,"""")"),"")</f>
        <v/>
      </c>
      <c r="C557" s="3" t="str">
        <f>IFERROR(__xludf.DUMMYFUNCTION("IFERROR(GOOGLEFINANCE(A557,""trail_dividend""),"""")"),"")</f>
        <v/>
      </c>
      <c r="D557" s="3" t="str">
        <f>IFERROR(__xludf.DUMMYFUNCTION("IFERROR(INDEX(IMPORTXML(""https://finance.yahoo.com/quote/""&amp;A557, ""//td[@data-test='EX_DIVIDEND_DATE-value']""),1),"""")"),"")</f>
        <v/>
      </c>
    </row>
    <row r="558" ht="15.75" customHeight="1">
      <c r="B558" s="3" t="str">
        <f>IFERROR(__xludf.DUMMYFUNCTION("IFERROR(GOOGLEFINANCE(A558,""yield"")*100,"""")"),"")</f>
        <v/>
      </c>
      <c r="C558" s="3" t="str">
        <f>IFERROR(__xludf.DUMMYFUNCTION("IFERROR(GOOGLEFINANCE(A558,""trail_dividend""),"""")"),"")</f>
        <v/>
      </c>
      <c r="D558" s="3" t="str">
        <f>IFERROR(__xludf.DUMMYFUNCTION("IFERROR(INDEX(IMPORTXML(""https://finance.yahoo.com/quote/""&amp;A558, ""//td[@data-test='EX_DIVIDEND_DATE-value']""),1),"""")"),"")</f>
        <v/>
      </c>
    </row>
    <row r="559" ht="15.75" customHeight="1">
      <c r="B559" s="3" t="str">
        <f>IFERROR(__xludf.DUMMYFUNCTION("IFERROR(GOOGLEFINANCE(A559,""yield"")*100,"""")"),"")</f>
        <v/>
      </c>
      <c r="C559" s="3" t="str">
        <f>IFERROR(__xludf.DUMMYFUNCTION("IFERROR(GOOGLEFINANCE(A559,""trail_dividend""),"""")"),"")</f>
        <v/>
      </c>
      <c r="D559" s="3" t="str">
        <f>IFERROR(__xludf.DUMMYFUNCTION("IFERROR(INDEX(IMPORTXML(""https://finance.yahoo.com/quote/""&amp;A559, ""//td[@data-test='EX_DIVIDEND_DATE-value']""),1),"""")"),"")</f>
        <v/>
      </c>
    </row>
    <row r="560" ht="15.75" customHeight="1">
      <c r="B560" s="3" t="str">
        <f>IFERROR(__xludf.DUMMYFUNCTION("IFERROR(GOOGLEFINANCE(A560,""yield"")*100,"""")"),"")</f>
        <v/>
      </c>
      <c r="C560" s="3" t="str">
        <f>IFERROR(__xludf.DUMMYFUNCTION("IFERROR(GOOGLEFINANCE(A560,""trail_dividend""),"""")"),"")</f>
        <v/>
      </c>
      <c r="D560" s="3" t="str">
        <f>IFERROR(__xludf.DUMMYFUNCTION("IFERROR(INDEX(IMPORTXML(""https://finance.yahoo.com/quote/""&amp;A560, ""//td[@data-test='EX_DIVIDEND_DATE-value']""),1),"""")"),"")</f>
        <v/>
      </c>
    </row>
    <row r="561" ht="15.75" customHeight="1">
      <c r="B561" s="3" t="str">
        <f>IFERROR(__xludf.DUMMYFUNCTION("IFERROR(GOOGLEFINANCE(A561,""yield"")*100,"""")"),"")</f>
        <v/>
      </c>
      <c r="C561" s="3" t="str">
        <f>IFERROR(__xludf.DUMMYFUNCTION("IFERROR(GOOGLEFINANCE(A561,""trail_dividend""),"""")"),"")</f>
        <v/>
      </c>
      <c r="D561" s="3" t="str">
        <f>IFERROR(__xludf.DUMMYFUNCTION("IFERROR(INDEX(IMPORTXML(""https://finance.yahoo.com/quote/""&amp;A561, ""//td[@data-test='EX_DIVIDEND_DATE-value']""),1),"""")"),"")</f>
        <v/>
      </c>
    </row>
    <row r="562" ht="15.75" customHeight="1">
      <c r="B562" s="3" t="str">
        <f>IFERROR(__xludf.DUMMYFUNCTION("IFERROR(GOOGLEFINANCE(A562,""yield"")*100,"""")"),"")</f>
        <v/>
      </c>
      <c r="C562" s="3" t="str">
        <f>IFERROR(__xludf.DUMMYFUNCTION("IFERROR(GOOGLEFINANCE(A562,""trail_dividend""),"""")"),"")</f>
        <v/>
      </c>
      <c r="D562" s="3" t="str">
        <f>IFERROR(__xludf.DUMMYFUNCTION("IFERROR(INDEX(IMPORTXML(""https://finance.yahoo.com/quote/""&amp;A562, ""//td[@data-test='EX_DIVIDEND_DATE-value']""),1),"""")"),"")</f>
        <v/>
      </c>
    </row>
    <row r="563" ht="15.75" customHeight="1">
      <c r="B563" s="3" t="str">
        <f>IFERROR(__xludf.DUMMYFUNCTION("IFERROR(GOOGLEFINANCE(A563,""yield"")*100,"""")"),"")</f>
        <v/>
      </c>
      <c r="C563" s="3" t="str">
        <f>IFERROR(__xludf.DUMMYFUNCTION("IFERROR(GOOGLEFINANCE(A563,""trail_dividend""),"""")"),"")</f>
        <v/>
      </c>
      <c r="D563" s="3" t="str">
        <f>IFERROR(__xludf.DUMMYFUNCTION("IFERROR(INDEX(IMPORTXML(""https://finance.yahoo.com/quote/""&amp;A563, ""//td[@data-test='EX_DIVIDEND_DATE-value']""),1),"""")"),"")</f>
        <v/>
      </c>
    </row>
    <row r="564" ht="15.75" customHeight="1">
      <c r="B564" s="3" t="str">
        <f>IFERROR(__xludf.DUMMYFUNCTION("IFERROR(GOOGLEFINANCE(A564,""yield"")*100,"""")"),"")</f>
        <v/>
      </c>
      <c r="C564" s="3" t="str">
        <f>IFERROR(__xludf.DUMMYFUNCTION("IFERROR(GOOGLEFINANCE(A564,""trail_dividend""),"""")"),"")</f>
        <v/>
      </c>
      <c r="D564" s="3" t="str">
        <f>IFERROR(__xludf.DUMMYFUNCTION("IFERROR(INDEX(IMPORTXML(""https://finance.yahoo.com/quote/""&amp;A564, ""//td[@data-test='EX_DIVIDEND_DATE-value']""),1),"""")"),"")</f>
        <v/>
      </c>
    </row>
    <row r="565" ht="15.75" customHeight="1">
      <c r="B565" s="3" t="str">
        <f>IFERROR(__xludf.DUMMYFUNCTION("IFERROR(GOOGLEFINANCE(A565,""yield"")*100,"""")"),"")</f>
        <v/>
      </c>
      <c r="C565" s="3" t="str">
        <f>IFERROR(__xludf.DUMMYFUNCTION("IFERROR(GOOGLEFINANCE(A565,""trail_dividend""),"""")"),"")</f>
        <v/>
      </c>
      <c r="D565" s="3" t="str">
        <f>IFERROR(__xludf.DUMMYFUNCTION("IFERROR(INDEX(IMPORTXML(""https://finance.yahoo.com/quote/""&amp;A565, ""//td[@data-test='EX_DIVIDEND_DATE-value']""),1),"""")"),"")</f>
        <v/>
      </c>
    </row>
    <row r="566" ht="15.75" customHeight="1">
      <c r="B566" s="3" t="str">
        <f>IFERROR(__xludf.DUMMYFUNCTION("IFERROR(GOOGLEFINANCE(A566,""yield"")*100,"""")"),"")</f>
        <v/>
      </c>
      <c r="C566" s="3" t="str">
        <f>IFERROR(__xludf.DUMMYFUNCTION("IFERROR(GOOGLEFINANCE(A566,""trail_dividend""),"""")"),"")</f>
        <v/>
      </c>
      <c r="D566" s="3" t="str">
        <f>IFERROR(__xludf.DUMMYFUNCTION("IFERROR(INDEX(IMPORTXML(""https://finance.yahoo.com/quote/""&amp;A566, ""//td[@data-test='EX_DIVIDEND_DATE-value']""),1),"""")"),"")</f>
        <v/>
      </c>
    </row>
    <row r="567" ht="15.75" customHeight="1">
      <c r="B567" s="3" t="str">
        <f>IFERROR(__xludf.DUMMYFUNCTION("IFERROR(GOOGLEFINANCE(A567,""yield"")*100,"""")"),"")</f>
        <v/>
      </c>
      <c r="C567" s="3" t="str">
        <f>IFERROR(__xludf.DUMMYFUNCTION("IFERROR(GOOGLEFINANCE(A567,""trail_dividend""),"""")"),"")</f>
        <v/>
      </c>
      <c r="D567" s="3" t="str">
        <f>IFERROR(__xludf.DUMMYFUNCTION("IFERROR(INDEX(IMPORTXML(""https://finance.yahoo.com/quote/""&amp;A567, ""//td[@data-test='EX_DIVIDEND_DATE-value']""),1),"""")"),"")</f>
        <v/>
      </c>
    </row>
    <row r="568" ht="15.75" customHeight="1">
      <c r="B568" s="3" t="str">
        <f>IFERROR(__xludf.DUMMYFUNCTION("IFERROR(GOOGLEFINANCE(A568,""yield"")*100,"""")"),"")</f>
        <v/>
      </c>
      <c r="C568" s="3" t="str">
        <f>IFERROR(__xludf.DUMMYFUNCTION("IFERROR(GOOGLEFINANCE(A568,""trail_dividend""),"""")"),"")</f>
        <v/>
      </c>
      <c r="D568" s="3" t="str">
        <f>IFERROR(__xludf.DUMMYFUNCTION("IFERROR(INDEX(IMPORTXML(""https://finance.yahoo.com/quote/""&amp;A568, ""//td[@data-test='EX_DIVIDEND_DATE-value']""),1),"""")"),"")</f>
        <v/>
      </c>
    </row>
    <row r="569" ht="15.75" customHeight="1">
      <c r="B569" s="3" t="str">
        <f>IFERROR(__xludf.DUMMYFUNCTION("IFERROR(GOOGLEFINANCE(A569,""yield"")*100,"""")"),"")</f>
        <v/>
      </c>
      <c r="C569" s="3" t="str">
        <f>IFERROR(__xludf.DUMMYFUNCTION("IFERROR(GOOGLEFINANCE(A569,""trail_dividend""),"""")"),"")</f>
        <v/>
      </c>
      <c r="D569" s="3" t="str">
        <f>IFERROR(__xludf.DUMMYFUNCTION("IFERROR(INDEX(IMPORTXML(""https://finance.yahoo.com/quote/""&amp;A569, ""//td[@data-test='EX_DIVIDEND_DATE-value']""),1),"""")"),"")</f>
        <v/>
      </c>
    </row>
    <row r="570" ht="15.75" customHeight="1">
      <c r="B570" s="3" t="str">
        <f>IFERROR(__xludf.DUMMYFUNCTION("IFERROR(GOOGLEFINANCE(A570,""yield"")*100,"""")"),"")</f>
        <v/>
      </c>
      <c r="C570" s="3" t="str">
        <f>IFERROR(__xludf.DUMMYFUNCTION("IFERROR(GOOGLEFINANCE(A570,""trail_dividend""),"""")"),"")</f>
        <v/>
      </c>
      <c r="D570" s="3" t="str">
        <f>IFERROR(__xludf.DUMMYFUNCTION("IFERROR(INDEX(IMPORTXML(""https://finance.yahoo.com/quote/""&amp;A570, ""//td[@data-test='EX_DIVIDEND_DATE-value']""),1),"""")"),"")</f>
        <v/>
      </c>
    </row>
    <row r="571" ht="15.75" customHeight="1">
      <c r="B571" s="3" t="str">
        <f>IFERROR(__xludf.DUMMYFUNCTION("IFERROR(GOOGLEFINANCE(A571,""yield"")*100,"""")"),"")</f>
        <v/>
      </c>
      <c r="C571" s="3" t="str">
        <f>IFERROR(__xludf.DUMMYFUNCTION("IFERROR(GOOGLEFINANCE(A571,""trail_dividend""),"""")"),"")</f>
        <v/>
      </c>
      <c r="D571" s="3" t="str">
        <f>IFERROR(__xludf.DUMMYFUNCTION("IFERROR(INDEX(IMPORTXML(""https://finance.yahoo.com/quote/""&amp;A571, ""//td[@data-test='EX_DIVIDEND_DATE-value']""),1),"""")"),"")</f>
        <v/>
      </c>
    </row>
    <row r="572" ht="15.75" customHeight="1">
      <c r="B572" s="3" t="str">
        <f>IFERROR(__xludf.DUMMYFUNCTION("IFERROR(GOOGLEFINANCE(A572,""yield"")*100,"""")"),"")</f>
        <v/>
      </c>
      <c r="C572" s="3" t="str">
        <f>IFERROR(__xludf.DUMMYFUNCTION("IFERROR(GOOGLEFINANCE(A572,""trail_dividend""),"""")"),"")</f>
        <v/>
      </c>
      <c r="D572" s="3" t="str">
        <f>IFERROR(__xludf.DUMMYFUNCTION("IFERROR(INDEX(IMPORTXML(""https://finance.yahoo.com/quote/""&amp;A572, ""//td[@data-test='EX_DIVIDEND_DATE-value']""),1),"""")"),"")</f>
        <v/>
      </c>
    </row>
    <row r="573" ht="15.75" customHeight="1">
      <c r="B573" s="3" t="str">
        <f>IFERROR(__xludf.DUMMYFUNCTION("IFERROR(GOOGLEFINANCE(A573,""yield"")*100,"""")"),"")</f>
        <v/>
      </c>
      <c r="C573" s="3" t="str">
        <f>IFERROR(__xludf.DUMMYFUNCTION("IFERROR(GOOGLEFINANCE(A573,""trail_dividend""),"""")"),"")</f>
        <v/>
      </c>
      <c r="D573" s="3" t="str">
        <f>IFERROR(__xludf.DUMMYFUNCTION("IFERROR(INDEX(IMPORTXML(""https://finance.yahoo.com/quote/""&amp;A573, ""//td[@data-test='EX_DIVIDEND_DATE-value']""),1),"""")"),"")</f>
        <v/>
      </c>
    </row>
    <row r="574" ht="15.75" customHeight="1">
      <c r="B574" s="3" t="str">
        <f>IFERROR(__xludf.DUMMYFUNCTION("IFERROR(GOOGLEFINANCE(A574,""yield"")*100,"""")"),"")</f>
        <v/>
      </c>
      <c r="C574" s="3" t="str">
        <f>IFERROR(__xludf.DUMMYFUNCTION("IFERROR(GOOGLEFINANCE(A574,""trail_dividend""),"""")"),"")</f>
        <v/>
      </c>
      <c r="D574" s="3" t="str">
        <f>IFERROR(__xludf.DUMMYFUNCTION("IFERROR(INDEX(IMPORTXML(""https://finance.yahoo.com/quote/""&amp;A574, ""//td[@data-test='EX_DIVIDEND_DATE-value']""),1),"""")"),"")</f>
        <v/>
      </c>
    </row>
    <row r="575" ht="15.75" customHeight="1">
      <c r="B575" s="3" t="str">
        <f>IFERROR(__xludf.DUMMYFUNCTION("IFERROR(GOOGLEFINANCE(A575,""yield"")*100,"""")"),"")</f>
        <v/>
      </c>
      <c r="C575" s="3" t="str">
        <f>IFERROR(__xludf.DUMMYFUNCTION("IFERROR(GOOGLEFINANCE(A575,""trail_dividend""),"""")"),"")</f>
        <v/>
      </c>
      <c r="D575" s="3" t="str">
        <f>IFERROR(__xludf.DUMMYFUNCTION("IFERROR(INDEX(IMPORTXML(""https://finance.yahoo.com/quote/""&amp;A575, ""//td[@data-test='EX_DIVIDEND_DATE-value']""),1),"""")"),"")</f>
        <v/>
      </c>
    </row>
    <row r="576" ht="15.75" customHeight="1">
      <c r="B576" s="3" t="str">
        <f>IFERROR(__xludf.DUMMYFUNCTION("IFERROR(GOOGLEFINANCE(A576,""yield"")*100,"""")"),"")</f>
        <v/>
      </c>
      <c r="C576" s="3" t="str">
        <f>IFERROR(__xludf.DUMMYFUNCTION("IFERROR(GOOGLEFINANCE(A576,""trail_dividend""),"""")"),"")</f>
        <v/>
      </c>
      <c r="D576" s="3" t="str">
        <f>IFERROR(__xludf.DUMMYFUNCTION("IFERROR(INDEX(IMPORTXML(""https://finance.yahoo.com/quote/""&amp;A576, ""//td[@data-test='EX_DIVIDEND_DATE-value']""),1),"""")"),"")</f>
        <v/>
      </c>
    </row>
    <row r="577" ht="15.75" customHeight="1">
      <c r="B577" s="3" t="str">
        <f>IFERROR(__xludf.DUMMYFUNCTION("IFERROR(GOOGLEFINANCE(A577,""yield"")*100,"""")"),"")</f>
        <v/>
      </c>
      <c r="C577" s="3" t="str">
        <f>IFERROR(__xludf.DUMMYFUNCTION("IFERROR(GOOGLEFINANCE(A577,""trail_dividend""),"""")"),"")</f>
        <v/>
      </c>
      <c r="D577" s="3" t="str">
        <f>IFERROR(__xludf.DUMMYFUNCTION("IFERROR(INDEX(IMPORTXML(""https://finance.yahoo.com/quote/""&amp;A577, ""//td[@data-test='EX_DIVIDEND_DATE-value']""),1),"""")"),"")</f>
        <v/>
      </c>
    </row>
    <row r="578" ht="15.75" customHeight="1">
      <c r="B578" s="3" t="str">
        <f>IFERROR(__xludf.DUMMYFUNCTION("IFERROR(GOOGLEFINANCE(A578,""yield"")*100,"""")"),"")</f>
        <v/>
      </c>
      <c r="C578" s="3" t="str">
        <f>IFERROR(__xludf.DUMMYFUNCTION("IFERROR(GOOGLEFINANCE(A578,""trail_dividend""),"""")"),"")</f>
        <v/>
      </c>
      <c r="D578" s="3" t="str">
        <f>IFERROR(__xludf.DUMMYFUNCTION("IFERROR(INDEX(IMPORTXML(""https://finance.yahoo.com/quote/""&amp;A578, ""//td[@data-test='EX_DIVIDEND_DATE-value']""),1),"""")"),"")</f>
        <v/>
      </c>
    </row>
    <row r="579" ht="15.75" customHeight="1">
      <c r="B579" s="3" t="str">
        <f>IFERROR(__xludf.DUMMYFUNCTION("IFERROR(GOOGLEFINANCE(A579,""yield"")*100,"""")"),"")</f>
        <v/>
      </c>
      <c r="C579" s="3" t="str">
        <f>IFERROR(__xludf.DUMMYFUNCTION("IFERROR(GOOGLEFINANCE(A579,""trail_dividend""),"""")"),"")</f>
        <v/>
      </c>
      <c r="D579" s="3" t="str">
        <f>IFERROR(__xludf.DUMMYFUNCTION("IFERROR(INDEX(IMPORTXML(""https://finance.yahoo.com/quote/""&amp;A579, ""//td[@data-test='EX_DIVIDEND_DATE-value']""),1),"""")"),"")</f>
        <v/>
      </c>
    </row>
    <row r="580" ht="15.75" customHeight="1">
      <c r="B580" s="3" t="str">
        <f>IFERROR(__xludf.DUMMYFUNCTION("IFERROR(GOOGLEFINANCE(A580,""yield"")*100,"""")"),"")</f>
        <v/>
      </c>
      <c r="C580" s="3" t="str">
        <f>IFERROR(__xludf.DUMMYFUNCTION("IFERROR(GOOGLEFINANCE(A580,""trail_dividend""),"""")"),"")</f>
        <v/>
      </c>
      <c r="D580" s="3" t="str">
        <f>IFERROR(__xludf.DUMMYFUNCTION("IFERROR(INDEX(IMPORTXML(""https://finance.yahoo.com/quote/""&amp;A580, ""//td[@data-test='EX_DIVIDEND_DATE-value']""),1),"""")"),"")</f>
        <v/>
      </c>
    </row>
    <row r="581" ht="15.75" customHeight="1">
      <c r="B581" s="3" t="str">
        <f>IFERROR(__xludf.DUMMYFUNCTION("IFERROR(GOOGLEFINANCE(A581,""yield"")*100,"""")"),"")</f>
        <v/>
      </c>
      <c r="C581" s="3" t="str">
        <f>IFERROR(__xludf.DUMMYFUNCTION("IFERROR(GOOGLEFINANCE(A581,""trail_dividend""),"""")"),"")</f>
        <v/>
      </c>
      <c r="D581" s="3" t="str">
        <f>IFERROR(__xludf.DUMMYFUNCTION("IFERROR(INDEX(IMPORTXML(""https://finance.yahoo.com/quote/""&amp;A581, ""//td[@data-test='EX_DIVIDEND_DATE-value']""),1),"""")"),"")</f>
        <v/>
      </c>
    </row>
    <row r="582" ht="15.75" customHeight="1">
      <c r="B582" s="3" t="str">
        <f>IFERROR(__xludf.DUMMYFUNCTION("IFERROR(GOOGLEFINANCE(A582,""yield"")*100,"""")"),"")</f>
        <v/>
      </c>
      <c r="C582" s="3" t="str">
        <f>IFERROR(__xludf.DUMMYFUNCTION("IFERROR(GOOGLEFINANCE(A582,""trail_dividend""),"""")"),"")</f>
        <v/>
      </c>
      <c r="D582" s="3" t="str">
        <f>IFERROR(__xludf.DUMMYFUNCTION("IFERROR(INDEX(IMPORTXML(""https://finance.yahoo.com/quote/""&amp;A582, ""//td[@data-test='EX_DIVIDEND_DATE-value']""),1),"""")"),"")</f>
        <v/>
      </c>
    </row>
    <row r="583" ht="15.75" customHeight="1">
      <c r="B583" s="3" t="str">
        <f>IFERROR(__xludf.DUMMYFUNCTION("IFERROR(GOOGLEFINANCE(A583,""yield"")*100,"""")"),"")</f>
        <v/>
      </c>
      <c r="C583" s="3" t="str">
        <f>IFERROR(__xludf.DUMMYFUNCTION("IFERROR(GOOGLEFINANCE(A583,""trail_dividend""),"""")"),"")</f>
        <v/>
      </c>
      <c r="D583" s="3" t="str">
        <f>IFERROR(__xludf.DUMMYFUNCTION("IFERROR(INDEX(IMPORTXML(""https://finance.yahoo.com/quote/""&amp;A583, ""//td[@data-test='EX_DIVIDEND_DATE-value']""),1),"""")"),"")</f>
        <v/>
      </c>
    </row>
    <row r="584" ht="15.75" customHeight="1">
      <c r="B584" s="3" t="str">
        <f>IFERROR(__xludf.DUMMYFUNCTION("IFERROR(GOOGLEFINANCE(A584,""yield"")*100,"""")"),"")</f>
        <v/>
      </c>
      <c r="C584" s="3" t="str">
        <f>IFERROR(__xludf.DUMMYFUNCTION("IFERROR(GOOGLEFINANCE(A584,""trail_dividend""),"""")"),"")</f>
        <v/>
      </c>
      <c r="D584" s="3" t="str">
        <f>IFERROR(__xludf.DUMMYFUNCTION("IFERROR(INDEX(IMPORTXML(""https://finance.yahoo.com/quote/""&amp;A584, ""//td[@data-test='EX_DIVIDEND_DATE-value']""),1),"""")"),"")</f>
        <v/>
      </c>
    </row>
    <row r="585" ht="15.75" customHeight="1">
      <c r="B585" s="3" t="str">
        <f>IFERROR(__xludf.DUMMYFUNCTION("IFERROR(GOOGLEFINANCE(A585,""yield"")*100,"""")"),"")</f>
        <v/>
      </c>
      <c r="C585" s="3" t="str">
        <f>IFERROR(__xludf.DUMMYFUNCTION("IFERROR(GOOGLEFINANCE(A585,""trail_dividend""),"""")"),"")</f>
        <v/>
      </c>
      <c r="D585" s="3" t="str">
        <f>IFERROR(__xludf.DUMMYFUNCTION("IFERROR(INDEX(IMPORTXML(""https://finance.yahoo.com/quote/""&amp;A585, ""//td[@data-test='EX_DIVIDEND_DATE-value']""),1),"""")"),"")</f>
        <v/>
      </c>
    </row>
    <row r="586" ht="15.75" customHeight="1">
      <c r="B586" s="3" t="str">
        <f>IFERROR(__xludf.DUMMYFUNCTION("IFERROR(GOOGLEFINANCE(A586,""yield"")*100,"""")"),"")</f>
        <v/>
      </c>
      <c r="C586" s="3" t="str">
        <f>IFERROR(__xludf.DUMMYFUNCTION("IFERROR(GOOGLEFINANCE(A586,""trail_dividend""),"""")"),"")</f>
        <v/>
      </c>
      <c r="D586" s="3" t="str">
        <f>IFERROR(__xludf.DUMMYFUNCTION("IFERROR(INDEX(IMPORTXML(""https://finance.yahoo.com/quote/""&amp;A586, ""//td[@data-test='EX_DIVIDEND_DATE-value']""),1),"""")"),"")</f>
        <v/>
      </c>
    </row>
    <row r="587" ht="15.75" customHeight="1">
      <c r="B587" s="3" t="str">
        <f>IFERROR(__xludf.DUMMYFUNCTION("IFERROR(GOOGLEFINANCE(A587,""yield"")*100,"""")"),"")</f>
        <v/>
      </c>
      <c r="C587" s="3" t="str">
        <f>IFERROR(__xludf.DUMMYFUNCTION("IFERROR(GOOGLEFINANCE(A587,""trail_dividend""),"""")"),"")</f>
        <v/>
      </c>
      <c r="D587" s="3" t="str">
        <f>IFERROR(__xludf.DUMMYFUNCTION("IFERROR(INDEX(IMPORTXML(""https://finance.yahoo.com/quote/""&amp;A587, ""//td[@data-test='EX_DIVIDEND_DATE-value']""),1),"""")"),"")</f>
        <v/>
      </c>
    </row>
    <row r="588" ht="15.75" customHeight="1">
      <c r="B588" s="3" t="str">
        <f>IFERROR(__xludf.DUMMYFUNCTION("IFERROR(GOOGLEFINANCE(A588,""yield"")*100,"""")"),"")</f>
        <v/>
      </c>
      <c r="C588" s="3" t="str">
        <f>IFERROR(__xludf.DUMMYFUNCTION("IFERROR(GOOGLEFINANCE(A588,""trail_dividend""),"""")"),"")</f>
        <v/>
      </c>
      <c r="D588" s="3" t="str">
        <f>IFERROR(__xludf.DUMMYFUNCTION("IFERROR(INDEX(IMPORTXML(""https://finance.yahoo.com/quote/""&amp;A588, ""//td[@data-test='EX_DIVIDEND_DATE-value']""),1),"""")"),"")</f>
        <v/>
      </c>
    </row>
    <row r="589" ht="15.75" customHeight="1">
      <c r="B589" s="3" t="str">
        <f>IFERROR(__xludf.DUMMYFUNCTION("IFERROR(GOOGLEFINANCE(A589,""yield"")*100,"""")"),"")</f>
        <v/>
      </c>
      <c r="C589" s="3" t="str">
        <f>IFERROR(__xludf.DUMMYFUNCTION("IFERROR(GOOGLEFINANCE(A589,""trail_dividend""),"""")"),"")</f>
        <v/>
      </c>
      <c r="D589" s="3" t="str">
        <f>IFERROR(__xludf.DUMMYFUNCTION("IFERROR(INDEX(IMPORTXML(""https://finance.yahoo.com/quote/""&amp;A589, ""//td[@data-test='EX_DIVIDEND_DATE-value']""),1),"""")"),"")</f>
        <v/>
      </c>
    </row>
    <row r="590" ht="15.75" customHeight="1">
      <c r="B590" s="3" t="str">
        <f>IFERROR(__xludf.DUMMYFUNCTION("IFERROR(GOOGLEFINANCE(A590,""yield"")*100,"""")"),"")</f>
        <v/>
      </c>
      <c r="C590" s="3" t="str">
        <f>IFERROR(__xludf.DUMMYFUNCTION("IFERROR(GOOGLEFINANCE(A590,""trail_dividend""),"""")"),"")</f>
        <v/>
      </c>
      <c r="D590" s="3" t="str">
        <f>IFERROR(__xludf.DUMMYFUNCTION("IFERROR(INDEX(IMPORTXML(""https://finance.yahoo.com/quote/""&amp;A590, ""//td[@data-test='EX_DIVIDEND_DATE-value']""),1),"""")"),"")</f>
        <v/>
      </c>
    </row>
    <row r="591" ht="15.75" customHeight="1">
      <c r="B591" s="3" t="str">
        <f>IFERROR(__xludf.DUMMYFUNCTION("IFERROR(GOOGLEFINANCE(A591,""yield"")*100,"""")"),"")</f>
        <v/>
      </c>
      <c r="C591" s="3" t="str">
        <f>IFERROR(__xludf.DUMMYFUNCTION("IFERROR(GOOGLEFINANCE(A591,""trail_dividend""),"""")"),"")</f>
        <v/>
      </c>
      <c r="D591" s="3" t="str">
        <f>IFERROR(__xludf.DUMMYFUNCTION("IFERROR(INDEX(IMPORTXML(""https://finance.yahoo.com/quote/""&amp;A591, ""//td[@data-test='EX_DIVIDEND_DATE-value']""),1),"""")"),"")</f>
        <v/>
      </c>
    </row>
    <row r="592" ht="15.75" customHeight="1">
      <c r="B592" s="3" t="str">
        <f>IFERROR(__xludf.DUMMYFUNCTION("IFERROR(GOOGLEFINANCE(A592,""yield"")*100,"""")"),"")</f>
        <v/>
      </c>
      <c r="C592" s="3" t="str">
        <f>IFERROR(__xludf.DUMMYFUNCTION("IFERROR(GOOGLEFINANCE(A592,""trail_dividend""),"""")"),"")</f>
        <v/>
      </c>
      <c r="D592" s="3" t="str">
        <f>IFERROR(__xludf.DUMMYFUNCTION("IFERROR(INDEX(IMPORTXML(""https://finance.yahoo.com/quote/""&amp;A592, ""//td[@data-test='EX_DIVIDEND_DATE-value']""),1),"""")"),"")</f>
        <v/>
      </c>
    </row>
    <row r="593" ht="15.75" customHeight="1">
      <c r="B593" s="3" t="str">
        <f>IFERROR(__xludf.DUMMYFUNCTION("IFERROR(GOOGLEFINANCE(A593,""yield"")*100,"""")"),"")</f>
        <v/>
      </c>
      <c r="C593" s="3" t="str">
        <f>IFERROR(__xludf.DUMMYFUNCTION("IFERROR(GOOGLEFINANCE(A593,""trail_dividend""),"""")"),"")</f>
        <v/>
      </c>
      <c r="D593" s="3" t="str">
        <f>IFERROR(__xludf.DUMMYFUNCTION("IFERROR(INDEX(IMPORTXML(""https://finance.yahoo.com/quote/""&amp;A593, ""//td[@data-test='EX_DIVIDEND_DATE-value']""),1),"""")"),"")</f>
        <v/>
      </c>
    </row>
    <row r="594" ht="15.75" customHeight="1">
      <c r="B594" s="3" t="str">
        <f>IFERROR(__xludf.DUMMYFUNCTION("IFERROR(GOOGLEFINANCE(A594,""yield"")*100,"""")"),"")</f>
        <v/>
      </c>
      <c r="C594" s="3" t="str">
        <f>IFERROR(__xludf.DUMMYFUNCTION("IFERROR(GOOGLEFINANCE(A594,""trail_dividend""),"""")"),"")</f>
        <v/>
      </c>
      <c r="D594" s="3" t="str">
        <f>IFERROR(__xludf.DUMMYFUNCTION("IFERROR(INDEX(IMPORTXML(""https://finance.yahoo.com/quote/""&amp;A594, ""//td[@data-test='EX_DIVIDEND_DATE-value']""),1),"""")"),"")</f>
        <v/>
      </c>
    </row>
    <row r="595" ht="15.75" customHeight="1">
      <c r="B595" s="3" t="str">
        <f>IFERROR(__xludf.DUMMYFUNCTION("IFERROR(GOOGLEFINANCE(A595,""yield"")*100,"""")"),"")</f>
        <v/>
      </c>
      <c r="C595" s="3" t="str">
        <f>IFERROR(__xludf.DUMMYFUNCTION("IFERROR(GOOGLEFINANCE(A595,""trail_dividend""),"""")"),"")</f>
        <v/>
      </c>
      <c r="D595" s="3" t="str">
        <f>IFERROR(__xludf.DUMMYFUNCTION("IFERROR(INDEX(IMPORTXML(""https://finance.yahoo.com/quote/""&amp;A595, ""//td[@data-test='EX_DIVIDEND_DATE-value']""),1),"""")"),"")</f>
        <v/>
      </c>
    </row>
    <row r="596" ht="15.75" customHeight="1">
      <c r="B596" s="3" t="str">
        <f>IFERROR(__xludf.DUMMYFUNCTION("IFERROR(GOOGLEFINANCE(A596,""yield"")*100,"""")"),"")</f>
        <v/>
      </c>
      <c r="C596" s="3" t="str">
        <f>IFERROR(__xludf.DUMMYFUNCTION("IFERROR(GOOGLEFINANCE(A596,""trail_dividend""),"""")"),"")</f>
        <v/>
      </c>
      <c r="D596" s="3" t="str">
        <f>IFERROR(__xludf.DUMMYFUNCTION("IFERROR(INDEX(IMPORTXML(""https://finance.yahoo.com/quote/""&amp;A596, ""//td[@data-test='EX_DIVIDEND_DATE-value']""),1),"""")"),"")</f>
        <v/>
      </c>
    </row>
    <row r="597" ht="15.75" customHeight="1">
      <c r="B597" s="3" t="str">
        <f>IFERROR(__xludf.DUMMYFUNCTION("IFERROR(GOOGLEFINANCE(A597,""yield"")*100,"""")"),"")</f>
        <v/>
      </c>
      <c r="C597" s="3" t="str">
        <f>IFERROR(__xludf.DUMMYFUNCTION("IFERROR(GOOGLEFINANCE(A597,""trail_dividend""),"""")"),"")</f>
        <v/>
      </c>
      <c r="D597" s="3" t="str">
        <f>IFERROR(__xludf.DUMMYFUNCTION("IFERROR(INDEX(IMPORTXML(""https://finance.yahoo.com/quote/""&amp;A597, ""//td[@data-test='EX_DIVIDEND_DATE-value']""),1),"""")"),"")</f>
        <v/>
      </c>
    </row>
    <row r="598" ht="15.75" customHeight="1">
      <c r="B598" s="3" t="str">
        <f>IFERROR(__xludf.DUMMYFUNCTION("IFERROR(GOOGLEFINANCE(A598,""yield"")*100,"""")"),"")</f>
        <v/>
      </c>
      <c r="C598" s="3" t="str">
        <f>IFERROR(__xludf.DUMMYFUNCTION("IFERROR(GOOGLEFINANCE(A598,""trail_dividend""),"""")"),"")</f>
        <v/>
      </c>
      <c r="D598" s="3" t="str">
        <f>IFERROR(__xludf.DUMMYFUNCTION("IFERROR(INDEX(IMPORTXML(""https://finance.yahoo.com/quote/""&amp;A598, ""//td[@data-test='EX_DIVIDEND_DATE-value']""),1),"""")"),"")</f>
        <v/>
      </c>
    </row>
    <row r="599" ht="15.75" customHeight="1">
      <c r="B599" s="3" t="str">
        <f>IFERROR(__xludf.DUMMYFUNCTION("IFERROR(GOOGLEFINANCE(A599,""yield"")*100,"""")"),"")</f>
        <v/>
      </c>
      <c r="C599" s="3" t="str">
        <f>IFERROR(__xludf.DUMMYFUNCTION("IFERROR(GOOGLEFINANCE(A599,""trail_dividend""),"""")"),"")</f>
        <v/>
      </c>
      <c r="D599" s="3" t="str">
        <f>IFERROR(__xludf.DUMMYFUNCTION("IFERROR(INDEX(IMPORTXML(""https://finance.yahoo.com/quote/""&amp;A599, ""//td[@data-test='EX_DIVIDEND_DATE-value']""),1),"""")"),"")</f>
        <v/>
      </c>
    </row>
    <row r="600" ht="15.75" customHeight="1">
      <c r="B600" s="3" t="str">
        <f>IFERROR(__xludf.DUMMYFUNCTION("IFERROR(GOOGLEFINANCE(A600,""yield"")*100,"""")"),"")</f>
        <v/>
      </c>
      <c r="C600" s="3" t="str">
        <f>IFERROR(__xludf.DUMMYFUNCTION("IFERROR(GOOGLEFINANCE(A600,""trail_dividend""),"""")"),"")</f>
        <v/>
      </c>
      <c r="D600" s="3" t="str">
        <f>IFERROR(__xludf.DUMMYFUNCTION("IFERROR(INDEX(IMPORTXML(""https://finance.yahoo.com/quote/""&amp;A600, ""//td[@data-test='EX_DIVIDEND_DATE-value']""),1),"""")"),"")</f>
        <v/>
      </c>
    </row>
    <row r="601" ht="15.75" customHeight="1">
      <c r="B601" s="3" t="str">
        <f>IFERROR(__xludf.DUMMYFUNCTION("IFERROR(GOOGLEFINANCE(A601,""yield"")*100,"""")"),"")</f>
        <v/>
      </c>
      <c r="C601" s="3" t="str">
        <f>IFERROR(__xludf.DUMMYFUNCTION("IFERROR(GOOGLEFINANCE(A601,""trail_dividend""),"""")"),"")</f>
        <v/>
      </c>
      <c r="D601" s="3" t="str">
        <f>IFERROR(__xludf.DUMMYFUNCTION("IFERROR(INDEX(IMPORTXML(""https://finance.yahoo.com/quote/""&amp;A601, ""//td[@data-test='EX_DIVIDEND_DATE-value']""),1),"""")"),"")</f>
        <v/>
      </c>
    </row>
    <row r="602" ht="15.75" customHeight="1">
      <c r="B602" s="3" t="str">
        <f>IFERROR(__xludf.DUMMYFUNCTION("IFERROR(GOOGLEFINANCE(A602,""yield"")*100,"""")"),"")</f>
        <v/>
      </c>
      <c r="C602" s="3" t="str">
        <f>IFERROR(__xludf.DUMMYFUNCTION("IFERROR(GOOGLEFINANCE(A602,""trail_dividend""),"""")"),"")</f>
        <v/>
      </c>
      <c r="D602" s="3" t="str">
        <f>IFERROR(__xludf.DUMMYFUNCTION("IFERROR(INDEX(IMPORTXML(""https://finance.yahoo.com/quote/""&amp;A602, ""//td[@data-test='EX_DIVIDEND_DATE-value']""),1),"""")"),"")</f>
        <v/>
      </c>
    </row>
    <row r="603" ht="15.75" customHeight="1">
      <c r="B603" s="3" t="str">
        <f>IFERROR(__xludf.DUMMYFUNCTION("IFERROR(GOOGLEFINANCE(A603,""yield"")*100,"""")"),"")</f>
        <v/>
      </c>
      <c r="C603" s="3" t="str">
        <f>IFERROR(__xludf.DUMMYFUNCTION("IFERROR(GOOGLEFINANCE(A603,""trail_dividend""),"""")"),"")</f>
        <v/>
      </c>
      <c r="D603" s="3" t="str">
        <f>IFERROR(__xludf.DUMMYFUNCTION("IFERROR(INDEX(IMPORTXML(""https://finance.yahoo.com/quote/""&amp;A603, ""//td[@data-test='EX_DIVIDEND_DATE-value']""),1),"""")"),"")</f>
        <v/>
      </c>
    </row>
    <row r="604" ht="15.75" customHeight="1">
      <c r="B604" s="3" t="str">
        <f>IFERROR(__xludf.DUMMYFUNCTION("IFERROR(GOOGLEFINANCE(A604,""yield"")*100,"""")"),"")</f>
        <v/>
      </c>
      <c r="C604" s="3" t="str">
        <f>IFERROR(__xludf.DUMMYFUNCTION("IFERROR(GOOGLEFINANCE(A604,""trail_dividend""),"""")"),"")</f>
        <v/>
      </c>
      <c r="D604" s="3" t="str">
        <f>IFERROR(__xludf.DUMMYFUNCTION("IFERROR(INDEX(IMPORTXML(""https://finance.yahoo.com/quote/""&amp;A604, ""//td[@data-test='EX_DIVIDEND_DATE-value']""),1),"""")"),"")</f>
        <v/>
      </c>
    </row>
    <row r="605" ht="15.75" customHeight="1">
      <c r="B605" s="3" t="str">
        <f>IFERROR(__xludf.DUMMYFUNCTION("IFERROR(GOOGLEFINANCE(A605,""yield"")*100,"""")"),"")</f>
        <v/>
      </c>
      <c r="C605" s="3" t="str">
        <f>IFERROR(__xludf.DUMMYFUNCTION("IFERROR(GOOGLEFINANCE(A605,""trail_dividend""),"""")"),"")</f>
        <v/>
      </c>
      <c r="D605" s="3" t="str">
        <f>IFERROR(__xludf.DUMMYFUNCTION("IFERROR(INDEX(IMPORTXML(""https://finance.yahoo.com/quote/""&amp;A605, ""//td[@data-test='EX_DIVIDEND_DATE-value']""),1),"""")"),"")</f>
        <v/>
      </c>
    </row>
    <row r="606" ht="15.75" customHeight="1">
      <c r="B606" s="3" t="str">
        <f>IFERROR(__xludf.DUMMYFUNCTION("IFERROR(GOOGLEFINANCE(A606,""yield"")*100,"""")"),"")</f>
        <v/>
      </c>
      <c r="C606" s="3" t="str">
        <f>IFERROR(__xludf.DUMMYFUNCTION("IFERROR(GOOGLEFINANCE(A606,""trail_dividend""),"""")"),"")</f>
        <v/>
      </c>
      <c r="D606" s="3" t="str">
        <f>IFERROR(__xludf.DUMMYFUNCTION("IFERROR(INDEX(IMPORTXML(""https://finance.yahoo.com/quote/""&amp;A606, ""//td[@data-test='EX_DIVIDEND_DATE-value']""),1),"""")"),"")</f>
        <v/>
      </c>
    </row>
    <row r="607" ht="15.75" customHeight="1">
      <c r="B607" s="3" t="str">
        <f>IFERROR(__xludf.DUMMYFUNCTION("IFERROR(GOOGLEFINANCE(A607,""yield"")*100,"""")"),"")</f>
        <v/>
      </c>
      <c r="C607" s="3" t="str">
        <f>IFERROR(__xludf.DUMMYFUNCTION("IFERROR(GOOGLEFINANCE(A607,""trail_dividend""),"""")"),"")</f>
        <v/>
      </c>
      <c r="D607" s="3" t="str">
        <f>IFERROR(__xludf.DUMMYFUNCTION("IFERROR(INDEX(IMPORTXML(""https://finance.yahoo.com/quote/""&amp;A607, ""//td[@data-test='EX_DIVIDEND_DATE-value']""),1),"""")"),"")</f>
        <v/>
      </c>
    </row>
    <row r="608" ht="15.75" customHeight="1">
      <c r="B608" s="3" t="str">
        <f>IFERROR(__xludf.DUMMYFUNCTION("IFERROR(GOOGLEFINANCE(A608,""yield"")*100,"""")"),"")</f>
        <v/>
      </c>
      <c r="C608" s="3" t="str">
        <f>IFERROR(__xludf.DUMMYFUNCTION("IFERROR(GOOGLEFINANCE(A608,""trail_dividend""),"""")"),"")</f>
        <v/>
      </c>
      <c r="D608" s="3" t="str">
        <f>IFERROR(__xludf.DUMMYFUNCTION("IFERROR(INDEX(IMPORTXML(""https://finance.yahoo.com/quote/""&amp;A608, ""//td[@data-test='EX_DIVIDEND_DATE-value']""),1),"""")"),"")</f>
        <v/>
      </c>
    </row>
    <row r="609" ht="15.75" customHeight="1">
      <c r="B609" s="3" t="str">
        <f>IFERROR(__xludf.DUMMYFUNCTION("IFERROR(GOOGLEFINANCE(A609,""yield"")*100,"""")"),"")</f>
        <v/>
      </c>
      <c r="C609" s="3" t="str">
        <f>IFERROR(__xludf.DUMMYFUNCTION("IFERROR(GOOGLEFINANCE(A609,""trail_dividend""),"""")"),"")</f>
        <v/>
      </c>
      <c r="D609" s="3" t="str">
        <f>IFERROR(__xludf.DUMMYFUNCTION("IFERROR(INDEX(IMPORTXML(""https://finance.yahoo.com/quote/""&amp;A609, ""//td[@data-test='EX_DIVIDEND_DATE-value']""),1),"""")"),"")</f>
        <v/>
      </c>
    </row>
    <row r="610" ht="15.75" customHeight="1">
      <c r="B610" s="3" t="str">
        <f>IFERROR(__xludf.DUMMYFUNCTION("IFERROR(GOOGLEFINANCE(A610,""yield"")*100,"""")"),"")</f>
        <v/>
      </c>
      <c r="C610" s="3" t="str">
        <f>IFERROR(__xludf.DUMMYFUNCTION("IFERROR(GOOGLEFINANCE(A610,""trail_dividend""),"""")"),"")</f>
        <v/>
      </c>
      <c r="D610" s="3" t="str">
        <f>IFERROR(__xludf.DUMMYFUNCTION("IFERROR(INDEX(IMPORTXML(""https://finance.yahoo.com/quote/""&amp;A610, ""//td[@data-test='EX_DIVIDEND_DATE-value']""),1),"""")"),"")</f>
        <v/>
      </c>
    </row>
    <row r="611" ht="15.75" customHeight="1">
      <c r="B611" s="3" t="str">
        <f>IFERROR(__xludf.DUMMYFUNCTION("IFERROR(GOOGLEFINANCE(A611,""yield"")*100,"""")"),"")</f>
        <v/>
      </c>
      <c r="C611" s="3" t="str">
        <f>IFERROR(__xludf.DUMMYFUNCTION("IFERROR(GOOGLEFINANCE(A611,""trail_dividend""),"""")"),"")</f>
        <v/>
      </c>
      <c r="D611" s="3" t="str">
        <f>IFERROR(__xludf.DUMMYFUNCTION("IFERROR(INDEX(IMPORTXML(""https://finance.yahoo.com/quote/""&amp;A611, ""//td[@data-test='EX_DIVIDEND_DATE-value']""),1),"""")"),"")</f>
        <v/>
      </c>
    </row>
    <row r="612" ht="15.75" customHeight="1">
      <c r="B612" s="3" t="str">
        <f>IFERROR(__xludf.DUMMYFUNCTION("IFERROR(GOOGLEFINANCE(A612,""yield"")*100,"""")"),"")</f>
        <v/>
      </c>
      <c r="C612" s="3" t="str">
        <f>IFERROR(__xludf.DUMMYFUNCTION("IFERROR(GOOGLEFINANCE(A612,""trail_dividend""),"""")"),"")</f>
        <v/>
      </c>
      <c r="D612" s="3" t="str">
        <f>IFERROR(__xludf.DUMMYFUNCTION("IFERROR(INDEX(IMPORTXML(""https://finance.yahoo.com/quote/""&amp;A612, ""//td[@data-test='EX_DIVIDEND_DATE-value']""),1),"""")"),"")</f>
        <v/>
      </c>
    </row>
    <row r="613" ht="15.75" customHeight="1">
      <c r="B613" s="3" t="str">
        <f>IFERROR(__xludf.DUMMYFUNCTION("IFERROR(GOOGLEFINANCE(A613,""yield"")*100,"""")"),"")</f>
        <v/>
      </c>
      <c r="C613" s="3" t="str">
        <f>IFERROR(__xludf.DUMMYFUNCTION("IFERROR(GOOGLEFINANCE(A613,""trail_dividend""),"""")"),"")</f>
        <v/>
      </c>
      <c r="D613" s="3" t="str">
        <f>IFERROR(__xludf.DUMMYFUNCTION("IFERROR(INDEX(IMPORTXML(""https://finance.yahoo.com/quote/""&amp;A613, ""//td[@data-test='EX_DIVIDEND_DATE-value']""),1),"""")"),"")</f>
        <v/>
      </c>
    </row>
    <row r="614" ht="15.75" customHeight="1">
      <c r="B614" s="3" t="str">
        <f>IFERROR(__xludf.DUMMYFUNCTION("IFERROR(GOOGLEFINANCE(A614,""yield"")*100,"""")"),"")</f>
        <v/>
      </c>
      <c r="C614" s="3" t="str">
        <f>IFERROR(__xludf.DUMMYFUNCTION("IFERROR(GOOGLEFINANCE(A614,""trail_dividend""),"""")"),"")</f>
        <v/>
      </c>
      <c r="D614" s="3" t="str">
        <f>IFERROR(__xludf.DUMMYFUNCTION("IFERROR(INDEX(IMPORTXML(""https://finance.yahoo.com/quote/""&amp;A614, ""//td[@data-test='EX_DIVIDEND_DATE-value']""),1),"""")"),"")</f>
        <v/>
      </c>
    </row>
    <row r="615" ht="15.75" customHeight="1">
      <c r="B615" s="3" t="str">
        <f>IFERROR(__xludf.DUMMYFUNCTION("IFERROR(GOOGLEFINANCE(A615,""yield"")*100,"""")"),"")</f>
        <v/>
      </c>
      <c r="C615" s="3" t="str">
        <f>IFERROR(__xludf.DUMMYFUNCTION("IFERROR(GOOGLEFINANCE(A615,""trail_dividend""),"""")"),"")</f>
        <v/>
      </c>
      <c r="D615" s="3" t="str">
        <f>IFERROR(__xludf.DUMMYFUNCTION("IFERROR(INDEX(IMPORTXML(""https://finance.yahoo.com/quote/""&amp;A615, ""//td[@data-test='EX_DIVIDEND_DATE-value']""),1),"""")"),"")</f>
        <v/>
      </c>
    </row>
    <row r="616" ht="15.75" customHeight="1">
      <c r="B616" s="3" t="str">
        <f>IFERROR(__xludf.DUMMYFUNCTION("IFERROR(GOOGLEFINANCE(A616,""yield"")*100,"""")"),"")</f>
        <v/>
      </c>
      <c r="C616" s="3" t="str">
        <f>IFERROR(__xludf.DUMMYFUNCTION("IFERROR(GOOGLEFINANCE(A616,""trail_dividend""),"""")"),"")</f>
        <v/>
      </c>
      <c r="D616" s="3" t="str">
        <f>IFERROR(__xludf.DUMMYFUNCTION("IFERROR(INDEX(IMPORTXML(""https://finance.yahoo.com/quote/""&amp;A616, ""//td[@data-test='EX_DIVIDEND_DATE-value']""),1),"""")"),"")</f>
        <v/>
      </c>
    </row>
    <row r="617" ht="15.75" customHeight="1">
      <c r="B617" s="3" t="str">
        <f>IFERROR(__xludf.DUMMYFUNCTION("IFERROR(GOOGLEFINANCE(A617,""yield"")*100,"""")"),"")</f>
        <v/>
      </c>
      <c r="C617" s="3" t="str">
        <f>IFERROR(__xludf.DUMMYFUNCTION("IFERROR(GOOGLEFINANCE(A617,""trail_dividend""),"""")"),"")</f>
        <v/>
      </c>
      <c r="D617" s="3" t="str">
        <f>IFERROR(__xludf.DUMMYFUNCTION("IFERROR(INDEX(IMPORTXML(""https://finance.yahoo.com/quote/""&amp;A617, ""//td[@data-test='EX_DIVIDEND_DATE-value']""),1),"""")"),"")</f>
        <v/>
      </c>
    </row>
    <row r="618" ht="15.75" customHeight="1">
      <c r="B618" s="3" t="str">
        <f>IFERROR(__xludf.DUMMYFUNCTION("IFERROR(GOOGLEFINANCE(A618,""yield"")*100,"""")"),"")</f>
        <v/>
      </c>
      <c r="C618" s="3" t="str">
        <f>IFERROR(__xludf.DUMMYFUNCTION("IFERROR(GOOGLEFINANCE(A618,""trail_dividend""),"""")"),"")</f>
        <v/>
      </c>
      <c r="D618" s="3" t="str">
        <f>IFERROR(__xludf.DUMMYFUNCTION("IFERROR(INDEX(IMPORTXML(""https://finance.yahoo.com/quote/""&amp;A618, ""//td[@data-test='EX_DIVIDEND_DATE-value']""),1),"""")"),"")</f>
        <v/>
      </c>
    </row>
    <row r="619" ht="15.75" customHeight="1">
      <c r="B619" s="3" t="str">
        <f>IFERROR(__xludf.DUMMYFUNCTION("IFERROR(GOOGLEFINANCE(A619,""yield"")*100,"""")"),"")</f>
        <v/>
      </c>
      <c r="C619" s="3" t="str">
        <f>IFERROR(__xludf.DUMMYFUNCTION("IFERROR(GOOGLEFINANCE(A619,""trail_dividend""),"""")"),"")</f>
        <v/>
      </c>
      <c r="D619" s="3" t="str">
        <f>IFERROR(__xludf.DUMMYFUNCTION("IFERROR(INDEX(IMPORTXML(""https://finance.yahoo.com/quote/""&amp;A619, ""//td[@data-test='EX_DIVIDEND_DATE-value']""),1),"""")"),"")</f>
        <v/>
      </c>
    </row>
    <row r="620" ht="15.75" customHeight="1">
      <c r="B620" s="3" t="str">
        <f>IFERROR(__xludf.DUMMYFUNCTION("IFERROR(GOOGLEFINANCE(A620,""yield"")*100,"""")"),"")</f>
        <v/>
      </c>
      <c r="C620" s="3" t="str">
        <f>IFERROR(__xludf.DUMMYFUNCTION("IFERROR(GOOGLEFINANCE(A620,""trail_dividend""),"""")"),"")</f>
        <v/>
      </c>
      <c r="D620" s="3" t="str">
        <f>IFERROR(__xludf.DUMMYFUNCTION("IFERROR(INDEX(IMPORTXML(""https://finance.yahoo.com/quote/""&amp;A620, ""//td[@data-test='EX_DIVIDEND_DATE-value']""),1),"""")"),"")</f>
        <v/>
      </c>
    </row>
    <row r="621" ht="15.75" customHeight="1">
      <c r="B621" s="3" t="str">
        <f>IFERROR(__xludf.DUMMYFUNCTION("IFERROR(GOOGLEFINANCE(A621,""yield"")*100,"""")"),"")</f>
        <v/>
      </c>
      <c r="C621" s="3" t="str">
        <f>IFERROR(__xludf.DUMMYFUNCTION("IFERROR(GOOGLEFINANCE(A621,""trail_dividend""),"""")"),"")</f>
        <v/>
      </c>
      <c r="D621" s="3" t="str">
        <f>IFERROR(__xludf.DUMMYFUNCTION("IFERROR(INDEX(IMPORTXML(""https://finance.yahoo.com/quote/""&amp;A621, ""//td[@data-test='EX_DIVIDEND_DATE-value']""),1),"""")"),"")</f>
        <v/>
      </c>
    </row>
    <row r="622" ht="15.75" customHeight="1">
      <c r="B622" s="3" t="str">
        <f>IFERROR(__xludf.DUMMYFUNCTION("IFERROR(GOOGLEFINANCE(A622,""yield"")*100,"""")"),"")</f>
        <v/>
      </c>
      <c r="C622" s="3" t="str">
        <f>IFERROR(__xludf.DUMMYFUNCTION("IFERROR(GOOGLEFINANCE(A622,""trail_dividend""),"""")"),"")</f>
        <v/>
      </c>
      <c r="D622" s="3" t="str">
        <f>IFERROR(__xludf.DUMMYFUNCTION("IFERROR(INDEX(IMPORTXML(""https://finance.yahoo.com/quote/""&amp;A622, ""//td[@data-test='EX_DIVIDEND_DATE-value']""),1),"""")"),"")</f>
        <v/>
      </c>
    </row>
    <row r="623" ht="15.75" customHeight="1">
      <c r="B623" s="3" t="str">
        <f>IFERROR(__xludf.DUMMYFUNCTION("IFERROR(GOOGLEFINANCE(A623,""yield"")*100,"""")"),"")</f>
        <v/>
      </c>
      <c r="C623" s="3" t="str">
        <f>IFERROR(__xludf.DUMMYFUNCTION("IFERROR(GOOGLEFINANCE(A623,""trail_dividend""),"""")"),"")</f>
        <v/>
      </c>
      <c r="D623" s="3" t="str">
        <f>IFERROR(__xludf.DUMMYFUNCTION("IFERROR(INDEX(IMPORTXML(""https://finance.yahoo.com/quote/""&amp;A623, ""//td[@data-test='EX_DIVIDEND_DATE-value']""),1),"""")"),"")</f>
        <v/>
      </c>
    </row>
    <row r="624" ht="15.75" customHeight="1">
      <c r="B624" s="3" t="str">
        <f>IFERROR(__xludf.DUMMYFUNCTION("IFERROR(GOOGLEFINANCE(A624,""yield"")*100,"""")"),"")</f>
        <v/>
      </c>
      <c r="C624" s="3" t="str">
        <f>IFERROR(__xludf.DUMMYFUNCTION("IFERROR(GOOGLEFINANCE(A624,""trail_dividend""),"""")"),"")</f>
        <v/>
      </c>
      <c r="D624" s="3" t="str">
        <f>IFERROR(__xludf.DUMMYFUNCTION("IFERROR(INDEX(IMPORTXML(""https://finance.yahoo.com/quote/""&amp;A624, ""//td[@data-test='EX_DIVIDEND_DATE-value']""),1),"""")"),"")</f>
        <v/>
      </c>
    </row>
    <row r="625" ht="15.75" customHeight="1">
      <c r="B625" s="3" t="str">
        <f>IFERROR(__xludf.DUMMYFUNCTION("IFERROR(GOOGLEFINANCE(A625,""yield"")*100,"""")"),"")</f>
        <v/>
      </c>
      <c r="C625" s="3" t="str">
        <f>IFERROR(__xludf.DUMMYFUNCTION("IFERROR(GOOGLEFINANCE(A625,""trail_dividend""),"""")"),"")</f>
        <v/>
      </c>
      <c r="D625" s="3" t="str">
        <f>IFERROR(__xludf.DUMMYFUNCTION("IFERROR(INDEX(IMPORTXML(""https://finance.yahoo.com/quote/""&amp;A625, ""//td[@data-test='EX_DIVIDEND_DATE-value']""),1),"""")"),"")</f>
        <v/>
      </c>
    </row>
    <row r="626" ht="15.75" customHeight="1">
      <c r="B626" s="3" t="str">
        <f>IFERROR(__xludf.DUMMYFUNCTION("IFERROR(GOOGLEFINANCE(A626,""yield"")*100,"""")"),"")</f>
        <v/>
      </c>
      <c r="C626" s="3" t="str">
        <f>IFERROR(__xludf.DUMMYFUNCTION("IFERROR(GOOGLEFINANCE(A626,""trail_dividend""),"""")"),"")</f>
        <v/>
      </c>
      <c r="D626" s="3" t="str">
        <f>IFERROR(__xludf.DUMMYFUNCTION("IFERROR(INDEX(IMPORTXML(""https://finance.yahoo.com/quote/""&amp;A626, ""//td[@data-test='EX_DIVIDEND_DATE-value']""),1),"""")"),"")</f>
        <v/>
      </c>
    </row>
    <row r="627" ht="15.75" customHeight="1">
      <c r="B627" s="3" t="str">
        <f>IFERROR(__xludf.DUMMYFUNCTION("IFERROR(GOOGLEFINANCE(A627,""yield"")*100,"""")"),"")</f>
        <v/>
      </c>
      <c r="C627" s="3" t="str">
        <f>IFERROR(__xludf.DUMMYFUNCTION("IFERROR(GOOGLEFINANCE(A627,""trail_dividend""),"""")"),"")</f>
        <v/>
      </c>
      <c r="D627" s="3" t="str">
        <f>IFERROR(__xludf.DUMMYFUNCTION("IFERROR(INDEX(IMPORTXML(""https://finance.yahoo.com/quote/""&amp;A627, ""//td[@data-test='EX_DIVIDEND_DATE-value']""),1),"""")"),"")</f>
        <v/>
      </c>
    </row>
    <row r="628" ht="15.75" customHeight="1">
      <c r="B628" s="3" t="str">
        <f>IFERROR(__xludf.DUMMYFUNCTION("IFERROR(GOOGLEFINANCE(A628,""yield"")*100,"""")"),"")</f>
        <v/>
      </c>
      <c r="C628" s="3" t="str">
        <f>IFERROR(__xludf.DUMMYFUNCTION("IFERROR(GOOGLEFINANCE(A628,""trail_dividend""),"""")"),"")</f>
        <v/>
      </c>
      <c r="D628" s="3" t="str">
        <f>IFERROR(__xludf.DUMMYFUNCTION("IFERROR(INDEX(IMPORTXML(""https://finance.yahoo.com/quote/""&amp;A628, ""//td[@data-test='EX_DIVIDEND_DATE-value']""),1),"""")"),"")</f>
        <v/>
      </c>
    </row>
    <row r="629" ht="15.75" customHeight="1">
      <c r="B629" s="3" t="str">
        <f>IFERROR(__xludf.DUMMYFUNCTION("IFERROR(GOOGLEFINANCE(A629,""yield"")*100,"""")"),"")</f>
        <v/>
      </c>
      <c r="C629" s="3" t="str">
        <f>IFERROR(__xludf.DUMMYFUNCTION("IFERROR(GOOGLEFINANCE(A629,""trail_dividend""),"""")"),"")</f>
        <v/>
      </c>
      <c r="D629" s="3" t="str">
        <f>IFERROR(__xludf.DUMMYFUNCTION("IFERROR(INDEX(IMPORTXML(""https://finance.yahoo.com/quote/""&amp;A629, ""//td[@data-test='EX_DIVIDEND_DATE-value']""),1),"""")"),"")</f>
        <v/>
      </c>
    </row>
    <row r="630" ht="15.75" customHeight="1">
      <c r="B630" s="3" t="str">
        <f>IFERROR(__xludf.DUMMYFUNCTION("IFERROR(GOOGLEFINANCE(A630,""yield"")*100,"""")"),"")</f>
        <v/>
      </c>
      <c r="C630" s="3" t="str">
        <f>IFERROR(__xludf.DUMMYFUNCTION("IFERROR(GOOGLEFINANCE(A630,""trail_dividend""),"""")"),"")</f>
        <v/>
      </c>
      <c r="D630" s="3" t="str">
        <f>IFERROR(__xludf.DUMMYFUNCTION("IFERROR(INDEX(IMPORTXML(""https://finance.yahoo.com/quote/""&amp;A630, ""//td[@data-test='EX_DIVIDEND_DATE-value']""),1),"""")"),"")</f>
        <v/>
      </c>
    </row>
    <row r="631" ht="15.75" customHeight="1">
      <c r="B631" s="3" t="str">
        <f>IFERROR(__xludf.DUMMYFUNCTION("IFERROR(GOOGLEFINANCE(A631,""yield"")*100,"""")"),"")</f>
        <v/>
      </c>
      <c r="C631" s="3" t="str">
        <f>IFERROR(__xludf.DUMMYFUNCTION("IFERROR(GOOGLEFINANCE(A631,""trail_dividend""),"""")"),"")</f>
        <v/>
      </c>
      <c r="D631" s="3" t="str">
        <f>IFERROR(__xludf.DUMMYFUNCTION("IFERROR(INDEX(IMPORTXML(""https://finance.yahoo.com/quote/""&amp;A631, ""//td[@data-test='EX_DIVIDEND_DATE-value']""),1),"""")"),"")</f>
        <v/>
      </c>
    </row>
    <row r="632" ht="15.75" customHeight="1">
      <c r="B632" s="3" t="str">
        <f>IFERROR(__xludf.DUMMYFUNCTION("IFERROR(GOOGLEFINANCE(A632,""yield"")*100,"""")"),"")</f>
        <v/>
      </c>
      <c r="C632" s="3" t="str">
        <f>IFERROR(__xludf.DUMMYFUNCTION("IFERROR(GOOGLEFINANCE(A632,""trail_dividend""),"""")"),"")</f>
        <v/>
      </c>
      <c r="D632" s="3" t="str">
        <f>IFERROR(__xludf.DUMMYFUNCTION("IFERROR(INDEX(IMPORTXML(""https://finance.yahoo.com/quote/""&amp;A632, ""//td[@data-test='EX_DIVIDEND_DATE-value']""),1),"""")"),"")</f>
        <v/>
      </c>
    </row>
    <row r="633" ht="15.75" customHeight="1">
      <c r="B633" s="3" t="str">
        <f>IFERROR(__xludf.DUMMYFUNCTION("IFERROR(GOOGLEFINANCE(A633,""yield"")*100,"""")"),"")</f>
        <v/>
      </c>
      <c r="C633" s="3" t="str">
        <f>IFERROR(__xludf.DUMMYFUNCTION("IFERROR(GOOGLEFINANCE(A633,""trail_dividend""),"""")"),"")</f>
        <v/>
      </c>
      <c r="D633" s="3" t="str">
        <f>IFERROR(__xludf.DUMMYFUNCTION("IFERROR(INDEX(IMPORTXML(""https://finance.yahoo.com/quote/""&amp;A633, ""//td[@data-test='EX_DIVIDEND_DATE-value']""),1),"""")"),"")</f>
        <v/>
      </c>
    </row>
    <row r="634" ht="15.75" customHeight="1">
      <c r="B634" s="3" t="str">
        <f>IFERROR(__xludf.DUMMYFUNCTION("IFERROR(GOOGLEFINANCE(A634,""yield"")*100,"""")"),"")</f>
        <v/>
      </c>
      <c r="C634" s="3" t="str">
        <f>IFERROR(__xludf.DUMMYFUNCTION("IFERROR(GOOGLEFINANCE(A634,""trail_dividend""),"""")"),"")</f>
        <v/>
      </c>
      <c r="D634" s="3" t="str">
        <f>IFERROR(__xludf.DUMMYFUNCTION("IFERROR(INDEX(IMPORTXML(""https://finance.yahoo.com/quote/""&amp;A634, ""//td[@data-test='EX_DIVIDEND_DATE-value']""),1),"""")"),"")</f>
        <v/>
      </c>
    </row>
    <row r="635" ht="15.75" customHeight="1">
      <c r="B635" s="3" t="str">
        <f>IFERROR(__xludf.DUMMYFUNCTION("IFERROR(GOOGLEFINANCE(A635,""yield"")*100,"""")"),"")</f>
        <v/>
      </c>
      <c r="C635" s="3" t="str">
        <f>IFERROR(__xludf.DUMMYFUNCTION("IFERROR(GOOGLEFINANCE(A635,""trail_dividend""),"""")"),"")</f>
        <v/>
      </c>
      <c r="D635" s="3" t="str">
        <f>IFERROR(__xludf.DUMMYFUNCTION("IFERROR(INDEX(IMPORTXML(""https://finance.yahoo.com/quote/""&amp;A635, ""//td[@data-test='EX_DIVIDEND_DATE-value']""),1),"""")"),"")</f>
        <v/>
      </c>
    </row>
    <row r="636" ht="15.75" customHeight="1">
      <c r="B636" s="3" t="str">
        <f>IFERROR(__xludf.DUMMYFUNCTION("IFERROR(GOOGLEFINANCE(A636,""yield"")*100,"""")"),"")</f>
        <v/>
      </c>
      <c r="C636" s="3" t="str">
        <f>IFERROR(__xludf.DUMMYFUNCTION("IFERROR(GOOGLEFINANCE(A636,""trail_dividend""),"""")"),"")</f>
        <v/>
      </c>
      <c r="D636" s="3" t="str">
        <f>IFERROR(__xludf.DUMMYFUNCTION("IFERROR(INDEX(IMPORTXML(""https://finance.yahoo.com/quote/""&amp;A636, ""//td[@data-test='EX_DIVIDEND_DATE-value']""),1),"""")"),"")</f>
        <v/>
      </c>
    </row>
    <row r="637" ht="15.75" customHeight="1">
      <c r="B637" s="3" t="str">
        <f>IFERROR(__xludf.DUMMYFUNCTION("IFERROR(GOOGLEFINANCE(A637,""yield"")*100,"""")"),"")</f>
        <v/>
      </c>
      <c r="C637" s="3" t="str">
        <f>IFERROR(__xludf.DUMMYFUNCTION("IFERROR(GOOGLEFINANCE(A637,""trail_dividend""),"""")"),"")</f>
        <v/>
      </c>
      <c r="D637" s="3" t="str">
        <f>IFERROR(__xludf.DUMMYFUNCTION("IFERROR(INDEX(IMPORTXML(""https://finance.yahoo.com/quote/""&amp;A637, ""//td[@data-test='EX_DIVIDEND_DATE-value']""),1),"""")"),"")</f>
        <v/>
      </c>
    </row>
    <row r="638" ht="15.75" customHeight="1">
      <c r="B638" s="3" t="str">
        <f>IFERROR(__xludf.DUMMYFUNCTION("IFERROR(GOOGLEFINANCE(A638,""yield"")*100,"""")"),"")</f>
        <v/>
      </c>
      <c r="C638" s="3" t="str">
        <f>IFERROR(__xludf.DUMMYFUNCTION("IFERROR(GOOGLEFINANCE(A638,""trail_dividend""),"""")"),"")</f>
        <v/>
      </c>
      <c r="D638" s="3" t="str">
        <f>IFERROR(__xludf.DUMMYFUNCTION("IFERROR(INDEX(IMPORTXML(""https://finance.yahoo.com/quote/""&amp;A638, ""//td[@data-test='EX_DIVIDEND_DATE-value']""),1),"""")"),"")</f>
        <v/>
      </c>
    </row>
    <row r="639" ht="15.75" customHeight="1">
      <c r="B639" s="3" t="str">
        <f>IFERROR(__xludf.DUMMYFUNCTION("IFERROR(GOOGLEFINANCE(A639,""yield"")*100,"""")"),"")</f>
        <v/>
      </c>
      <c r="C639" s="3" t="str">
        <f>IFERROR(__xludf.DUMMYFUNCTION("IFERROR(GOOGLEFINANCE(A639,""trail_dividend""),"""")"),"")</f>
        <v/>
      </c>
      <c r="D639" s="3" t="str">
        <f>IFERROR(__xludf.DUMMYFUNCTION("IFERROR(INDEX(IMPORTXML(""https://finance.yahoo.com/quote/""&amp;A639, ""//td[@data-test='EX_DIVIDEND_DATE-value']""),1),"""")"),"")</f>
        <v/>
      </c>
    </row>
    <row r="640" ht="15.75" customHeight="1">
      <c r="B640" s="3" t="str">
        <f>IFERROR(__xludf.DUMMYFUNCTION("IFERROR(GOOGLEFINANCE(A640,""yield"")*100,"""")"),"")</f>
        <v/>
      </c>
      <c r="C640" s="3" t="str">
        <f>IFERROR(__xludf.DUMMYFUNCTION("IFERROR(GOOGLEFINANCE(A640,""trail_dividend""),"""")"),"")</f>
        <v/>
      </c>
      <c r="D640" s="3" t="str">
        <f>IFERROR(__xludf.DUMMYFUNCTION("IFERROR(INDEX(IMPORTXML(""https://finance.yahoo.com/quote/""&amp;A640, ""//td[@data-test='EX_DIVIDEND_DATE-value']""),1),"""")"),"")</f>
        <v/>
      </c>
    </row>
    <row r="641" ht="15.75" customHeight="1">
      <c r="B641" s="3" t="str">
        <f>IFERROR(__xludf.DUMMYFUNCTION("IFERROR(GOOGLEFINANCE(A641,""yield"")*100,"""")"),"")</f>
        <v/>
      </c>
      <c r="C641" s="3" t="str">
        <f>IFERROR(__xludf.DUMMYFUNCTION("IFERROR(GOOGLEFINANCE(A641,""trail_dividend""),"""")"),"")</f>
        <v/>
      </c>
      <c r="D641" s="3" t="str">
        <f>IFERROR(__xludf.DUMMYFUNCTION("IFERROR(INDEX(IMPORTXML(""https://finance.yahoo.com/quote/""&amp;A641, ""//td[@data-test='EX_DIVIDEND_DATE-value']""),1),"""")"),"")</f>
        <v/>
      </c>
    </row>
    <row r="642" ht="15.75" customHeight="1">
      <c r="B642" s="3" t="str">
        <f>IFERROR(__xludf.DUMMYFUNCTION("IFERROR(GOOGLEFINANCE(A642,""yield"")*100,"""")"),"")</f>
        <v/>
      </c>
      <c r="C642" s="3" t="str">
        <f>IFERROR(__xludf.DUMMYFUNCTION("IFERROR(GOOGLEFINANCE(A642,""trail_dividend""),"""")"),"")</f>
        <v/>
      </c>
      <c r="D642" s="3" t="str">
        <f>IFERROR(__xludf.DUMMYFUNCTION("IFERROR(INDEX(IMPORTXML(""https://finance.yahoo.com/quote/""&amp;A642, ""//td[@data-test='EX_DIVIDEND_DATE-value']""),1),"""")"),"")</f>
        <v/>
      </c>
    </row>
    <row r="643" ht="15.75" customHeight="1">
      <c r="B643" s="3" t="str">
        <f>IFERROR(__xludf.DUMMYFUNCTION("IFERROR(GOOGLEFINANCE(A643,""yield"")*100,"""")"),"")</f>
        <v/>
      </c>
      <c r="C643" s="3" t="str">
        <f>IFERROR(__xludf.DUMMYFUNCTION("IFERROR(GOOGLEFINANCE(A643,""trail_dividend""),"""")"),"")</f>
        <v/>
      </c>
      <c r="D643" s="3" t="str">
        <f>IFERROR(__xludf.DUMMYFUNCTION("IFERROR(INDEX(IMPORTXML(""https://finance.yahoo.com/quote/""&amp;A643, ""//td[@data-test='EX_DIVIDEND_DATE-value']""),1),"""")"),"")</f>
        <v/>
      </c>
    </row>
    <row r="644" ht="15.75" customHeight="1">
      <c r="B644" s="3" t="str">
        <f>IFERROR(__xludf.DUMMYFUNCTION("IFERROR(GOOGLEFINANCE(A644,""yield"")*100,"""")"),"")</f>
        <v/>
      </c>
      <c r="C644" s="3" t="str">
        <f>IFERROR(__xludf.DUMMYFUNCTION("IFERROR(GOOGLEFINANCE(A644,""trail_dividend""),"""")"),"")</f>
        <v/>
      </c>
      <c r="D644" s="3" t="str">
        <f>IFERROR(__xludf.DUMMYFUNCTION("IFERROR(INDEX(IMPORTXML(""https://finance.yahoo.com/quote/""&amp;A644, ""//td[@data-test='EX_DIVIDEND_DATE-value']""),1),"""")"),"")</f>
        <v/>
      </c>
    </row>
    <row r="645" ht="15.75" customHeight="1">
      <c r="B645" s="3" t="str">
        <f>IFERROR(__xludf.DUMMYFUNCTION("IFERROR(GOOGLEFINANCE(A645,""yield"")*100,"""")"),"")</f>
        <v/>
      </c>
      <c r="C645" s="3" t="str">
        <f>IFERROR(__xludf.DUMMYFUNCTION("IFERROR(GOOGLEFINANCE(A645,""trail_dividend""),"""")"),"")</f>
        <v/>
      </c>
      <c r="D645" s="3" t="str">
        <f>IFERROR(__xludf.DUMMYFUNCTION("IFERROR(INDEX(IMPORTXML(""https://finance.yahoo.com/quote/""&amp;A645, ""//td[@data-test='EX_DIVIDEND_DATE-value']""),1),"""")"),"")</f>
        <v/>
      </c>
    </row>
    <row r="646" ht="15.75" customHeight="1">
      <c r="B646" s="3" t="str">
        <f>IFERROR(__xludf.DUMMYFUNCTION("IFERROR(GOOGLEFINANCE(A646,""yield"")*100,"""")"),"")</f>
        <v/>
      </c>
      <c r="C646" s="3" t="str">
        <f>IFERROR(__xludf.DUMMYFUNCTION("IFERROR(GOOGLEFINANCE(A646,""trail_dividend""),"""")"),"")</f>
        <v/>
      </c>
      <c r="D646" s="3" t="str">
        <f>IFERROR(__xludf.DUMMYFUNCTION("IFERROR(INDEX(IMPORTXML(""https://finance.yahoo.com/quote/""&amp;A646, ""//td[@data-test='EX_DIVIDEND_DATE-value']""),1),"""")"),"")</f>
        <v/>
      </c>
    </row>
    <row r="647" ht="15.75" customHeight="1">
      <c r="B647" s="3" t="str">
        <f>IFERROR(__xludf.DUMMYFUNCTION("IFERROR(GOOGLEFINANCE(A647,""yield"")*100,"""")"),"")</f>
        <v/>
      </c>
      <c r="C647" s="3" t="str">
        <f>IFERROR(__xludf.DUMMYFUNCTION("IFERROR(GOOGLEFINANCE(A647,""trail_dividend""),"""")"),"")</f>
        <v/>
      </c>
      <c r="D647" s="3" t="str">
        <f>IFERROR(__xludf.DUMMYFUNCTION("IFERROR(INDEX(IMPORTXML(""https://finance.yahoo.com/quote/""&amp;A647, ""//td[@data-test='EX_DIVIDEND_DATE-value']""),1),"""")"),"")</f>
        <v/>
      </c>
    </row>
    <row r="648" ht="15.75" customHeight="1">
      <c r="B648" s="3" t="str">
        <f>IFERROR(__xludf.DUMMYFUNCTION("IFERROR(GOOGLEFINANCE(A648,""yield"")*100,"""")"),"")</f>
        <v/>
      </c>
      <c r="C648" s="3" t="str">
        <f>IFERROR(__xludf.DUMMYFUNCTION("IFERROR(GOOGLEFINANCE(A648,""trail_dividend""),"""")"),"")</f>
        <v/>
      </c>
      <c r="D648" s="3" t="str">
        <f>IFERROR(__xludf.DUMMYFUNCTION("IFERROR(INDEX(IMPORTXML(""https://finance.yahoo.com/quote/""&amp;A648, ""//td[@data-test='EX_DIVIDEND_DATE-value']""),1),"""")"),"")</f>
        <v/>
      </c>
    </row>
    <row r="649" ht="15.75" customHeight="1">
      <c r="B649" s="3" t="str">
        <f>IFERROR(__xludf.DUMMYFUNCTION("IFERROR(GOOGLEFINANCE(A649,""yield"")*100,"""")"),"")</f>
        <v/>
      </c>
      <c r="C649" s="3" t="str">
        <f>IFERROR(__xludf.DUMMYFUNCTION("IFERROR(GOOGLEFINANCE(A649,""trail_dividend""),"""")"),"")</f>
        <v/>
      </c>
      <c r="D649" s="3" t="str">
        <f>IFERROR(__xludf.DUMMYFUNCTION("IFERROR(INDEX(IMPORTXML(""https://finance.yahoo.com/quote/""&amp;A649, ""//td[@data-test='EX_DIVIDEND_DATE-value']""),1),"""")"),"")</f>
        <v/>
      </c>
    </row>
    <row r="650" ht="15.75" customHeight="1">
      <c r="B650" s="3" t="str">
        <f>IFERROR(__xludf.DUMMYFUNCTION("IFERROR(GOOGLEFINANCE(A650,""yield"")*100,"""")"),"")</f>
        <v/>
      </c>
      <c r="C650" s="3" t="str">
        <f>IFERROR(__xludf.DUMMYFUNCTION("IFERROR(GOOGLEFINANCE(A650,""trail_dividend""),"""")"),"")</f>
        <v/>
      </c>
      <c r="D650" s="3" t="str">
        <f>IFERROR(__xludf.DUMMYFUNCTION("IFERROR(INDEX(IMPORTXML(""https://finance.yahoo.com/quote/""&amp;A650, ""//td[@data-test='EX_DIVIDEND_DATE-value']""),1),"""")"),"")</f>
        <v/>
      </c>
    </row>
    <row r="651" ht="15.75" customHeight="1">
      <c r="B651" s="3" t="str">
        <f>IFERROR(__xludf.DUMMYFUNCTION("IFERROR(GOOGLEFINANCE(A651,""yield"")*100,"""")"),"")</f>
        <v/>
      </c>
      <c r="C651" s="3" t="str">
        <f>IFERROR(__xludf.DUMMYFUNCTION("IFERROR(GOOGLEFINANCE(A651,""trail_dividend""),"""")"),"")</f>
        <v/>
      </c>
      <c r="D651" s="3" t="str">
        <f>IFERROR(__xludf.DUMMYFUNCTION("IFERROR(INDEX(IMPORTXML(""https://finance.yahoo.com/quote/""&amp;A651, ""//td[@data-test='EX_DIVIDEND_DATE-value']""),1),"""")"),"")</f>
        <v/>
      </c>
    </row>
    <row r="652" ht="15.75" customHeight="1">
      <c r="B652" s="3" t="str">
        <f>IFERROR(__xludf.DUMMYFUNCTION("IFERROR(GOOGLEFINANCE(A652,""yield"")*100,"""")"),"")</f>
        <v/>
      </c>
      <c r="C652" s="3" t="str">
        <f>IFERROR(__xludf.DUMMYFUNCTION("IFERROR(GOOGLEFINANCE(A652,""trail_dividend""),"""")"),"")</f>
        <v/>
      </c>
      <c r="D652" s="3" t="str">
        <f>IFERROR(__xludf.DUMMYFUNCTION("IFERROR(INDEX(IMPORTXML(""https://finance.yahoo.com/quote/""&amp;A652, ""//td[@data-test='EX_DIVIDEND_DATE-value']""),1),"""")"),"")</f>
        <v/>
      </c>
    </row>
    <row r="653" ht="15.75" customHeight="1">
      <c r="B653" s="3" t="str">
        <f>IFERROR(__xludf.DUMMYFUNCTION("IFERROR(GOOGLEFINANCE(A653,""yield"")*100,"""")"),"")</f>
        <v/>
      </c>
      <c r="C653" s="3" t="str">
        <f>IFERROR(__xludf.DUMMYFUNCTION("IFERROR(GOOGLEFINANCE(A653,""trail_dividend""),"""")"),"")</f>
        <v/>
      </c>
      <c r="D653" s="3" t="str">
        <f>IFERROR(__xludf.DUMMYFUNCTION("IFERROR(INDEX(IMPORTXML(""https://finance.yahoo.com/quote/""&amp;A653, ""//td[@data-test='EX_DIVIDEND_DATE-value']""),1),"""")"),"")</f>
        <v/>
      </c>
    </row>
    <row r="654" ht="15.75" customHeight="1">
      <c r="B654" s="3" t="str">
        <f>IFERROR(__xludf.DUMMYFUNCTION("IFERROR(GOOGLEFINANCE(A654,""yield"")*100,"""")"),"")</f>
        <v/>
      </c>
      <c r="C654" s="3" t="str">
        <f>IFERROR(__xludf.DUMMYFUNCTION("IFERROR(GOOGLEFINANCE(A654,""trail_dividend""),"""")"),"")</f>
        <v/>
      </c>
      <c r="D654" s="3" t="str">
        <f>IFERROR(__xludf.DUMMYFUNCTION("IFERROR(INDEX(IMPORTXML(""https://finance.yahoo.com/quote/""&amp;A654, ""//td[@data-test='EX_DIVIDEND_DATE-value']""),1),"""")"),"")</f>
        <v/>
      </c>
    </row>
    <row r="655" ht="15.75" customHeight="1">
      <c r="B655" s="3" t="str">
        <f>IFERROR(__xludf.DUMMYFUNCTION("IFERROR(GOOGLEFINANCE(A655,""yield"")*100,"""")"),"")</f>
        <v/>
      </c>
      <c r="C655" s="3" t="str">
        <f>IFERROR(__xludf.DUMMYFUNCTION("IFERROR(GOOGLEFINANCE(A655,""trail_dividend""),"""")"),"")</f>
        <v/>
      </c>
      <c r="D655" s="3" t="str">
        <f>IFERROR(__xludf.DUMMYFUNCTION("IFERROR(INDEX(IMPORTXML(""https://finance.yahoo.com/quote/""&amp;A655, ""//td[@data-test='EX_DIVIDEND_DATE-value']""),1),"""")"),"")</f>
        <v/>
      </c>
    </row>
    <row r="656" ht="15.75" customHeight="1">
      <c r="B656" s="3" t="str">
        <f>IFERROR(__xludf.DUMMYFUNCTION("IFERROR(GOOGLEFINANCE(A656,""yield"")*100,"""")"),"")</f>
        <v/>
      </c>
      <c r="C656" s="3" t="str">
        <f>IFERROR(__xludf.DUMMYFUNCTION("IFERROR(GOOGLEFINANCE(A656,""trail_dividend""),"""")"),"")</f>
        <v/>
      </c>
      <c r="D656" s="3" t="str">
        <f>IFERROR(__xludf.DUMMYFUNCTION("IFERROR(INDEX(IMPORTXML(""https://finance.yahoo.com/quote/""&amp;A656, ""//td[@data-test='EX_DIVIDEND_DATE-value']""),1),"""")"),"")</f>
        <v/>
      </c>
    </row>
    <row r="657" ht="15.75" customHeight="1">
      <c r="B657" s="3" t="str">
        <f>IFERROR(__xludf.DUMMYFUNCTION("IFERROR(GOOGLEFINANCE(A657,""yield"")*100,"""")"),"")</f>
        <v/>
      </c>
      <c r="C657" s="3" t="str">
        <f>IFERROR(__xludf.DUMMYFUNCTION("IFERROR(GOOGLEFINANCE(A657,""trail_dividend""),"""")"),"")</f>
        <v/>
      </c>
      <c r="D657" s="3" t="str">
        <f>IFERROR(__xludf.DUMMYFUNCTION("IFERROR(INDEX(IMPORTXML(""https://finance.yahoo.com/quote/""&amp;A657, ""//td[@data-test='EX_DIVIDEND_DATE-value']""),1),"""")"),"")</f>
        <v/>
      </c>
    </row>
    <row r="658" ht="15.75" customHeight="1">
      <c r="B658" s="3" t="str">
        <f>IFERROR(__xludf.DUMMYFUNCTION("IFERROR(GOOGLEFINANCE(A658,""yield"")*100,"""")"),"")</f>
        <v/>
      </c>
      <c r="C658" s="3" t="str">
        <f>IFERROR(__xludf.DUMMYFUNCTION("IFERROR(GOOGLEFINANCE(A658,""trail_dividend""),"""")"),"")</f>
        <v/>
      </c>
      <c r="D658" s="3" t="str">
        <f>IFERROR(__xludf.DUMMYFUNCTION("IFERROR(INDEX(IMPORTXML(""https://finance.yahoo.com/quote/""&amp;A658, ""//td[@data-test='EX_DIVIDEND_DATE-value']""),1),"""")"),"")</f>
        <v/>
      </c>
    </row>
    <row r="659" ht="15.75" customHeight="1">
      <c r="B659" s="3" t="str">
        <f>IFERROR(__xludf.DUMMYFUNCTION("IFERROR(GOOGLEFINANCE(A659,""yield"")*100,"""")"),"")</f>
        <v/>
      </c>
      <c r="C659" s="3" t="str">
        <f>IFERROR(__xludf.DUMMYFUNCTION("IFERROR(GOOGLEFINANCE(A659,""trail_dividend""),"""")"),"")</f>
        <v/>
      </c>
      <c r="D659" s="3" t="str">
        <f>IFERROR(__xludf.DUMMYFUNCTION("IFERROR(INDEX(IMPORTXML(""https://finance.yahoo.com/quote/""&amp;A659, ""//td[@data-test='EX_DIVIDEND_DATE-value']""),1),"""")"),"")</f>
        <v/>
      </c>
    </row>
    <row r="660" ht="15.75" customHeight="1">
      <c r="B660" s="3" t="str">
        <f>IFERROR(__xludf.DUMMYFUNCTION("IFERROR(GOOGLEFINANCE(A660,""yield"")*100,"""")"),"")</f>
        <v/>
      </c>
      <c r="C660" s="3" t="str">
        <f>IFERROR(__xludf.DUMMYFUNCTION("IFERROR(GOOGLEFINANCE(A660,""trail_dividend""),"""")"),"")</f>
        <v/>
      </c>
      <c r="D660" s="3" t="str">
        <f>IFERROR(__xludf.DUMMYFUNCTION("IFERROR(INDEX(IMPORTXML(""https://finance.yahoo.com/quote/""&amp;A660, ""//td[@data-test='EX_DIVIDEND_DATE-value']""),1),"""")"),"")</f>
        <v/>
      </c>
    </row>
    <row r="661" ht="15.75" customHeight="1">
      <c r="B661" s="3" t="str">
        <f>IFERROR(__xludf.DUMMYFUNCTION("IFERROR(GOOGLEFINANCE(A661,""yield"")*100,"""")"),"")</f>
        <v/>
      </c>
      <c r="C661" s="3" t="str">
        <f>IFERROR(__xludf.DUMMYFUNCTION("IFERROR(GOOGLEFINANCE(A661,""trail_dividend""),"""")"),"")</f>
        <v/>
      </c>
      <c r="D661" s="3" t="str">
        <f>IFERROR(__xludf.DUMMYFUNCTION("IFERROR(INDEX(IMPORTXML(""https://finance.yahoo.com/quote/""&amp;A661, ""//td[@data-test='EX_DIVIDEND_DATE-value']""),1),"""")"),"")</f>
        <v/>
      </c>
    </row>
    <row r="662" ht="15.75" customHeight="1">
      <c r="B662" s="3" t="str">
        <f>IFERROR(__xludf.DUMMYFUNCTION("IFERROR(GOOGLEFINANCE(A662,""yield"")*100,"""")"),"")</f>
        <v/>
      </c>
      <c r="C662" s="3" t="str">
        <f>IFERROR(__xludf.DUMMYFUNCTION("IFERROR(GOOGLEFINANCE(A662,""trail_dividend""),"""")"),"")</f>
        <v/>
      </c>
      <c r="D662" s="3" t="str">
        <f>IFERROR(__xludf.DUMMYFUNCTION("IFERROR(INDEX(IMPORTXML(""https://finance.yahoo.com/quote/""&amp;A662, ""//td[@data-test='EX_DIVIDEND_DATE-value']""),1),"""")"),"")</f>
        <v/>
      </c>
    </row>
    <row r="663" ht="15.75" customHeight="1">
      <c r="B663" s="3" t="str">
        <f>IFERROR(__xludf.DUMMYFUNCTION("IFERROR(GOOGLEFINANCE(A663,""yield"")*100,"""")"),"")</f>
        <v/>
      </c>
      <c r="C663" s="3" t="str">
        <f>IFERROR(__xludf.DUMMYFUNCTION("IFERROR(GOOGLEFINANCE(A663,""trail_dividend""),"""")"),"")</f>
        <v/>
      </c>
      <c r="D663" s="3" t="str">
        <f>IFERROR(__xludf.DUMMYFUNCTION("IFERROR(INDEX(IMPORTXML(""https://finance.yahoo.com/quote/""&amp;A663, ""//td[@data-test='EX_DIVIDEND_DATE-value']""),1),"""")"),"")</f>
        <v/>
      </c>
    </row>
    <row r="664" ht="15.75" customHeight="1">
      <c r="B664" s="3" t="str">
        <f>IFERROR(__xludf.DUMMYFUNCTION("IFERROR(GOOGLEFINANCE(A664,""yield"")*100,"""")"),"")</f>
        <v/>
      </c>
      <c r="C664" s="3" t="str">
        <f>IFERROR(__xludf.DUMMYFUNCTION("IFERROR(GOOGLEFINANCE(A664,""trail_dividend""),"""")"),"")</f>
        <v/>
      </c>
      <c r="D664" s="3" t="str">
        <f>IFERROR(__xludf.DUMMYFUNCTION("IFERROR(INDEX(IMPORTXML(""https://finance.yahoo.com/quote/""&amp;A664, ""//td[@data-test='EX_DIVIDEND_DATE-value']""),1),"""")"),"")</f>
        <v/>
      </c>
    </row>
    <row r="665" ht="15.75" customHeight="1">
      <c r="B665" s="3" t="str">
        <f>IFERROR(__xludf.DUMMYFUNCTION("IFERROR(GOOGLEFINANCE(A665,""yield"")*100,"""")"),"")</f>
        <v/>
      </c>
      <c r="C665" s="3" t="str">
        <f>IFERROR(__xludf.DUMMYFUNCTION("IFERROR(GOOGLEFINANCE(A665,""trail_dividend""),"""")"),"")</f>
        <v/>
      </c>
      <c r="D665" s="3" t="str">
        <f>IFERROR(__xludf.DUMMYFUNCTION("IFERROR(INDEX(IMPORTXML(""https://finance.yahoo.com/quote/""&amp;A665, ""//td[@data-test='EX_DIVIDEND_DATE-value']""),1),"""")"),"")</f>
        <v/>
      </c>
    </row>
    <row r="666" ht="15.75" customHeight="1">
      <c r="B666" s="3" t="str">
        <f>IFERROR(__xludf.DUMMYFUNCTION("IFERROR(GOOGLEFINANCE(A666,""yield"")*100,"""")"),"")</f>
        <v/>
      </c>
      <c r="C666" s="3" t="str">
        <f>IFERROR(__xludf.DUMMYFUNCTION("IFERROR(GOOGLEFINANCE(A666,""trail_dividend""),"""")"),"")</f>
        <v/>
      </c>
      <c r="D666" s="3" t="str">
        <f>IFERROR(__xludf.DUMMYFUNCTION("IFERROR(INDEX(IMPORTXML(""https://finance.yahoo.com/quote/""&amp;A666, ""//td[@data-test='EX_DIVIDEND_DATE-value']""),1),"""")"),"")</f>
        <v/>
      </c>
    </row>
    <row r="667" ht="15.75" customHeight="1">
      <c r="B667" s="3" t="str">
        <f>IFERROR(__xludf.DUMMYFUNCTION("IFERROR(GOOGLEFINANCE(A667,""yield"")*100,"""")"),"")</f>
        <v/>
      </c>
      <c r="C667" s="3" t="str">
        <f>IFERROR(__xludf.DUMMYFUNCTION("IFERROR(GOOGLEFINANCE(A667,""trail_dividend""),"""")"),"")</f>
        <v/>
      </c>
      <c r="D667" s="3" t="str">
        <f>IFERROR(__xludf.DUMMYFUNCTION("IFERROR(INDEX(IMPORTXML(""https://finance.yahoo.com/quote/""&amp;A667, ""//td[@data-test='EX_DIVIDEND_DATE-value']""),1),"""")"),"")</f>
        <v/>
      </c>
    </row>
    <row r="668" ht="15.75" customHeight="1">
      <c r="B668" s="3" t="str">
        <f>IFERROR(__xludf.DUMMYFUNCTION("IFERROR(GOOGLEFINANCE(A668,""yield"")*100,"""")"),"")</f>
        <v/>
      </c>
      <c r="C668" s="3" t="str">
        <f>IFERROR(__xludf.DUMMYFUNCTION("IFERROR(GOOGLEFINANCE(A668,""trail_dividend""),"""")"),"")</f>
        <v/>
      </c>
      <c r="D668" s="3" t="str">
        <f>IFERROR(__xludf.DUMMYFUNCTION("IFERROR(INDEX(IMPORTXML(""https://finance.yahoo.com/quote/""&amp;A668, ""//td[@data-test='EX_DIVIDEND_DATE-value']""),1),"""")"),"")</f>
        <v/>
      </c>
    </row>
    <row r="669" ht="15.75" customHeight="1">
      <c r="B669" s="3" t="str">
        <f>IFERROR(__xludf.DUMMYFUNCTION("IFERROR(GOOGLEFINANCE(A669,""yield"")*100,"""")"),"")</f>
        <v/>
      </c>
      <c r="C669" s="3" t="str">
        <f>IFERROR(__xludf.DUMMYFUNCTION("IFERROR(GOOGLEFINANCE(A669,""trail_dividend""),"""")"),"")</f>
        <v/>
      </c>
      <c r="D669" s="3" t="str">
        <f>IFERROR(__xludf.DUMMYFUNCTION("IFERROR(INDEX(IMPORTXML(""https://finance.yahoo.com/quote/""&amp;A669, ""//td[@data-test='EX_DIVIDEND_DATE-value']""),1),"""")"),"")</f>
        <v/>
      </c>
    </row>
    <row r="670" ht="15.75" customHeight="1">
      <c r="B670" s="3" t="str">
        <f>IFERROR(__xludf.DUMMYFUNCTION("IFERROR(GOOGLEFINANCE(A670,""yield"")*100,"""")"),"")</f>
        <v/>
      </c>
      <c r="C670" s="3" t="str">
        <f>IFERROR(__xludf.DUMMYFUNCTION("IFERROR(GOOGLEFINANCE(A670,""trail_dividend""),"""")"),"")</f>
        <v/>
      </c>
      <c r="D670" s="3" t="str">
        <f>IFERROR(__xludf.DUMMYFUNCTION("IFERROR(INDEX(IMPORTXML(""https://finance.yahoo.com/quote/""&amp;A670, ""//td[@data-test='EX_DIVIDEND_DATE-value']""),1),"""")"),"")</f>
        <v/>
      </c>
    </row>
    <row r="671" ht="15.75" customHeight="1">
      <c r="B671" s="3" t="str">
        <f>IFERROR(__xludf.DUMMYFUNCTION("IFERROR(GOOGLEFINANCE(A671,""yield"")*100,"""")"),"")</f>
        <v/>
      </c>
      <c r="C671" s="3" t="str">
        <f>IFERROR(__xludf.DUMMYFUNCTION("IFERROR(GOOGLEFINANCE(A671,""trail_dividend""),"""")"),"")</f>
        <v/>
      </c>
      <c r="D671" s="3" t="str">
        <f>IFERROR(__xludf.DUMMYFUNCTION("IFERROR(INDEX(IMPORTXML(""https://finance.yahoo.com/quote/""&amp;A671, ""//td[@data-test='EX_DIVIDEND_DATE-value']""),1),"""")"),"")</f>
        <v/>
      </c>
    </row>
    <row r="672" ht="15.75" customHeight="1">
      <c r="B672" s="3" t="str">
        <f>IFERROR(__xludf.DUMMYFUNCTION("IFERROR(GOOGLEFINANCE(A672,""yield"")*100,"""")"),"")</f>
        <v/>
      </c>
      <c r="C672" s="3" t="str">
        <f>IFERROR(__xludf.DUMMYFUNCTION("IFERROR(GOOGLEFINANCE(A672,""trail_dividend""),"""")"),"")</f>
        <v/>
      </c>
      <c r="D672" s="3" t="str">
        <f>IFERROR(__xludf.DUMMYFUNCTION("IFERROR(INDEX(IMPORTXML(""https://finance.yahoo.com/quote/""&amp;A672, ""//td[@data-test='EX_DIVIDEND_DATE-value']""),1),"""")"),"")</f>
        <v/>
      </c>
    </row>
    <row r="673" ht="15.75" customHeight="1">
      <c r="B673" s="3" t="str">
        <f>IFERROR(__xludf.DUMMYFUNCTION("IFERROR(GOOGLEFINANCE(A673,""yield"")*100,"""")"),"")</f>
        <v/>
      </c>
      <c r="C673" s="3" t="str">
        <f>IFERROR(__xludf.DUMMYFUNCTION("IFERROR(GOOGLEFINANCE(A673,""trail_dividend""),"""")"),"")</f>
        <v/>
      </c>
      <c r="D673" s="3" t="str">
        <f>IFERROR(__xludf.DUMMYFUNCTION("IFERROR(INDEX(IMPORTXML(""https://finance.yahoo.com/quote/""&amp;A673, ""//td[@data-test='EX_DIVIDEND_DATE-value']""),1),"""")"),"")</f>
        <v/>
      </c>
    </row>
    <row r="674" ht="15.75" customHeight="1">
      <c r="B674" s="3" t="str">
        <f>IFERROR(__xludf.DUMMYFUNCTION("IFERROR(GOOGLEFINANCE(A674,""yield"")*100,"""")"),"")</f>
        <v/>
      </c>
      <c r="C674" s="3" t="str">
        <f>IFERROR(__xludf.DUMMYFUNCTION("IFERROR(GOOGLEFINANCE(A674,""trail_dividend""),"""")"),"")</f>
        <v/>
      </c>
      <c r="D674" s="3" t="str">
        <f>IFERROR(__xludf.DUMMYFUNCTION("IFERROR(INDEX(IMPORTXML(""https://finance.yahoo.com/quote/""&amp;A674, ""//td[@data-test='EX_DIVIDEND_DATE-value']""),1),"""")"),"")</f>
        <v/>
      </c>
    </row>
    <row r="675" ht="15.75" customHeight="1">
      <c r="B675" s="3" t="str">
        <f>IFERROR(__xludf.DUMMYFUNCTION("IFERROR(GOOGLEFINANCE(A675,""yield"")*100,"""")"),"")</f>
        <v/>
      </c>
      <c r="C675" s="3" t="str">
        <f>IFERROR(__xludf.DUMMYFUNCTION("IFERROR(GOOGLEFINANCE(A675,""trail_dividend""),"""")"),"")</f>
        <v/>
      </c>
      <c r="D675" s="3" t="str">
        <f>IFERROR(__xludf.DUMMYFUNCTION("IFERROR(INDEX(IMPORTXML(""https://finance.yahoo.com/quote/""&amp;A675, ""//td[@data-test='EX_DIVIDEND_DATE-value']""),1),"""")"),"")</f>
        <v/>
      </c>
    </row>
    <row r="676" ht="15.75" customHeight="1">
      <c r="B676" s="3" t="str">
        <f>IFERROR(__xludf.DUMMYFUNCTION("IFERROR(GOOGLEFINANCE(A676,""yield"")*100,"""")"),"")</f>
        <v/>
      </c>
      <c r="C676" s="3" t="str">
        <f>IFERROR(__xludf.DUMMYFUNCTION("IFERROR(GOOGLEFINANCE(A676,""trail_dividend""),"""")"),"")</f>
        <v/>
      </c>
      <c r="D676" s="3" t="str">
        <f>IFERROR(__xludf.DUMMYFUNCTION("IFERROR(INDEX(IMPORTXML(""https://finance.yahoo.com/quote/""&amp;A676, ""//td[@data-test='EX_DIVIDEND_DATE-value']""),1),"""")"),"")</f>
        <v/>
      </c>
    </row>
    <row r="677" ht="15.75" customHeight="1">
      <c r="B677" s="3" t="str">
        <f>IFERROR(__xludf.DUMMYFUNCTION("IFERROR(GOOGLEFINANCE(A677,""yield"")*100,"""")"),"")</f>
        <v/>
      </c>
      <c r="C677" s="3" t="str">
        <f>IFERROR(__xludf.DUMMYFUNCTION("IFERROR(GOOGLEFINANCE(A677,""trail_dividend""),"""")"),"")</f>
        <v/>
      </c>
      <c r="D677" s="3" t="str">
        <f>IFERROR(__xludf.DUMMYFUNCTION("IFERROR(INDEX(IMPORTXML(""https://finance.yahoo.com/quote/""&amp;A677, ""//td[@data-test='EX_DIVIDEND_DATE-value']""),1),"""")"),"")</f>
        <v/>
      </c>
    </row>
    <row r="678" ht="15.75" customHeight="1">
      <c r="B678" s="3" t="str">
        <f>IFERROR(__xludf.DUMMYFUNCTION("IFERROR(GOOGLEFINANCE(A678,""yield"")*100,"""")"),"")</f>
        <v/>
      </c>
      <c r="C678" s="3" t="str">
        <f>IFERROR(__xludf.DUMMYFUNCTION("IFERROR(GOOGLEFINANCE(A678,""trail_dividend""),"""")"),"")</f>
        <v/>
      </c>
      <c r="D678" s="3" t="str">
        <f>IFERROR(__xludf.DUMMYFUNCTION("IFERROR(INDEX(IMPORTXML(""https://finance.yahoo.com/quote/""&amp;A678, ""//td[@data-test='EX_DIVIDEND_DATE-value']""),1),"""")"),"")</f>
        <v/>
      </c>
    </row>
    <row r="679" ht="15.75" customHeight="1">
      <c r="B679" s="3" t="str">
        <f>IFERROR(__xludf.DUMMYFUNCTION("IFERROR(GOOGLEFINANCE(A679,""yield"")*100,"""")"),"")</f>
        <v/>
      </c>
      <c r="C679" s="3" t="str">
        <f>IFERROR(__xludf.DUMMYFUNCTION("IFERROR(GOOGLEFINANCE(A679,""trail_dividend""),"""")"),"")</f>
        <v/>
      </c>
      <c r="D679" s="3" t="str">
        <f>IFERROR(__xludf.DUMMYFUNCTION("IFERROR(INDEX(IMPORTXML(""https://finance.yahoo.com/quote/""&amp;A679, ""//td[@data-test='EX_DIVIDEND_DATE-value']""),1),"""")"),"")</f>
        <v/>
      </c>
    </row>
    <row r="680" ht="15.75" customHeight="1">
      <c r="B680" s="3" t="str">
        <f>IFERROR(__xludf.DUMMYFUNCTION("IFERROR(GOOGLEFINANCE(A680,""yield"")*100,"""")"),"")</f>
        <v/>
      </c>
      <c r="C680" s="3" t="str">
        <f>IFERROR(__xludf.DUMMYFUNCTION("IFERROR(GOOGLEFINANCE(A680,""trail_dividend""),"""")"),"")</f>
        <v/>
      </c>
      <c r="D680" s="3" t="str">
        <f>IFERROR(__xludf.DUMMYFUNCTION("IFERROR(INDEX(IMPORTXML(""https://finance.yahoo.com/quote/""&amp;A680, ""//td[@data-test='EX_DIVIDEND_DATE-value']""),1),"""")"),"")</f>
        <v/>
      </c>
    </row>
    <row r="681" ht="15.75" customHeight="1">
      <c r="B681" s="3" t="str">
        <f>IFERROR(__xludf.DUMMYFUNCTION("IFERROR(GOOGLEFINANCE(A681,""yield"")*100,"""")"),"")</f>
        <v/>
      </c>
      <c r="C681" s="3" t="str">
        <f>IFERROR(__xludf.DUMMYFUNCTION("IFERROR(GOOGLEFINANCE(A681,""trail_dividend""),"""")"),"")</f>
        <v/>
      </c>
      <c r="D681" s="3" t="str">
        <f>IFERROR(__xludf.DUMMYFUNCTION("IFERROR(INDEX(IMPORTXML(""https://finance.yahoo.com/quote/""&amp;A681, ""//td[@data-test='EX_DIVIDEND_DATE-value']""),1),"""")"),"")</f>
        <v/>
      </c>
    </row>
    <row r="682" ht="15.75" customHeight="1">
      <c r="B682" s="3" t="str">
        <f>IFERROR(__xludf.DUMMYFUNCTION("IFERROR(GOOGLEFINANCE(A682,""yield"")*100,"""")"),"")</f>
        <v/>
      </c>
      <c r="C682" s="3" t="str">
        <f>IFERROR(__xludf.DUMMYFUNCTION("IFERROR(GOOGLEFINANCE(A682,""trail_dividend""),"""")"),"")</f>
        <v/>
      </c>
      <c r="D682" s="3" t="str">
        <f>IFERROR(__xludf.DUMMYFUNCTION("IFERROR(INDEX(IMPORTXML(""https://finance.yahoo.com/quote/""&amp;A682, ""//td[@data-test='EX_DIVIDEND_DATE-value']""),1),"""")"),"")</f>
        <v/>
      </c>
    </row>
    <row r="683" ht="15.75" customHeight="1">
      <c r="B683" s="3" t="str">
        <f>IFERROR(__xludf.DUMMYFUNCTION("IFERROR(GOOGLEFINANCE(A683,""yield"")*100,"""")"),"")</f>
        <v/>
      </c>
      <c r="C683" s="3" t="str">
        <f>IFERROR(__xludf.DUMMYFUNCTION("IFERROR(GOOGLEFINANCE(A683,""trail_dividend""),"""")"),"")</f>
        <v/>
      </c>
      <c r="D683" s="3" t="str">
        <f>IFERROR(__xludf.DUMMYFUNCTION("IFERROR(INDEX(IMPORTXML(""https://finance.yahoo.com/quote/""&amp;A683, ""//td[@data-test='EX_DIVIDEND_DATE-value']""),1),"""")"),"")</f>
        <v/>
      </c>
    </row>
    <row r="684" ht="15.75" customHeight="1">
      <c r="B684" s="3" t="str">
        <f>IFERROR(__xludf.DUMMYFUNCTION("IFERROR(GOOGLEFINANCE(A684,""yield"")*100,"""")"),"")</f>
        <v/>
      </c>
      <c r="C684" s="3" t="str">
        <f>IFERROR(__xludf.DUMMYFUNCTION("IFERROR(GOOGLEFINANCE(A684,""trail_dividend""),"""")"),"")</f>
        <v/>
      </c>
      <c r="D684" s="3" t="str">
        <f>IFERROR(__xludf.DUMMYFUNCTION("IFERROR(INDEX(IMPORTXML(""https://finance.yahoo.com/quote/""&amp;A684, ""//td[@data-test='EX_DIVIDEND_DATE-value']""),1),"""")"),"")</f>
        <v/>
      </c>
    </row>
    <row r="685" ht="15.75" customHeight="1">
      <c r="B685" s="3" t="str">
        <f>IFERROR(__xludf.DUMMYFUNCTION("IFERROR(GOOGLEFINANCE(A685,""yield"")*100,"""")"),"")</f>
        <v/>
      </c>
      <c r="C685" s="3" t="str">
        <f>IFERROR(__xludf.DUMMYFUNCTION("IFERROR(GOOGLEFINANCE(A685,""trail_dividend""),"""")"),"")</f>
        <v/>
      </c>
      <c r="D685" s="3" t="str">
        <f>IFERROR(__xludf.DUMMYFUNCTION("IFERROR(INDEX(IMPORTXML(""https://finance.yahoo.com/quote/""&amp;A685, ""//td[@data-test='EX_DIVIDEND_DATE-value']""),1),"""")"),"")</f>
        <v/>
      </c>
    </row>
    <row r="686" ht="15.75" customHeight="1">
      <c r="B686" s="3" t="str">
        <f>IFERROR(__xludf.DUMMYFUNCTION("IFERROR(GOOGLEFINANCE(A686,""yield"")*100,"""")"),"")</f>
        <v/>
      </c>
      <c r="C686" s="3" t="str">
        <f>IFERROR(__xludf.DUMMYFUNCTION("IFERROR(GOOGLEFINANCE(A686,""trail_dividend""),"""")"),"")</f>
        <v/>
      </c>
      <c r="D686" s="3" t="str">
        <f>IFERROR(__xludf.DUMMYFUNCTION("IFERROR(INDEX(IMPORTXML(""https://finance.yahoo.com/quote/""&amp;A686, ""//td[@data-test='EX_DIVIDEND_DATE-value']""),1),"""")"),"")</f>
        <v/>
      </c>
    </row>
    <row r="687" ht="15.75" customHeight="1">
      <c r="B687" s="3" t="str">
        <f>IFERROR(__xludf.DUMMYFUNCTION("IFERROR(GOOGLEFINANCE(A687,""yield"")*100,"""")"),"")</f>
        <v/>
      </c>
      <c r="C687" s="3" t="str">
        <f>IFERROR(__xludf.DUMMYFUNCTION("IFERROR(GOOGLEFINANCE(A687,""trail_dividend""),"""")"),"")</f>
        <v/>
      </c>
      <c r="D687" s="3" t="str">
        <f>IFERROR(__xludf.DUMMYFUNCTION("IFERROR(INDEX(IMPORTXML(""https://finance.yahoo.com/quote/""&amp;A687, ""//td[@data-test='EX_DIVIDEND_DATE-value']""),1),"""")"),"")</f>
        <v/>
      </c>
    </row>
    <row r="688" ht="15.75" customHeight="1">
      <c r="B688" s="3" t="str">
        <f>IFERROR(__xludf.DUMMYFUNCTION("IFERROR(GOOGLEFINANCE(A688,""yield"")*100,"""")"),"")</f>
        <v/>
      </c>
      <c r="C688" s="3" t="str">
        <f>IFERROR(__xludf.DUMMYFUNCTION("IFERROR(GOOGLEFINANCE(A688,""trail_dividend""),"""")"),"")</f>
        <v/>
      </c>
      <c r="D688" s="3" t="str">
        <f>IFERROR(__xludf.DUMMYFUNCTION("IFERROR(INDEX(IMPORTXML(""https://finance.yahoo.com/quote/""&amp;A688, ""//td[@data-test='EX_DIVIDEND_DATE-value']""),1),"""")"),"")</f>
        <v/>
      </c>
    </row>
    <row r="689" ht="15.75" customHeight="1">
      <c r="B689" s="3" t="str">
        <f>IFERROR(__xludf.DUMMYFUNCTION("IFERROR(GOOGLEFINANCE(A689,""yield"")*100,"""")"),"")</f>
        <v/>
      </c>
      <c r="C689" s="3" t="str">
        <f>IFERROR(__xludf.DUMMYFUNCTION("IFERROR(GOOGLEFINANCE(A689,""trail_dividend""),"""")"),"")</f>
        <v/>
      </c>
      <c r="D689" s="3" t="str">
        <f>IFERROR(__xludf.DUMMYFUNCTION("IFERROR(INDEX(IMPORTXML(""https://finance.yahoo.com/quote/""&amp;A689, ""//td[@data-test='EX_DIVIDEND_DATE-value']""),1),"""")"),"")</f>
        <v/>
      </c>
    </row>
    <row r="690" ht="15.75" customHeight="1">
      <c r="B690" s="3" t="str">
        <f>IFERROR(__xludf.DUMMYFUNCTION("IFERROR(GOOGLEFINANCE(A690,""yield"")*100,"""")"),"")</f>
        <v/>
      </c>
      <c r="C690" s="3" t="str">
        <f>IFERROR(__xludf.DUMMYFUNCTION("IFERROR(GOOGLEFINANCE(A690,""trail_dividend""),"""")"),"")</f>
        <v/>
      </c>
      <c r="D690" s="3" t="str">
        <f>IFERROR(__xludf.DUMMYFUNCTION("IFERROR(INDEX(IMPORTXML(""https://finance.yahoo.com/quote/""&amp;A690, ""//td[@data-test='EX_DIVIDEND_DATE-value']""),1),"""")"),"")</f>
        <v/>
      </c>
    </row>
    <row r="691" ht="15.75" customHeight="1">
      <c r="B691" s="3" t="str">
        <f>IFERROR(__xludf.DUMMYFUNCTION("IFERROR(GOOGLEFINANCE(A691,""yield"")*100,"""")"),"")</f>
        <v/>
      </c>
      <c r="C691" s="3" t="str">
        <f>IFERROR(__xludf.DUMMYFUNCTION("IFERROR(GOOGLEFINANCE(A691,""trail_dividend""),"""")"),"")</f>
        <v/>
      </c>
      <c r="D691" s="3" t="str">
        <f>IFERROR(__xludf.DUMMYFUNCTION("IFERROR(INDEX(IMPORTXML(""https://finance.yahoo.com/quote/""&amp;A691, ""//td[@data-test='EX_DIVIDEND_DATE-value']""),1),"""")"),"")</f>
        <v/>
      </c>
    </row>
    <row r="692" ht="15.75" customHeight="1">
      <c r="B692" s="3" t="str">
        <f>IFERROR(__xludf.DUMMYFUNCTION("IFERROR(GOOGLEFINANCE(A692,""yield"")*100,"""")"),"")</f>
        <v/>
      </c>
      <c r="C692" s="3" t="str">
        <f>IFERROR(__xludf.DUMMYFUNCTION("IFERROR(GOOGLEFINANCE(A692,""trail_dividend""),"""")"),"")</f>
        <v/>
      </c>
      <c r="D692" s="3" t="str">
        <f>IFERROR(__xludf.DUMMYFUNCTION("IFERROR(INDEX(IMPORTXML(""https://finance.yahoo.com/quote/""&amp;A692, ""//td[@data-test='EX_DIVIDEND_DATE-value']""),1),"""")"),"")</f>
        <v/>
      </c>
    </row>
    <row r="693" ht="15.75" customHeight="1">
      <c r="B693" s="3" t="str">
        <f>IFERROR(__xludf.DUMMYFUNCTION("IFERROR(GOOGLEFINANCE(A693,""yield"")*100,"""")"),"")</f>
        <v/>
      </c>
      <c r="C693" s="3" t="str">
        <f>IFERROR(__xludf.DUMMYFUNCTION("IFERROR(GOOGLEFINANCE(A693,""trail_dividend""),"""")"),"")</f>
        <v/>
      </c>
      <c r="D693" s="3" t="str">
        <f>IFERROR(__xludf.DUMMYFUNCTION("IFERROR(INDEX(IMPORTXML(""https://finance.yahoo.com/quote/""&amp;A693, ""//td[@data-test='EX_DIVIDEND_DATE-value']""),1),"""")"),"")</f>
        <v/>
      </c>
    </row>
    <row r="694" ht="15.75" customHeight="1">
      <c r="B694" s="3" t="str">
        <f>IFERROR(__xludf.DUMMYFUNCTION("IFERROR(GOOGLEFINANCE(A694,""yield"")*100,"""")"),"")</f>
        <v/>
      </c>
      <c r="C694" s="3" t="str">
        <f>IFERROR(__xludf.DUMMYFUNCTION("IFERROR(GOOGLEFINANCE(A694,""trail_dividend""),"""")"),"")</f>
        <v/>
      </c>
      <c r="D694" s="3" t="str">
        <f>IFERROR(__xludf.DUMMYFUNCTION("IFERROR(INDEX(IMPORTXML(""https://finance.yahoo.com/quote/""&amp;A694, ""//td[@data-test='EX_DIVIDEND_DATE-value']""),1),"""")"),"")</f>
        <v/>
      </c>
    </row>
    <row r="695" ht="15.75" customHeight="1">
      <c r="B695" s="3" t="str">
        <f>IFERROR(__xludf.DUMMYFUNCTION("IFERROR(GOOGLEFINANCE(A695,""yield"")*100,"""")"),"")</f>
        <v/>
      </c>
      <c r="C695" s="3" t="str">
        <f>IFERROR(__xludf.DUMMYFUNCTION("IFERROR(GOOGLEFINANCE(A695,""trail_dividend""),"""")"),"")</f>
        <v/>
      </c>
      <c r="D695" s="3" t="str">
        <f>IFERROR(__xludf.DUMMYFUNCTION("IFERROR(INDEX(IMPORTXML(""https://finance.yahoo.com/quote/""&amp;A695, ""//td[@data-test='EX_DIVIDEND_DATE-value']""),1),"""")"),"")</f>
        <v/>
      </c>
    </row>
    <row r="696" ht="15.75" customHeight="1">
      <c r="B696" s="3" t="str">
        <f>IFERROR(__xludf.DUMMYFUNCTION("IFERROR(GOOGLEFINANCE(A696,""yield"")*100,"""")"),"")</f>
        <v/>
      </c>
      <c r="C696" s="3" t="str">
        <f>IFERROR(__xludf.DUMMYFUNCTION("IFERROR(GOOGLEFINANCE(A696,""trail_dividend""),"""")"),"")</f>
        <v/>
      </c>
      <c r="D696" s="3" t="str">
        <f>IFERROR(__xludf.DUMMYFUNCTION("IFERROR(INDEX(IMPORTXML(""https://finance.yahoo.com/quote/""&amp;A696, ""//td[@data-test='EX_DIVIDEND_DATE-value']""),1),"""")"),"")</f>
        <v/>
      </c>
    </row>
    <row r="697" ht="15.75" customHeight="1">
      <c r="B697" s="3" t="str">
        <f>IFERROR(__xludf.DUMMYFUNCTION("IFERROR(GOOGLEFINANCE(A697,""yield"")*100,"""")"),"")</f>
        <v/>
      </c>
      <c r="C697" s="3" t="str">
        <f>IFERROR(__xludf.DUMMYFUNCTION("IFERROR(GOOGLEFINANCE(A697,""trail_dividend""),"""")"),"")</f>
        <v/>
      </c>
      <c r="D697" s="3" t="str">
        <f>IFERROR(__xludf.DUMMYFUNCTION("IFERROR(INDEX(IMPORTXML(""https://finance.yahoo.com/quote/""&amp;A697, ""//td[@data-test='EX_DIVIDEND_DATE-value']""),1),"""")"),"")</f>
        <v/>
      </c>
    </row>
    <row r="698" ht="15.75" customHeight="1">
      <c r="B698" s="3" t="str">
        <f>IFERROR(__xludf.DUMMYFUNCTION("IFERROR(GOOGLEFINANCE(A698,""yield"")*100,"""")"),"")</f>
        <v/>
      </c>
      <c r="C698" s="3" t="str">
        <f>IFERROR(__xludf.DUMMYFUNCTION("IFERROR(GOOGLEFINANCE(A698,""trail_dividend""),"""")"),"")</f>
        <v/>
      </c>
      <c r="D698" s="3" t="str">
        <f>IFERROR(__xludf.DUMMYFUNCTION("IFERROR(INDEX(IMPORTXML(""https://finance.yahoo.com/quote/""&amp;A698, ""//td[@data-test='EX_DIVIDEND_DATE-value']""),1),"""")"),"")</f>
        <v/>
      </c>
    </row>
    <row r="699" ht="15.75" customHeight="1">
      <c r="B699" s="3" t="str">
        <f>IFERROR(__xludf.DUMMYFUNCTION("IFERROR(GOOGLEFINANCE(A699,""yield"")*100,"""")"),"")</f>
        <v/>
      </c>
      <c r="C699" s="3" t="str">
        <f>IFERROR(__xludf.DUMMYFUNCTION("IFERROR(GOOGLEFINANCE(A699,""trail_dividend""),"""")"),"")</f>
        <v/>
      </c>
      <c r="D699" s="3" t="str">
        <f>IFERROR(__xludf.DUMMYFUNCTION("IFERROR(INDEX(IMPORTXML(""https://finance.yahoo.com/quote/""&amp;A699, ""//td[@data-test='EX_DIVIDEND_DATE-value']""),1),"""")"),"")</f>
        <v/>
      </c>
    </row>
    <row r="700" ht="15.75" customHeight="1">
      <c r="B700" s="3" t="str">
        <f>IFERROR(__xludf.DUMMYFUNCTION("IFERROR(GOOGLEFINANCE(A700,""yield"")*100,"""")"),"")</f>
        <v/>
      </c>
      <c r="C700" s="3" t="str">
        <f>IFERROR(__xludf.DUMMYFUNCTION("IFERROR(GOOGLEFINANCE(A700,""trail_dividend""),"""")"),"")</f>
        <v/>
      </c>
      <c r="D700" s="3" t="str">
        <f>IFERROR(__xludf.DUMMYFUNCTION("IFERROR(INDEX(IMPORTXML(""https://finance.yahoo.com/quote/""&amp;A700, ""//td[@data-test='EX_DIVIDEND_DATE-value']""),1),"""")"),"")</f>
        <v/>
      </c>
    </row>
    <row r="701" ht="15.75" customHeight="1">
      <c r="B701" s="3" t="str">
        <f>IFERROR(__xludf.DUMMYFUNCTION("IFERROR(GOOGLEFINANCE(A701,""yield"")*100,"""")"),"")</f>
        <v/>
      </c>
      <c r="C701" s="3" t="str">
        <f>IFERROR(__xludf.DUMMYFUNCTION("IFERROR(GOOGLEFINANCE(A701,""trail_dividend""),"""")"),"")</f>
        <v/>
      </c>
      <c r="D701" s="3" t="str">
        <f>IFERROR(__xludf.DUMMYFUNCTION("IFERROR(INDEX(IMPORTXML(""https://finance.yahoo.com/quote/""&amp;A701, ""//td[@data-test='EX_DIVIDEND_DATE-value']""),1),"""")"),"")</f>
        <v/>
      </c>
    </row>
    <row r="702" ht="15.75" customHeight="1">
      <c r="B702" s="3" t="str">
        <f>IFERROR(__xludf.DUMMYFUNCTION("IFERROR(GOOGLEFINANCE(A702,""yield"")*100,"""")"),"")</f>
        <v/>
      </c>
      <c r="C702" s="3" t="str">
        <f>IFERROR(__xludf.DUMMYFUNCTION("IFERROR(GOOGLEFINANCE(A702,""trail_dividend""),"""")"),"")</f>
        <v/>
      </c>
      <c r="D702" s="3" t="str">
        <f>IFERROR(__xludf.DUMMYFUNCTION("IFERROR(INDEX(IMPORTXML(""https://finance.yahoo.com/quote/""&amp;A702, ""//td[@data-test='EX_DIVIDEND_DATE-value']""),1),"""")"),"")</f>
        <v/>
      </c>
    </row>
    <row r="703" ht="15.75" customHeight="1">
      <c r="B703" s="3" t="str">
        <f>IFERROR(__xludf.DUMMYFUNCTION("IFERROR(GOOGLEFINANCE(A703,""yield"")*100,"""")"),"")</f>
        <v/>
      </c>
      <c r="C703" s="3" t="str">
        <f>IFERROR(__xludf.DUMMYFUNCTION("IFERROR(GOOGLEFINANCE(A703,""trail_dividend""),"""")"),"")</f>
        <v/>
      </c>
      <c r="D703" s="3" t="str">
        <f>IFERROR(__xludf.DUMMYFUNCTION("IFERROR(INDEX(IMPORTXML(""https://finance.yahoo.com/quote/""&amp;A703, ""//td[@data-test='EX_DIVIDEND_DATE-value']""),1),"""")"),"")</f>
        <v/>
      </c>
    </row>
    <row r="704" ht="15.75" customHeight="1">
      <c r="B704" s="3" t="str">
        <f>IFERROR(__xludf.DUMMYFUNCTION("IFERROR(GOOGLEFINANCE(A704,""yield"")*100,"""")"),"")</f>
        <v/>
      </c>
      <c r="C704" s="3" t="str">
        <f>IFERROR(__xludf.DUMMYFUNCTION("IFERROR(GOOGLEFINANCE(A704,""trail_dividend""),"""")"),"")</f>
        <v/>
      </c>
      <c r="D704" s="3" t="str">
        <f>IFERROR(__xludf.DUMMYFUNCTION("IFERROR(INDEX(IMPORTXML(""https://finance.yahoo.com/quote/""&amp;A704, ""//td[@data-test='EX_DIVIDEND_DATE-value']""),1),"""")"),"")</f>
        <v/>
      </c>
    </row>
    <row r="705" ht="15.75" customHeight="1">
      <c r="B705" s="3" t="str">
        <f>IFERROR(__xludf.DUMMYFUNCTION("IFERROR(GOOGLEFINANCE(A705,""yield"")*100,"""")"),"")</f>
        <v/>
      </c>
      <c r="C705" s="3" t="str">
        <f>IFERROR(__xludf.DUMMYFUNCTION("IFERROR(GOOGLEFINANCE(A705,""trail_dividend""),"""")"),"")</f>
        <v/>
      </c>
      <c r="D705" s="3" t="str">
        <f>IFERROR(__xludf.DUMMYFUNCTION("IFERROR(INDEX(IMPORTXML(""https://finance.yahoo.com/quote/""&amp;A705, ""//td[@data-test='EX_DIVIDEND_DATE-value']""),1),"""")"),"")</f>
        <v/>
      </c>
    </row>
    <row r="706" ht="15.75" customHeight="1">
      <c r="B706" s="3" t="str">
        <f>IFERROR(__xludf.DUMMYFUNCTION("IFERROR(GOOGLEFINANCE(A706,""yield"")*100,"""")"),"")</f>
        <v/>
      </c>
      <c r="C706" s="3" t="str">
        <f>IFERROR(__xludf.DUMMYFUNCTION("IFERROR(GOOGLEFINANCE(A706,""trail_dividend""),"""")"),"")</f>
        <v/>
      </c>
      <c r="D706" s="3" t="str">
        <f>IFERROR(__xludf.DUMMYFUNCTION("IFERROR(INDEX(IMPORTXML(""https://finance.yahoo.com/quote/""&amp;A706, ""//td[@data-test='EX_DIVIDEND_DATE-value']""),1),"""")"),"")</f>
        <v/>
      </c>
    </row>
    <row r="707" ht="15.75" customHeight="1">
      <c r="B707" s="3" t="str">
        <f>IFERROR(__xludf.DUMMYFUNCTION("IFERROR(GOOGLEFINANCE(A707,""yield"")*100,"""")"),"")</f>
        <v/>
      </c>
      <c r="C707" s="3" t="str">
        <f>IFERROR(__xludf.DUMMYFUNCTION("IFERROR(GOOGLEFINANCE(A707,""trail_dividend""),"""")"),"")</f>
        <v/>
      </c>
      <c r="D707" s="3" t="str">
        <f>IFERROR(__xludf.DUMMYFUNCTION("IFERROR(INDEX(IMPORTXML(""https://finance.yahoo.com/quote/""&amp;A707, ""//td[@data-test='EX_DIVIDEND_DATE-value']""),1),"""")"),"")</f>
        <v/>
      </c>
    </row>
    <row r="708" ht="15.75" customHeight="1">
      <c r="B708" s="3" t="str">
        <f>IFERROR(__xludf.DUMMYFUNCTION("IFERROR(GOOGLEFINANCE(A708,""yield"")*100,"""")"),"")</f>
        <v/>
      </c>
      <c r="C708" s="3" t="str">
        <f>IFERROR(__xludf.DUMMYFUNCTION("IFERROR(GOOGLEFINANCE(A708,""trail_dividend""),"""")"),"")</f>
        <v/>
      </c>
      <c r="D708" s="3" t="str">
        <f>IFERROR(__xludf.DUMMYFUNCTION("IFERROR(INDEX(IMPORTXML(""https://finance.yahoo.com/quote/""&amp;A708, ""//td[@data-test='EX_DIVIDEND_DATE-value']""),1),"""")"),"")</f>
        <v/>
      </c>
    </row>
    <row r="709" ht="15.75" customHeight="1">
      <c r="B709" s="3" t="str">
        <f>IFERROR(__xludf.DUMMYFUNCTION("IFERROR(GOOGLEFINANCE(A709,""yield"")*100,"""")"),"")</f>
        <v/>
      </c>
      <c r="C709" s="3" t="str">
        <f>IFERROR(__xludf.DUMMYFUNCTION("IFERROR(GOOGLEFINANCE(A709,""trail_dividend""),"""")"),"")</f>
        <v/>
      </c>
      <c r="D709" s="3" t="str">
        <f>IFERROR(__xludf.DUMMYFUNCTION("IFERROR(INDEX(IMPORTXML(""https://finance.yahoo.com/quote/""&amp;A709, ""//td[@data-test='EX_DIVIDEND_DATE-value']""),1),"""")"),"")</f>
        <v/>
      </c>
    </row>
    <row r="710" ht="15.75" customHeight="1">
      <c r="B710" s="3" t="str">
        <f>IFERROR(__xludf.DUMMYFUNCTION("IFERROR(GOOGLEFINANCE(A710,""yield"")*100,"""")"),"")</f>
        <v/>
      </c>
      <c r="C710" s="3" t="str">
        <f>IFERROR(__xludf.DUMMYFUNCTION("IFERROR(GOOGLEFINANCE(A710,""trail_dividend""),"""")"),"")</f>
        <v/>
      </c>
      <c r="D710" s="3" t="str">
        <f>IFERROR(__xludf.DUMMYFUNCTION("IFERROR(INDEX(IMPORTXML(""https://finance.yahoo.com/quote/""&amp;A710, ""//td[@data-test='EX_DIVIDEND_DATE-value']""),1),"""")"),"")</f>
        <v/>
      </c>
    </row>
    <row r="711" ht="15.75" customHeight="1">
      <c r="B711" s="3" t="str">
        <f>IFERROR(__xludf.DUMMYFUNCTION("IFERROR(GOOGLEFINANCE(A711,""yield"")*100,"""")"),"")</f>
        <v/>
      </c>
      <c r="C711" s="3" t="str">
        <f>IFERROR(__xludf.DUMMYFUNCTION("IFERROR(GOOGLEFINANCE(A711,""trail_dividend""),"""")"),"")</f>
        <v/>
      </c>
      <c r="D711" s="3" t="str">
        <f>IFERROR(__xludf.DUMMYFUNCTION("IFERROR(INDEX(IMPORTXML(""https://finance.yahoo.com/quote/""&amp;A711, ""//td[@data-test='EX_DIVIDEND_DATE-value']""),1),"""")"),"")</f>
        <v/>
      </c>
    </row>
    <row r="712" ht="15.75" customHeight="1">
      <c r="B712" s="3" t="str">
        <f>IFERROR(__xludf.DUMMYFUNCTION("IFERROR(GOOGLEFINANCE(A712,""yield"")*100,"""")"),"")</f>
        <v/>
      </c>
      <c r="C712" s="3" t="str">
        <f>IFERROR(__xludf.DUMMYFUNCTION("IFERROR(GOOGLEFINANCE(A712,""trail_dividend""),"""")"),"")</f>
        <v/>
      </c>
      <c r="D712" s="3" t="str">
        <f>IFERROR(__xludf.DUMMYFUNCTION("IFERROR(INDEX(IMPORTXML(""https://finance.yahoo.com/quote/""&amp;A712, ""//td[@data-test='EX_DIVIDEND_DATE-value']""),1),"""")"),"")</f>
        <v/>
      </c>
    </row>
    <row r="713" ht="15.75" customHeight="1">
      <c r="B713" s="3" t="str">
        <f>IFERROR(__xludf.DUMMYFUNCTION("IFERROR(GOOGLEFINANCE(A713,""yield"")*100,"""")"),"")</f>
        <v/>
      </c>
      <c r="C713" s="3" t="str">
        <f>IFERROR(__xludf.DUMMYFUNCTION("IFERROR(GOOGLEFINANCE(A713,""trail_dividend""),"""")"),"")</f>
        <v/>
      </c>
      <c r="D713" s="3" t="str">
        <f>IFERROR(__xludf.DUMMYFUNCTION("IFERROR(INDEX(IMPORTXML(""https://finance.yahoo.com/quote/""&amp;A713, ""//td[@data-test='EX_DIVIDEND_DATE-value']""),1),"""")"),"")</f>
        <v/>
      </c>
    </row>
    <row r="714" ht="15.75" customHeight="1">
      <c r="B714" s="3" t="str">
        <f>IFERROR(__xludf.DUMMYFUNCTION("IFERROR(GOOGLEFINANCE(A714,""yield"")*100,"""")"),"")</f>
        <v/>
      </c>
      <c r="C714" s="3" t="str">
        <f>IFERROR(__xludf.DUMMYFUNCTION("IFERROR(GOOGLEFINANCE(A714,""trail_dividend""),"""")"),"")</f>
        <v/>
      </c>
      <c r="D714" s="3" t="str">
        <f>IFERROR(__xludf.DUMMYFUNCTION("IFERROR(INDEX(IMPORTXML(""https://finance.yahoo.com/quote/""&amp;A714, ""//td[@data-test='EX_DIVIDEND_DATE-value']""),1),"""")"),"")</f>
        <v/>
      </c>
    </row>
    <row r="715" ht="15.75" customHeight="1">
      <c r="B715" s="3" t="str">
        <f>IFERROR(__xludf.DUMMYFUNCTION("IFERROR(GOOGLEFINANCE(A715,""yield"")*100,"""")"),"")</f>
        <v/>
      </c>
      <c r="C715" s="3" t="str">
        <f>IFERROR(__xludf.DUMMYFUNCTION("IFERROR(GOOGLEFINANCE(A715,""trail_dividend""),"""")"),"")</f>
        <v/>
      </c>
      <c r="D715" s="3" t="str">
        <f>IFERROR(__xludf.DUMMYFUNCTION("IFERROR(INDEX(IMPORTXML(""https://finance.yahoo.com/quote/""&amp;A715, ""//td[@data-test='EX_DIVIDEND_DATE-value']""),1),"""")"),"")</f>
        <v/>
      </c>
    </row>
    <row r="716" ht="15.75" customHeight="1">
      <c r="B716" s="3" t="str">
        <f>IFERROR(__xludf.DUMMYFUNCTION("IFERROR(GOOGLEFINANCE(A716,""yield"")*100,"""")"),"")</f>
        <v/>
      </c>
      <c r="C716" s="3" t="str">
        <f>IFERROR(__xludf.DUMMYFUNCTION("IFERROR(GOOGLEFINANCE(A716,""trail_dividend""),"""")"),"")</f>
        <v/>
      </c>
      <c r="D716" s="3" t="str">
        <f>IFERROR(__xludf.DUMMYFUNCTION("IFERROR(INDEX(IMPORTXML(""https://finance.yahoo.com/quote/""&amp;A716, ""//td[@data-test='EX_DIVIDEND_DATE-value']""),1),"""")"),"")</f>
        <v/>
      </c>
    </row>
    <row r="717" ht="15.75" customHeight="1">
      <c r="B717" s="3" t="str">
        <f>IFERROR(__xludf.DUMMYFUNCTION("IFERROR(GOOGLEFINANCE(A717,""yield"")*100,"""")"),"")</f>
        <v/>
      </c>
      <c r="C717" s="3" t="str">
        <f>IFERROR(__xludf.DUMMYFUNCTION("IFERROR(GOOGLEFINANCE(A717,""trail_dividend""),"""")"),"")</f>
        <v/>
      </c>
      <c r="D717" s="3" t="str">
        <f>IFERROR(__xludf.DUMMYFUNCTION("IFERROR(INDEX(IMPORTXML(""https://finance.yahoo.com/quote/""&amp;A717, ""//td[@data-test='EX_DIVIDEND_DATE-value']""),1),"""")"),"")</f>
        <v/>
      </c>
    </row>
    <row r="718" ht="15.75" customHeight="1">
      <c r="B718" s="3" t="str">
        <f>IFERROR(__xludf.DUMMYFUNCTION("IFERROR(GOOGLEFINANCE(A718,""yield"")*100,"""")"),"")</f>
        <v/>
      </c>
      <c r="C718" s="3" t="str">
        <f>IFERROR(__xludf.DUMMYFUNCTION("IFERROR(GOOGLEFINANCE(A718,""trail_dividend""),"""")"),"")</f>
        <v/>
      </c>
      <c r="D718" s="3" t="str">
        <f>IFERROR(__xludf.DUMMYFUNCTION("IFERROR(INDEX(IMPORTXML(""https://finance.yahoo.com/quote/""&amp;A718, ""//td[@data-test='EX_DIVIDEND_DATE-value']""),1),"""")"),"")</f>
        <v/>
      </c>
    </row>
    <row r="719" ht="15.75" customHeight="1">
      <c r="B719" s="3" t="str">
        <f>IFERROR(__xludf.DUMMYFUNCTION("IFERROR(GOOGLEFINANCE(A719,""yield"")*100,"""")"),"")</f>
        <v/>
      </c>
      <c r="C719" s="3" t="str">
        <f>IFERROR(__xludf.DUMMYFUNCTION("IFERROR(GOOGLEFINANCE(A719,""trail_dividend""),"""")"),"")</f>
        <v/>
      </c>
      <c r="D719" s="3" t="str">
        <f>IFERROR(__xludf.DUMMYFUNCTION("IFERROR(INDEX(IMPORTXML(""https://finance.yahoo.com/quote/""&amp;A719, ""//td[@data-test='EX_DIVIDEND_DATE-value']""),1),"""")"),"")</f>
        <v/>
      </c>
    </row>
    <row r="720" ht="15.75" customHeight="1">
      <c r="B720" s="3" t="str">
        <f>IFERROR(__xludf.DUMMYFUNCTION("IFERROR(GOOGLEFINANCE(A720,""yield"")*100,"""")"),"")</f>
        <v/>
      </c>
      <c r="C720" s="3" t="str">
        <f>IFERROR(__xludf.DUMMYFUNCTION("IFERROR(GOOGLEFINANCE(A720,""trail_dividend""),"""")"),"")</f>
        <v/>
      </c>
      <c r="D720" s="3" t="str">
        <f>IFERROR(__xludf.DUMMYFUNCTION("IFERROR(INDEX(IMPORTXML(""https://finance.yahoo.com/quote/""&amp;A720, ""//td[@data-test='EX_DIVIDEND_DATE-value']""),1),"""")"),"")</f>
        <v/>
      </c>
    </row>
    <row r="721" ht="15.75" customHeight="1">
      <c r="B721" s="3" t="str">
        <f>IFERROR(__xludf.DUMMYFUNCTION("IFERROR(GOOGLEFINANCE(A721,""yield"")*100,"""")"),"")</f>
        <v/>
      </c>
      <c r="C721" s="3" t="str">
        <f>IFERROR(__xludf.DUMMYFUNCTION("IFERROR(GOOGLEFINANCE(A721,""trail_dividend""),"""")"),"")</f>
        <v/>
      </c>
      <c r="D721" s="3" t="str">
        <f>IFERROR(__xludf.DUMMYFUNCTION("IFERROR(INDEX(IMPORTXML(""https://finance.yahoo.com/quote/""&amp;A721, ""//td[@data-test='EX_DIVIDEND_DATE-value']""),1),"""")"),"")</f>
        <v/>
      </c>
    </row>
    <row r="722" ht="15.75" customHeight="1">
      <c r="B722" s="3" t="str">
        <f>IFERROR(__xludf.DUMMYFUNCTION("IFERROR(GOOGLEFINANCE(A722,""yield"")*100,"""")"),"")</f>
        <v/>
      </c>
      <c r="C722" s="3" t="str">
        <f>IFERROR(__xludf.DUMMYFUNCTION("IFERROR(GOOGLEFINANCE(A722,""trail_dividend""),"""")"),"")</f>
        <v/>
      </c>
      <c r="D722" s="3" t="str">
        <f>IFERROR(__xludf.DUMMYFUNCTION("IFERROR(INDEX(IMPORTXML(""https://finance.yahoo.com/quote/""&amp;A722, ""//td[@data-test='EX_DIVIDEND_DATE-value']""),1),"""")"),"")</f>
        <v/>
      </c>
    </row>
    <row r="723" ht="15.75" customHeight="1">
      <c r="B723" s="3" t="str">
        <f>IFERROR(__xludf.DUMMYFUNCTION("IFERROR(GOOGLEFINANCE(A723,""yield"")*100,"""")"),"")</f>
        <v/>
      </c>
      <c r="C723" s="3" t="str">
        <f>IFERROR(__xludf.DUMMYFUNCTION("IFERROR(GOOGLEFINANCE(A723,""trail_dividend""),"""")"),"")</f>
        <v/>
      </c>
      <c r="D723" s="3" t="str">
        <f>IFERROR(__xludf.DUMMYFUNCTION("IFERROR(INDEX(IMPORTXML(""https://finance.yahoo.com/quote/""&amp;A723, ""//td[@data-test='EX_DIVIDEND_DATE-value']""),1),"""")"),"")</f>
        <v/>
      </c>
    </row>
    <row r="724" ht="15.75" customHeight="1">
      <c r="B724" s="3" t="str">
        <f>IFERROR(__xludf.DUMMYFUNCTION("IFERROR(GOOGLEFINANCE(A724,""yield"")*100,"""")"),"")</f>
        <v/>
      </c>
      <c r="C724" s="3" t="str">
        <f>IFERROR(__xludf.DUMMYFUNCTION("IFERROR(GOOGLEFINANCE(A724,""trail_dividend""),"""")"),"")</f>
        <v/>
      </c>
      <c r="D724" s="3" t="str">
        <f>IFERROR(__xludf.DUMMYFUNCTION("IFERROR(INDEX(IMPORTXML(""https://finance.yahoo.com/quote/""&amp;A724, ""//td[@data-test='EX_DIVIDEND_DATE-value']""),1),"""")"),"")</f>
        <v/>
      </c>
    </row>
    <row r="725" ht="15.75" customHeight="1">
      <c r="B725" s="3" t="str">
        <f>IFERROR(__xludf.DUMMYFUNCTION("IFERROR(GOOGLEFINANCE(A725,""yield"")*100,"""")"),"")</f>
        <v/>
      </c>
      <c r="C725" s="3" t="str">
        <f>IFERROR(__xludf.DUMMYFUNCTION("IFERROR(GOOGLEFINANCE(A725,""trail_dividend""),"""")"),"")</f>
        <v/>
      </c>
      <c r="D725" s="3" t="str">
        <f>IFERROR(__xludf.DUMMYFUNCTION("IFERROR(INDEX(IMPORTXML(""https://finance.yahoo.com/quote/""&amp;A725, ""//td[@data-test='EX_DIVIDEND_DATE-value']""),1),"""")"),"")</f>
        <v/>
      </c>
    </row>
    <row r="726" ht="15.75" customHeight="1">
      <c r="B726" s="3" t="str">
        <f>IFERROR(__xludf.DUMMYFUNCTION("IFERROR(GOOGLEFINANCE(A726,""yield"")*100,"""")"),"")</f>
        <v/>
      </c>
      <c r="C726" s="3" t="str">
        <f>IFERROR(__xludf.DUMMYFUNCTION("IFERROR(GOOGLEFINANCE(A726,""trail_dividend""),"""")"),"")</f>
        <v/>
      </c>
      <c r="D726" s="3" t="str">
        <f>IFERROR(__xludf.DUMMYFUNCTION("IFERROR(INDEX(IMPORTXML(""https://finance.yahoo.com/quote/""&amp;A726, ""//td[@data-test='EX_DIVIDEND_DATE-value']""),1),"""")"),"")</f>
        <v/>
      </c>
    </row>
    <row r="727" ht="15.75" customHeight="1">
      <c r="B727" s="3" t="str">
        <f>IFERROR(__xludf.DUMMYFUNCTION("IFERROR(GOOGLEFINANCE(A727,""yield"")*100,"""")"),"")</f>
        <v/>
      </c>
      <c r="C727" s="3" t="str">
        <f>IFERROR(__xludf.DUMMYFUNCTION("IFERROR(GOOGLEFINANCE(A727,""trail_dividend""),"""")"),"")</f>
        <v/>
      </c>
      <c r="D727" s="3" t="str">
        <f>IFERROR(__xludf.DUMMYFUNCTION("IFERROR(INDEX(IMPORTXML(""https://finance.yahoo.com/quote/""&amp;A727, ""//td[@data-test='EX_DIVIDEND_DATE-value']""),1),"""")"),"")</f>
        <v/>
      </c>
    </row>
    <row r="728" ht="15.75" customHeight="1">
      <c r="B728" s="3" t="str">
        <f>IFERROR(__xludf.DUMMYFUNCTION("IFERROR(GOOGLEFINANCE(A728,""yield"")*100,"""")"),"")</f>
        <v/>
      </c>
      <c r="C728" s="3" t="str">
        <f>IFERROR(__xludf.DUMMYFUNCTION("IFERROR(GOOGLEFINANCE(A728,""trail_dividend""),"""")"),"")</f>
        <v/>
      </c>
      <c r="D728" s="3" t="str">
        <f>IFERROR(__xludf.DUMMYFUNCTION("IFERROR(INDEX(IMPORTXML(""https://finance.yahoo.com/quote/""&amp;A728, ""//td[@data-test='EX_DIVIDEND_DATE-value']""),1),"""")"),"")</f>
        <v/>
      </c>
    </row>
    <row r="729" ht="15.75" customHeight="1">
      <c r="B729" s="3" t="str">
        <f>IFERROR(__xludf.DUMMYFUNCTION("IFERROR(GOOGLEFINANCE(A729,""yield"")*100,"""")"),"")</f>
        <v/>
      </c>
      <c r="C729" s="3" t="str">
        <f>IFERROR(__xludf.DUMMYFUNCTION("IFERROR(GOOGLEFINANCE(A729,""trail_dividend""),"""")"),"")</f>
        <v/>
      </c>
      <c r="D729" s="3" t="str">
        <f>IFERROR(__xludf.DUMMYFUNCTION("IFERROR(INDEX(IMPORTXML(""https://finance.yahoo.com/quote/""&amp;A729, ""//td[@data-test='EX_DIVIDEND_DATE-value']""),1),"""")"),"")</f>
        <v/>
      </c>
    </row>
    <row r="730" ht="15.75" customHeight="1">
      <c r="B730" s="3" t="str">
        <f>IFERROR(__xludf.DUMMYFUNCTION("IFERROR(GOOGLEFINANCE(A730,""yield"")*100,"""")"),"")</f>
        <v/>
      </c>
      <c r="C730" s="3" t="str">
        <f>IFERROR(__xludf.DUMMYFUNCTION("IFERROR(GOOGLEFINANCE(A730,""trail_dividend""),"""")"),"")</f>
        <v/>
      </c>
      <c r="D730" s="3" t="str">
        <f>IFERROR(__xludf.DUMMYFUNCTION("IFERROR(INDEX(IMPORTXML(""https://finance.yahoo.com/quote/""&amp;A730, ""//td[@data-test='EX_DIVIDEND_DATE-value']""),1),"""")"),"")</f>
        <v/>
      </c>
    </row>
    <row r="731" ht="15.75" customHeight="1">
      <c r="B731" s="3" t="str">
        <f>IFERROR(__xludf.DUMMYFUNCTION("IFERROR(GOOGLEFINANCE(A731,""yield"")*100,"""")"),"")</f>
        <v/>
      </c>
      <c r="C731" s="3" t="str">
        <f>IFERROR(__xludf.DUMMYFUNCTION("IFERROR(GOOGLEFINANCE(A731,""trail_dividend""),"""")"),"")</f>
        <v/>
      </c>
      <c r="D731" s="3" t="str">
        <f>IFERROR(__xludf.DUMMYFUNCTION("IFERROR(INDEX(IMPORTXML(""https://finance.yahoo.com/quote/""&amp;A731, ""//td[@data-test='EX_DIVIDEND_DATE-value']""),1),"""")"),"")</f>
        <v/>
      </c>
    </row>
    <row r="732" ht="15.75" customHeight="1">
      <c r="B732" s="3" t="str">
        <f>IFERROR(__xludf.DUMMYFUNCTION("IFERROR(GOOGLEFINANCE(A732,""yield"")*100,"""")"),"")</f>
        <v/>
      </c>
      <c r="C732" s="3" t="str">
        <f>IFERROR(__xludf.DUMMYFUNCTION("IFERROR(GOOGLEFINANCE(A732,""trail_dividend""),"""")"),"")</f>
        <v/>
      </c>
      <c r="D732" s="3" t="str">
        <f>IFERROR(__xludf.DUMMYFUNCTION("IFERROR(INDEX(IMPORTXML(""https://finance.yahoo.com/quote/""&amp;A732, ""//td[@data-test='EX_DIVIDEND_DATE-value']""),1),"""")"),"")</f>
        <v/>
      </c>
    </row>
    <row r="733" ht="15.75" customHeight="1">
      <c r="B733" s="3" t="str">
        <f>IFERROR(__xludf.DUMMYFUNCTION("IFERROR(GOOGLEFINANCE(A733,""yield"")*100,"""")"),"")</f>
        <v/>
      </c>
      <c r="C733" s="3" t="str">
        <f>IFERROR(__xludf.DUMMYFUNCTION("IFERROR(GOOGLEFINANCE(A733,""trail_dividend""),"""")"),"")</f>
        <v/>
      </c>
      <c r="D733" s="3" t="str">
        <f>IFERROR(__xludf.DUMMYFUNCTION("IFERROR(INDEX(IMPORTXML(""https://finance.yahoo.com/quote/""&amp;A733, ""//td[@data-test='EX_DIVIDEND_DATE-value']""),1),"""")"),"")</f>
        <v/>
      </c>
    </row>
    <row r="734" ht="15.75" customHeight="1">
      <c r="B734" s="3" t="str">
        <f>IFERROR(__xludf.DUMMYFUNCTION("IFERROR(GOOGLEFINANCE(A734,""yield"")*100,"""")"),"")</f>
        <v/>
      </c>
      <c r="C734" s="3" t="str">
        <f>IFERROR(__xludf.DUMMYFUNCTION("IFERROR(GOOGLEFINANCE(A734,""trail_dividend""),"""")"),"")</f>
        <v/>
      </c>
      <c r="D734" s="3" t="str">
        <f>IFERROR(__xludf.DUMMYFUNCTION("IFERROR(INDEX(IMPORTXML(""https://finance.yahoo.com/quote/""&amp;A734, ""//td[@data-test='EX_DIVIDEND_DATE-value']""),1),"""")"),"")</f>
        <v/>
      </c>
    </row>
    <row r="735" ht="15.75" customHeight="1">
      <c r="B735" s="3" t="str">
        <f>IFERROR(__xludf.DUMMYFUNCTION("IFERROR(GOOGLEFINANCE(A735,""yield"")*100,"""")"),"")</f>
        <v/>
      </c>
      <c r="C735" s="3" t="str">
        <f>IFERROR(__xludf.DUMMYFUNCTION("IFERROR(GOOGLEFINANCE(A735,""trail_dividend""),"""")"),"")</f>
        <v/>
      </c>
      <c r="D735" s="3" t="str">
        <f>IFERROR(__xludf.DUMMYFUNCTION("IFERROR(INDEX(IMPORTXML(""https://finance.yahoo.com/quote/""&amp;A735, ""//td[@data-test='EX_DIVIDEND_DATE-value']""),1),"""")"),"")</f>
        <v/>
      </c>
    </row>
    <row r="736" ht="15.75" customHeight="1">
      <c r="B736" s="3" t="str">
        <f>IFERROR(__xludf.DUMMYFUNCTION("IFERROR(GOOGLEFINANCE(A736,""yield"")*100,"""")"),"")</f>
        <v/>
      </c>
      <c r="C736" s="3" t="str">
        <f>IFERROR(__xludf.DUMMYFUNCTION("IFERROR(GOOGLEFINANCE(A736,""trail_dividend""),"""")"),"")</f>
        <v/>
      </c>
      <c r="D736" s="3" t="str">
        <f>IFERROR(__xludf.DUMMYFUNCTION("IFERROR(INDEX(IMPORTXML(""https://finance.yahoo.com/quote/""&amp;A736, ""//td[@data-test='EX_DIVIDEND_DATE-value']""),1),"""")"),"")</f>
        <v/>
      </c>
    </row>
    <row r="737" ht="15.75" customHeight="1">
      <c r="B737" s="3" t="str">
        <f>IFERROR(__xludf.DUMMYFUNCTION("IFERROR(GOOGLEFINANCE(A737,""yield"")*100,"""")"),"")</f>
        <v/>
      </c>
      <c r="C737" s="3" t="str">
        <f>IFERROR(__xludf.DUMMYFUNCTION("IFERROR(GOOGLEFINANCE(A737,""trail_dividend""),"""")"),"")</f>
        <v/>
      </c>
      <c r="D737" s="3" t="str">
        <f>IFERROR(__xludf.DUMMYFUNCTION("IFERROR(INDEX(IMPORTXML(""https://finance.yahoo.com/quote/""&amp;A737, ""//td[@data-test='EX_DIVIDEND_DATE-value']""),1),"""")"),"")</f>
        <v/>
      </c>
    </row>
    <row r="738" ht="15.75" customHeight="1">
      <c r="B738" s="3" t="str">
        <f>IFERROR(__xludf.DUMMYFUNCTION("IFERROR(GOOGLEFINANCE(A738,""yield"")*100,"""")"),"")</f>
        <v/>
      </c>
      <c r="C738" s="3" t="str">
        <f>IFERROR(__xludf.DUMMYFUNCTION("IFERROR(GOOGLEFINANCE(A738,""trail_dividend""),"""")"),"")</f>
        <v/>
      </c>
      <c r="D738" s="3" t="str">
        <f>IFERROR(__xludf.DUMMYFUNCTION("IFERROR(INDEX(IMPORTXML(""https://finance.yahoo.com/quote/""&amp;A738, ""//td[@data-test='EX_DIVIDEND_DATE-value']""),1),"""")"),"")</f>
        <v/>
      </c>
    </row>
    <row r="739" ht="15.75" customHeight="1">
      <c r="B739" s="3" t="str">
        <f>IFERROR(__xludf.DUMMYFUNCTION("IFERROR(GOOGLEFINANCE(A739,""yield"")*100,"""")"),"")</f>
        <v/>
      </c>
      <c r="C739" s="3" t="str">
        <f>IFERROR(__xludf.DUMMYFUNCTION("IFERROR(GOOGLEFINANCE(A739,""trail_dividend""),"""")"),"")</f>
        <v/>
      </c>
      <c r="D739" s="3" t="str">
        <f>IFERROR(__xludf.DUMMYFUNCTION("IFERROR(INDEX(IMPORTXML(""https://finance.yahoo.com/quote/""&amp;A739, ""//td[@data-test='EX_DIVIDEND_DATE-value']""),1),"""")"),"")</f>
        <v/>
      </c>
    </row>
    <row r="740" ht="15.75" customHeight="1">
      <c r="B740" s="3" t="str">
        <f>IFERROR(__xludf.DUMMYFUNCTION("IFERROR(GOOGLEFINANCE(A740,""yield"")*100,"""")"),"")</f>
        <v/>
      </c>
      <c r="C740" s="3" t="str">
        <f>IFERROR(__xludf.DUMMYFUNCTION("IFERROR(GOOGLEFINANCE(A740,""trail_dividend""),"""")"),"")</f>
        <v/>
      </c>
      <c r="D740" s="3" t="str">
        <f>IFERROR(__xludf.DUMMYFUNCTION("IFERROR(INDEX(IMPORTXML(""https://finance.yahoo.com/quote/""&amp;A740, ""//td[@data-test='EX_DIVIDEND_DATE-value']""),1),"""")"),"")</f>
        <v/>
      </c>
    </row>
    <row r="741" ht="15.75" customHeight="1">
      <c r="B741" s="3" t="str">
        <f>IFERROR(__xludf.DUMMYFUNCTION("IFERROR(GOOGLEFINANCE(A741,""yield"")*100,"""")"),"")</f>
        <v/>
      </c>
      <c r="C741" s="3" t="str">
        <f>IFERROR(__xludf.DUMMYFUNCTION("IFERROR(GOOGLEFINANCE(A741,""trail_dividend""),"""")"),"")</f>
        <v/>
      </c>
      <c r="D741" s="3" t="str">
        <f>IFERROR(__xludf.DUMMYFUNCTION("IFERROR(INDEX(IMPORTXML(""https://finance.yahoo.com/quote/""&amp;A741, ""//td[@data-test='EX_DIVIDEND_DATE-value']""),1),"""")"),"")</f>
        <v/>
      </c>
    </row>
    <row r="742" ht="15.75" customHeight="1">
      <c r="B742" s="3" t="str">
        <f>IFERROR(__xludf.DUMMYFUNCTION("IFERROR(GOOGLEFINANCE(A742,""yield"")*100,"""")"),"")</f>
        <v/>
      </c>
      <c r="C742" s="3" t="str">
        <f>IFERROR(__xludf.DUMMYFUNCTION("IFERROR(GOOGLEFINANCE(A742,""trail_dividend""),"""")"),"")</f>
        <v/>
      </c>
      <c r="D742" s="3" t="str">
        <f>IFERROR(__xludf.DUMMYFUNCTION("IFERROR(INDEX(IMPORTXML(""https://finance.yahoo.com/quote/""&amp;A742, ""//td[@data-test='EX_DIVIDEND_DATE-value']""),1),"""")"),"")</f>
        <v/>
      </c>
    </row>
    <row r="743" ht="15.75" customHeight="1">
      <c r="B743" s="3" t="str">
        <f>IFERROR(__xludf.DUMMYFUNCTION("IFERROR(GOOGLEFINANCE(A743,""yield"")*100,"""")"),"")</f>
        <v/>
      </c>
      <c r="C743" s="3" t="str">
        <f>IFERROR(__xludf.DUMMYFUNCTION("IFERROR(GOOGLEFINANCE(A743,""trail_dividend""),"""")"),"")</f>
        <v/>
      </c>
      <c r="D743" s="3" t="str">
        <f>IFERROR(__xludf.DUMMYFUNCTION("IFERROR(INDEX(IMPORTXML(""https://finance.yahoo.com/quote/""&amp;A743, ""//td[@data-test='EX_DIVIDEND_DATE-value']""),1),"""")"),"")</f>
        <v/>
      </c>
    </row>
    <row r="744" ht="15.75" customHeight="1">
      <c r="B744" s="3" t="str">
        <f>IFERROR(__xludf.DUMMYFUNCTION("IFERROR(GOOGLEFINANCE(A744,""yield"")*100,"""")"),"")</f>
        <v/>
      </c>
      <c r="C744" s="3" t="str">
        <f>IFERROR(__xludf.DUMMYFUNCTION("IFERROR(GOOGLEFINANCE(A744,""trail_dividend""),"""")"),"")</f>
        <v/>
      </c>
      <c r="D744" s="3" t="str">
        <f>IFERROR(__xludf.DUMMYFUNCTION("IFERROR(INDEX(IMPORTXML(""https://finance.yahoo.com/quote/""&amp;A744, ""//td[@data-test='EX_DIVIDEND_DATE-value']""),1),"""")"),"")</f>
        <v/>
      </c>
    </row>
    <row r="745" ht="15.75" customHeight="1">
      <c r="B745" s="3" t="str">
        <f>IFERROR(__xludf.DUMMYFUNCTION("IFERROR(GOOGLEFINANCE(A745,""yield"")*100,"""")"),"")</f>
        <v/>
      </c>
      <c r="C745" s="3" t="str">
        <f>IFERROR(__xludf.DUMMYFUNCTION("IFERROR(GOOGLEFINANCE(A745,""trail_dividend""),"""")"),"")</f>
        <v/>
      </c>
      <c r="D745" s="3" t="str">
        <f>IFERROR(__xludf.DUMMYFUNCTION("IFERROR(INDEX(IMPORTXML(""https://finance.yahoo.com/quote/""&amp;A745, ""//td[@data-test='EX_DIVIDEND_DATE-value']""),1),"""")"),"")</f>
        <v/>
      </c>
    </row>
    <row r="746" ht="15.75" customHeight="1">
      <c r="B746" s="3" t="str">
        <f>IFERROR(__xludf.DUMMYFUNCTION("IFERROR(GOOGLEFINANCE(A746,""yield"")*100,"""")"),"")</f>
        <v/>
      </c>
      <c r="C746" s="3" t="str">
        <f>IFERROR(__xludf.DUMMYFUNCTION("IFERROR(GOOGLEFINANCE(A746,""trail_dividend""),"""")"),"")</f>
        <v/>
      </c>
      <c r="D746" s="3" t="str">
        <f>IFERROR(__xludf.DUMMYFUNCTION("IFERROR(INDEX(IMPORTXML(""https://finance.yahoo.com/quote/""&amp;A746, ""//td[@data-test='EX_DIVIDEND_DATE-value']""),1),"""")"),"")</f>
        <v/>
      </c>
    </row>
    <row r="747" ht="15.75" customHeight="1">
      <c r="B747" s="3" t="str">
        <f>IFERROR(__xludf.DUMMYFUNCTION("IFERROR(GOOGLEFINANCE(A747,""yield"")*100,"""")"),"")</f>
        <v/>
      </c>
      <c r="C747" s="3" t="str">
        <f>IFERROR(__xludf.DUMMYFUNCTION("IFERROR(GOOGLEFINANCE(A747,""trail_dividend""),"""")"),"")</f>
        <v/>
      </c>
      <c r="D747" s="3" t="str">
        <f>IFERROR(__xludf.DUMMYFUNCTION("IFERROR(INDEX(IMPORTXML(""https://finance.yahoo.com/quote/""&amp;A747, ""//td[@data-test='EX_DIVIDEND_DATE-value']""),1),"""")"),"")</f>
        <v/>
      </c>
    </row>
    <row r="748" ht="15.75" customHeight="1">
      <c r="B748" s="3" t="str">
        <f>IFERROR(__xludf.DUMMYFUNCTION("IFERROR(GOOGLEFINANCE(A748,""yield"")*100,"""")"),"")</f>
        <v/>
      </c>
      <c r="C748" s="3" t="str">
        <f>IFERROR(__xludf.DUMMYFUNCTION("IFERROR(GOOGLEFINANCE(A748,""trail_dividend""),"""")"),"")</f>
        <v/>
      </c>
      <c r="D748" s="3" t="str">
        <f>IFERROR(__xludf.DUMMYFUNCTION("IFERROR(INDEX(IMPORTXML(""https://finance.yahoo.com/quote/""&amp;A748, ""//td[@data-test='EX_DIVIDEND_DATE-value']""),1),"""")"),"")</f>
        <v/>
      </c>
    </row>
    <row r="749" ht="15.75" customHeight="1">
      <c r="B749" s="3" t="str">
        <f>IFERROR(__xludf.DUMMYFUNCTION("IFERROR(GOOGLEFINANCE(A749,""yield"")*100,"""")"),"")</f>
        <v/>
      </c>
      <c r="C749" s="3" t="str">
        <f>IFERROR(__xludf.DUMMYFUNCTION("IFERROR(GOOGLEFINANCE(A749,""trail_dividend""),"""")"),"")</f>
        <v/>
      </c>
      <c r="D749" s="3" t="str">
        <f>IFERROR(__xludf.DUMMYFUNCTION("IFERROR(INDEX(IMPORTXML(""https://finance.yahoo.com/quote/""&amp;A749, ""//td[@data-test='EX_DIVIDEND_DATE-value']""),1),"""")"),"")</f>
        <v/>
      </c>
    </row>
    <row r="750" ht="15.75" customHeight="1">
      <c r="B750" s="3" t="str">
        <f>IFERROR(__xludf.DUMMYFUNCTION("IFERROR(GOOGLEFINANCE(A750,""yield"")*100,"""")"),"")</f>
        <v/>
      </c>
      <c r="C750" s="3" t="str">
        <f>IFERROR(__xludf.DUMMYFUNCTION("IFERROR(GOOGLEFINANCE(A750,""trail_dividend""),"""")"),"")</f>
        <v/>
      </c>
      <c r="D750" s="3" t="str">
        <f>IFERROR(__xludf.DUMMYFUNCTION("IFERROR(INDEX(IMPORTXML(""https://finance.yahoo.com/quote/""&amp;A750, ""//td[@data-test='EX_DIVIDEND_DATE-value']""),1),"""")"),"")</f>
        <v/>
      </c>
    </row>
    <row r="751" ht="15.75" customHeight="1">
      <c r="B751" s="3" t="str">
        <f>IFERROR(__xludf.DUMMYFUNCTION("IFERROR(GOOGLEFINANCE(A751,""yield"")*100,"""")"),"")</f>
        <v/>
      </c>
      <c r="C751" s="3" t="str">
        <f>IFERROR(__xludf.DUMMYFUNCTION("IFERROR(GOOGLEFINANCE(A751,""trail_dividend""),"""")"),"")</f>
        <v/>
      </c>
      <c r="D751" s="3" t="str">
        <f>IFERROR(__xludf.DUMMYFUNCTION("IFERROR(INDEX(IMPORTXML(""https://finance.yahoo.com/quote/""&amp;A751, ""//td[@data-test='EX_DIVIDEND_DATE-value']""),1),"""")"),"")</f>
        <v/>
      </c>
    </row>
    <row r="752" ht="15.75" customHeight="1">
      <c r="B752" s="3" t="str">
        <f>IFERROR(__xludf.DUMMYFUNCTION("IFERROR(GOOGLEFINANCE(A752,""yield"")*100,"""")"),"")</f>
        <v/>
      </c>
      <c r="C752" s="3" t="str">
        <f>IFERROR(__xludf.DUMMYFUNCTION("IFERROR(GOOGLEFINANCE(A752,""trail_dividend""),"""")"),"")</f>
        <v/>
      </c>
      <c r="D752" s="3" t="str">
        <f>IFERROR(__xludf.DUMMYFUNCTION("IFERROR(INDEX(IMPORTXML(""https://finance.yahoo.com/quote/""&amp;A752, ""//td[@data-test='EX_DIVIDEND_DATE-value']""),1),"""")"),"")</f>
        <v/>
      </c>
    </row>
    <row r="753" ht="15.75" customHeight="1">
      <c r="B753" s="3" t="str">
        <f>IFERROR(__xludf.DUMMYFUNCTION("IFERROR(GOOGLEFINANCE(A753,""yield"")*100,"""")"),"")</f>
        <v/>
      </c>
      <c r="C753" s="3" t="str">
        <f>IFERROR(__xludf.DUMMYFUNCTION("IFERROR(GOOGLEFINANCE(A753,""trail_dividend""),"""")"),"")</f>
        <v/>
      </c>
      <c r="D753" s="3" t="str">
        <f>IFERROR(__xludf.DUMMYFUNCTION("IFERROR(INDEX(IMPORTXML(""https://finance.yahoo.com/quote/""&amp;A753, ""//td[@data-test='EX_DIVIDEND_DATE-value']""),1),"""")"),"")</f>
        <v/>
      </c>
    </row>
    <row r="754" ht="15.75" customHeight="1">
      <c r="B754" s="3" t="str">
        <f>IFERROR(__xludf.DUMMYFUNCTION("IFERROR(GOOGLEFINANCE(A754,""yield"")*100,"""")"),"")</f>
        <v/>
      </c>
      <c r="C754" s="3" t="str">
        <f>IFERROR(__xludf.DUMMYFUNCTION("IFERROR(GOOGLEFINANCE(A754,""trail_dividend""),"""")"),"")</f>
        <v/>
      </c>
      <c r="D754" s="3" t="str">
        <f>IFERROR(__xludf.DUMMYFUNCTION("IFERROR(INDEX(IMPORTXML(""https://finance.yahoo.com/quote/""&amp;A754, ""//td[@data-test='EX_DIVIDEND_DATE-value']""),1),"""")"),"")</f>
        <v/>
      </c>
    </row>
    <row r="755" ht="15.75" customHeight="1">
      <c r="B755" s="3" t="str">
        <f>IFERROR(__xludf.DUMMYFUNCTION("IFERROR(GOOGLEFINANCE(A755,""yield"")*100,"""")"),"")</f>
        <v/>
      </c>
      <c r="C755" s="3" t="str">
        <f>IFERROR(__xludf.DUMMYFUNCTION("IFERROR(GOOGLEFINANCE(A755,""trail_dividend""),"""")"),"")</f>
        <v/>
      </c>
      <c r="D755" s="3" t="str">
        <f>IFERROR(__xludf.DUMMYFUNCTION("IFERROR(INDEX(IMPORTXML(""https://finance.yahoo.com/quote/""&amp;A755, ""//td[@data-test='EX_DIVIDEND_DATE-value']""),1),"""")"),"")</f>
        <v/>
      </c>
    </row>
    <row r="756" ht="15.75" customHeight="1">
      <c r="B756" s="3" t="str">
        <f>IFERROR(__xludf.DUMMYFUNCTION("IFERROR(GOOGLEFINANCE(A756,""yield"")*100,"""")"),"")</f>
        <v/>
      </c>
      <c r="C756" s="3" t="str">
        <f>IFERROR(__xludf.DUMMYFUNCTION("IFERROR(GOOGLEFINANCE(A756,""trail_dividend""),"""")"),"")</f>
        <v/>
      </c>
      <c r="D756" s="3" t="str">
        <f>IFERROR(__xludf.DUMMYFUNCTION("IFERROR(INDEX(IMPORTXML(""https://finance.yahoo.com/quote/""&amp;A756, ""//td[@data-test='EX_DIVIDEND_DATE-value']""),1),"""")"),"")</f>
        <v/>
      </c>
    </row>
    <row r="757" ht="15.75" customHeight="1">
      <c r="B757" s="3" t="str">
        <f>IFERROR(__xludf.DUMMYFUNCTION("IFERROR(GOOGLEFINANCE(A757,""yield"")*100,"""")"),"")</f>
        <v/>
      </c>
      <c r="C757" s="3" t="str">
        <f>IFERROR(__xludf.DUMMYFUNCTION("IFERROR(GOOGLEFINANCE(A757,""trail_dividend""),"""")"),"")</f>
        <v/>
      </c>
      <c r="D757" s="3" t="str">
        <f>IFERROR(__xludf.DUMMYFUNCTION("IFERROR(INDEX(IMPORTXML(""https://finance.yahoo.com/quote/""&amp;A757, ""//td[@data-test='EX_DIVIDEND_DATE-value']""),1),"""")"),"")</f>
        <v/>
      </c>
    </row>
    <row r="758" ht="15.75" customHeight="1">
      <c r="B758" s="3" t="str">
        <f>IFERROR(__xludf.DUMMYFUNCTION("IFERROR(GOOGLEFINANCE(A758,""yield"")*100,"""")"),"")</f>
        <v/>
      </c>
      <c r="C758" s="3" t="str">
        <f>IFERROR(__xludf.DUMMYFUNCTION("IFERROR(GOOGLEFINANCE(A758,""trail_dividend""),"""")"),"")</f>
        <v/>
      </c>
      <c r="D758" s="3" t="str">
        <f>IFERROR(__xludf.DUMMYFUNCTION("IFERROR(INDEX(IMPORTXML(""https://finance.yahoo.com/quote/""&amp;A758, ""//td[@data-test='EX_DIVIDEND_DATE-value']""),1),"""")"),"")</f>
        <v/>
      </c>
    </row>
    <row r="759" ht="15.75" customHeight="1">
      <c r="B759" s="3" t="str">
        <f>IFERROR(__xludf.DUMMYFUNCTION("IFERROR(GOOGLEFINANCE(A759,""yield"")*100,"""")"),"")</f>
        <v/>
      </c>
      <c r="C759" s="3" t="str">
        <f>IFERROR(__xludf.DUMMYFUNCTION("IFERROR(GOOGLEFINANCE(A759,""trail_dividend""),"""")"),"")</f>
        <v/>
      </c>
      <c r="D759" s="3" t="str">
        <f>IFERROR(__xludf.DUMMYFUNCTION("IFERROR(INDEX(IMPORTXML(""https://finance.yahoo.com/quote/""&amp;A759, ""//td[@data-test='EX_DIVIDEND_DATE-value']""),1),"""")"),"")</f>
        <v/>
      </c>
    </row>
    <row r="760" ht="15.75" customHeight="1">
      <c r="B760" s="3" t="str">
        <f>IFERROR(__xludf.DUMMYFUNCTION("IFERROR(GOOGLEFINANCE(A760,""yield"")*100,"""")"),"")</f>
        <v/>
      </c>
      <c r="C760" s="3" t="str">
        <f>IFERROR(__xludf.DUMMYFUNCTION("IFERROR(GOOGLEFINANCE(A760,""trail_dividend""),"""")"),"")</f>
        <v/>
      </c>
      <c r="D760" s="3" t="str">
        <f>IFERROR(__xludf.DUMMYFUNCTION("IFERROR(INDEX(IMPORTXML(""https://finance.yahoo.com/quote/""&amp;A760, ""//td[@data-test='EX_DIVIDEND_DATE-value']""),1),"""")"),"")</f>
        <v/>
      </c>
    </row>
    <row r="761" ht="15.75" customHeight="1">
      <c r="B761" s="3" t="str">
        <f>IFERROR(__xludf.DUMMYFUNCTION("IFERROR(GOOGLEFINANCE(A761,""yield"")*100,"""")"),"")</f>
        <v/>
      </c>
      <c r="C761" s="3" t="str">
        <f>IFERROR(__xludf.DUMMYFUNCTION("IFERROR(GOOGLEFINANCE(A761,""trail_dividend""),"""")"),"")</f>
        <v/>
      </c>
      <c r="D761" s="3" t="str">
        <f>IFERROR(__xludf.DUMMYFUNCTION("IFERROR(INDEX(IMPORTXML(""https://finance.yahoo.com/quote/""&amp;A761, ""//td[@data-test='EX_DIVIDEND_DATE-value']""),1),"""")"),"")</f>
        <v/>
      </c>
    </row>
    <row r="762" ht="15.75" customHeight="1">
      <c r="B762" s="3" t="str">
        <f>IFERROR(__xludf.DUMMYFUNCTION("IFERROR(GOOGLEFINANCE(A762,""yield"")*100,"""")"),"")</f>
        <v/>
      </c>
      <c r="C762" s="3" t="str">
        <f>IFERROR(__xludf.DUMMYFUNCTION("IFERROR(GOOGLEFINANCE(A762,""trail_dividend""),"""")"),"")</f>
        <v/>
      </c>
      <c r="D762" s="3" t="str">
        <f>IFERROR(__xludf.DUMMYFUNCTION("IFERROR(INDEX(IMPORTXML(""https://finance.yahoo.com/quote/""&amp;A762, ""//td[@data-test='EX_DIVIDEND_DATE-value']""),1),"""")"),"")</f>
        <v/>
      </c>
    </row>
    <row r="763" ht="15.75" customHeight="1">
      <c r="B763" s="3" t="str">
        <f>IFERROR(__xludf.DUMMYFUNCTION("IFERROR(GOOGLEFINANCE(A763,""yield"")*100,"""")"),"")</f>
        <v/>
      </c>
      <c r="C763" s="3" t="str">
        <f>IFERROR(__xludf.DUMMYFUNCTION("IFERROR(GOOGLEFINANCE(A763,""trail_dividend""),"""")"),"")</f>
        <v/>
      </c>
      <c r="D763" s="3" t="str">
        <f>IFERROR(__xludf.DUMMYFUNCTION("IFERROR(INDEX(IMPORTXML(""https://finance.yahoo.com/quote/""&amp;A763, ""//td[@data-test='EX_DIVIDEND_DATE-value']""),1),"""")"),"")</f>
        <v/>
      </c>
    </row>
    <row r="764" ht="15.75" customHeight="1">
      <c r="B764" s="3" t="str">
        <f>IFERROR(__xludf.DUMMYFUNCTION("IFERROR(GOOGLEFINANCE(A764,""yield"")*100,"""")"),"")</f>
        <v/>
      </c>
      <c r="C764" s="3" t="str">
        <f>IFERROR(__xludf.DUMMYFUNCTION("IFERROR(GOOGLEFINANCE(A764,""trail_dividend""),"""")"),"")</f>
        <v/>
      </c>
      <c r="D764" s="3" t="str">
        <f>IFERROR(__xludf.DUMMYFUNCTION("IFERROR(INDEX(IMPORTXML(""https://finance.yahoo.com/quote/""&amp;A764, ""//td[@data-test='EX_DIVIDEND_DATE-value']""),1),"""")"),"")</f>
        <v/>
      </c>
    </row>
    <row r="765" ht="15.75" customHeight="1">
      <c r="B765" s="3" t="str">
        <f>IFERROR(__xludf.DUMMYFUNCTION("IFERROR(GOOGLEFINANCE(A765,""yield"")*100,"""")"),"")</f>
        <v/>
      </c>
      <c r="C765" s="3" t="str">
        <f>IFERROR(__xludf.DUMMYFUNCTION("IFERROR(GOOGLEFINANCE(A765,""trail_dividend""),"""")"),"")</f>
        <v/>
      </c>
      <c r="D765" s="3" t="str">
        <f>IFERROR(__xludf.DUMMYFUNCTION("IFERROR(INDEX(IMPORTXML(""https://finance.yahoo.com/quote/""&amp;A765, ""//td[@data-test='EX_DIVIDEND_DATE-value']""),1),"""")"),"")</f>
        <v/>
      </c>
    </row>
    <row r="766" ht="15.75" customHeight="1">
      <c r="B766" s="3" t="str">
        <f>IFERROR(__xludf.DUMMYFUNCTION("IFERROR(GOOGLEFINANCE(A766,""yield"")*100,"""")"),"")</f>
        <v/>
      </c>
      <c r="C766" s="3" t="str">
        <f>IFERROR(__xludf.DUMMYFUNCTION("IFERROR(GOOGLEFINANCE(A766,""trail_dividend""),"""")"),"")</f>
        <v/>
      </c>
      <c r="D766" s="3" t="str">
        <f>IFERROR(__xludf.DUMMYFUNCTION("IFERROR(INDEX(IMPORTXML(""https://finance.yahoo.com/quote/""&amp;A766, ""//td[@data-test='EX_DIVIDEND_DATE-value']""),1),"""")"),"")</f>
        <v/>
      </c>
    </row>
    <row r="767" ht="15.75" customHeight="1">
      <c r="B767" s="3" t="str">
        <f>IFERROR(__xludf.DUMMYFUNCTION("IFERROR(GOOGLEFINANCE(A767,""yield"")*100,"""")"),"")</f>
        <v/>
      </c>
      <c r="C767" s="3" t="str">
        <f>IFERROR(__xludf.DUMMYFUNCTION("IFERROR(GOOGLEFINANCE(A767,""trail_dividend""),"""")"),"")</f>
        <v/>
      </c>
      <c r="D767" s="3" t="str">
        <f>IFERROR(__xludf.DUMMYFUNCTION("IFERROR(INDEX(IMPORTXML(""https://finance.yahoo.com/quote/""&amp;A767, ""//td[@data-test='EX_DIVIDEND_DATE-value']""),1),"""")"),"")</f>
        <v/>
      </c>
    </row>
    <row r="768" ht="15.75" customHeight="1">
      <c r="B768" s="3" t="str">
        <f>IFERROR(__xludf.DUMMYFUNCTION("IFERROR(GOOGLEFINANCE(A768,""yield"")*100,"""")"),"")</f>
        <v/>
      </c>
      <c r="C768" s="3" t="str">
        <f>IFERROR(__xludf.DUMMYFUNCTION("IFERROR(GOOGLEFINANCE(A768,""trail_dividend""),"""")"),"")</f>
        <v/>
      </c>
      <c r="D768" s="3" t="str">
        <f>IFERROR(__xludf.DUMMYFUNCTION("IFERROR(INDEX(IMPORTXML(""https://finance.yahoo.com/quote/""&amp;A768, ""//td[@data-test='EX_DIVIDEND_DATE-value']""),1),"""")"),"")</f>
        <v/>
      </c>
    </row>
    <row r="769" ht="15.75" customHeight="1">
      <c r="B769" s="3" t="str">
        <f>IFERROR(__xludf.DUMMYFUNCTION("IFERROR(GOOGLEFINANCE(A769,""yield"")*100,"""")"),"")</f>
        <v/>
      </c>
      <c r="C769" s="3" t="str">
        <f>IFERROR(__xludf.DUMMYFUNCTION("IFERROR(GOOGLEFINANCE(A769,""trail_dividend""),"""")"),"")</f>
        <v/>
      </c>
      <c r="D769" s="3" t="str">
        <f>IFERROR(__xludf.DUMMYFUNCTION("IFERROR(INDEX(IMPORTXML(""https://finance.yahoo.com/quote/""&amp;A769, ""//td[@data-test='EX_DIVIDEND_DATE-value']""),1),"""")"),"")</f>
        <v/>
      </c>
    </row>
    <row r="770" ht="15.75" customHeight="1">
      <c r="B770" s="3" t="str">
        <f>IFERROR(__xludf.DUMMYFUNCTION("IFERROR(GOOGLEFINANCE(A770,""yield"")*100,"""")"),"")</f>
        <v/>
      </c>
      <c r="C770" s="3" t="str">
        <f>IFERROR(__xludf.DUMMYFUNCTION("IFERROR(GOOGLEFINANCE(A770,""trail_dividend""),"""")"),"")</f>
        <v/>
      </c>
      <c r="D770" s="3" t="str">
        <f>IFERROR(__xludf.DUMMYFUNCTION("IFERROR(INDEX(IMPORTXML(""https://finance.yahoo.com/quote/""&amp;A770, ""//td[@data-test='EX_DIVIDEND_DATE-value']""),1),"""")"),"")</f>
        <v/>
      </c>
    </row>
    <row r="771" ht="15.75" customHeight="1">
      <c r="B771" s="3" t="str">
        <f>IFERROR(__xludf.DUMMYFUNCTION("IFERROR(GOOGLEFINANCE(A771,""yield"")*100,"""")"),"")</f>
        <v/>
      </c>
      <c r="C771" s="3" t="str">
        <f>IFERROR(__xludf.DUMMYFUNCTION("IFERROR(GOOGLEFINANCE(A771,""trail_dividend""),"""")"),"")</f>
        <v/>
      </c>
      <c r="D771" s="3" t="str">
        <f>IFERROR(__xludf.DUMMYFUNCTION("IFERROR(INDEX(IMPORTXML(""https://finance.yahoo.com/quote/""&amp;A771, ""//td[@data-test='EX_DIVIDEND_DATE-value']""),1),"""")"),"")</f>
        <v/>
      </c>
    </row>
    <row r="772" ht="15.75" customHeight="1">
      <c r="B772" s="3" t="str">
        <f>IFERROR(__xludf.DUMMYFUNCTION("IFERROR(GOOGLEFINANCE(A772,""yield"")*100,"""")"),"")</f>
        <v/>
      </c>
      <c r="C772" s="3" t="str">
        <f>IFERROR(__xludf.DUMMYFUNCTION("IFERROR(GOOGLEFINANCE(A772,""trail_dividend""),"""")"),"")</f>
        <v/>
      </c>
      <c r="D772" s="3" t="str">
        <f>IFERROR(__xludf.DUMMYFUNCTION("IFERROR(INDEX(IMPORTXML(""https://finance.yahoo.com/quote/""&amp;A772, ""//td[@data-test='EX_DIVIDEND_DATE-value']""),1),"""")"),"")</f>
        <v/>
      </c>
    </row>
    <row r="773" ht="15.75" customHeight="1">
      <c r="B773" s="3" t="str">
        <f>IFERROR(__xludf.DUMMYFUNCTION("IFERROR(GOOGLEFINANCE(A773,""yield"")*100,"""")"),"")</f>
        <v/>
      </c>
      <c r="C773" s="3" t="str">
        <f>IFERROR(__xludf.DUMMYFUNCTION("IFERROR(GOOGLEFINANCE(A773,""trail_dividend""),"""")"),"")</f>
        <v/>
      </c>
      <c r="D773" s="3" t="str">
        <f>IFERROR(__xludf.DUMMYFUNCTION("IFERROR(INDEX(IMPORTXML(""https://finance.yahoo.com/quote/""&amp;A773, ""//td[@data-test='EX_DIVIDEND_DATE-value']""),1),"""")"),"")</f>
        <v/>
      </c>
    </row>
    <row r="774" ht="15.75" customHeight="1">
      <c r="B774" s="3" t="str">
        <f>IFERROR(__xludf.DUMMYFUNCTION("IFERROR(GOOGLEFINANCE(A774,""yield"")*100,"""")"),"")</f>
        <v/>
      </c>
      <c r="C774" s="3" t="str">
        <f>IFERROR(__xludf.DUMMYFUNCTION("IFERROR(GOOGLEFINANCE(A774,""trail_dividend""),"""")"),"")</f>
        <v/>
      </c>
      <c r="D774" s="3" t="str">
        <f>IFERROR(__xludf.DUMMYFUNCTION("IFERROR(INDEX(IMPORTXML(""https://finance.yahoo.com/quote/""&amp;A774, ""//td[@data-test='EX_DIVIDEND_DATE-value']""),1),"""")"),"")</f>
        <v/>
      </c>
    </row>
    <row r="775" ht="15.75" customHeight="1">
      <c r="B775" s="3" t="str">
        <f>IFERROR(__xludf.DUMMYFUNCTION("IFERROR(GOOGLEFINANCE(A775,""yield"")*100,"""")"),"")</f>
        <v/>
      </c>
      <c r="C775" s="3" t="str">
        <f>IFERROR(__xludf.DUMMYFUNCTION("IFERROR(GOOGLEFINANCE(A775,""trail_dividend""),"""")"),"")</f>
        <v/>
      </c>
      <c r="D775" s="3" t="str">
        <f>IFERROR(__xludf.DUMMYFUNCTION("IFERROR(INDEX(IMPORTXML(""https://finance.yahoo.com/quote/""&amp;A775, ""//td[@data-test='EX_DIVIDEND_DATE-value']""),1),"""")"),"")</f>
        <v/>
      </c>
    </row>
    <row r="776" ht="15.75" customHeight="1">
      <c r="B776" s="3" t="str">
        <f>IFERROR(__xludf.DUMMYFUNCTION("IFERROR(GOOGLEFINANCE(A776,""yield"")*100,"""")"),"")</f>
        <v/>
      </c>
      <c r="C776" s="3" t="str">
        <f>IFERROR(__xludf.DUMMYFUNCTION("IFERROR(GOOGLEFINANCE(A776,""trail_dividend""),"""")"),"")</f>
        <v/>
      </c>
      <c r="D776" s="3" t="str">
        <f>IFERROR(__xludf.DUMMYFUNCTION("IFERROR(INDEX(IMPORTXML(""https://finance.yahoo.com/quote/""&amp;A776, ""//td[@data-test='EX_DIVIDEND_DATE-value']""),1),"""")"),"")</f>
        <v/>
      </c>
    </row>
    <row r="777" ht="15.75" customHeight="1">
      <c r="B777" s="3" t="str">
        <f>IFERROR(__xludf.DUMMYFUNCTION("IFERROR(GOOGLEFINANCE(A777,""yield"")*100,"""")"),"")</f>
        <v/>
      </c>
      <c r="C777" s="3" t="str">
        <f>IFERROR(__xludf.DUMMYFUNCTION("IFERROR(GOOGLEFINANCE(A777,""trail_dividend""),"""")"),"")</f>
        <v/>
      </c>
      <c r="D777" s="3" t="str">
        <f>IFERROR(__xludf.DUMMYFUNCTION("IFERROR(INDEX(IMPORTXML(""https://finance.yahoo.com/quote/""&amp;A777, ""//td[@data-test='EX_DIVIDEND_DATE-value']""),1),"""")"),"")</f>
        <v/>
      </c>
    </row>
    <row r="778" ht="15.75" customHeight="1">
      <c r="B778" s="3" t="str">
        <f>IFERROR(__xludf.DUMMYFUNCTION("IFERROR(GOOGLEFINANCE(A778,""yield"")*100,"""")"),"")</f>
        <v/>
      </c>
      <c r="C778" s="3" t="str">
        <f>IFERROR(__xludf.DUMMYFUNCTION("IFERROR(GOOGLEFINANCE(A778,""trail_dividend""),"""")"),"")</f>
        <v/>
      </c>
      <c r="D778" s="3" t="str">
        <f>IFERROR(__xludf.DUMMYFUNCTION("IFERROR(INDEX(IMPORTXML(""https://finance.yahoo.com/quote/""&amp;A778, ""//td[@data-test='EX_DIVIDEND_DATE-value']""),1),"""")"),"")</f>
        <v/>
      </c>
    </row>
    <row r="779" ht="15.75" customHeight="1">
      <c r="B779" s="3" t="str">
        <f>IFERROR(__xludf.DUMMYFUNCTION("IFERROR(GOOGLEFINANCE(A779,""yield"")*100,"""")"),"")</f>
        <v/>
      </c>
      <c r="C779" s="3" t="str">
        <f>IFERROR(__xludf.DUMMYFUNCTION("IFERROR(GOOGLEFINANCE(A779,""trail_dividend""),"""")"),"")</f>
        <v/>
      </c>
      <c r="D779" s="3" t="str">
        <f>IFERROR(__xludf.DUMMYFUNCTION("IFERROR(INDEX(IMPORTXML(""https://finance.yahoo.com/quote/""&amp;A779, ""//td[@data-test='EX_DIVIDEND_DATE-value']""),1),"""")"),"")</f>
        <v/>
      </c>
    </row>
    <row r="780" ht="15.75" customHeight="1">
      <c r="B780" s="3" t="str">
        <f>IFERROR(__xludf.DUMMYFUNCTION("IFERROR(GOOGLEFINANCE(A780,""yield"")*100,"""")"),"")</f>
        <v/>
      </c>
      <c r="C780" s="3" t="str">
        <f>IFERROR(__xludf.DUMMYFUNCTION("IFERROR(GOOGLEFINANCE(A780,""trail_dividend""),"""")"),"")</f>
        <v/>
      </c>
      <c r="D780" s="3" t="str">
        <f>IFERROR(__xludf.DUMMYFUNCTION("IFERROR(INDEX(IMPORTXML(""https://finance.yahoo.com/quote/""&amp;A780, ""//td[@data-test='EX_DIVIDEND_DATE-value']""),1),"""")"),"")</f>
        <v/>
      </c>
    </row>
    <row r="781" ht="15.75" customHeight="1">
      <c r="B781" s="3" t="str">
        <f>IFERROR(__xludf.DUMMYFUNCTION("IFERROR(GOOGLEFINANCE(A781,""yield"")*100,"""")"),"")</f>
        <v/>
      </c>
      <c r="C781" s="3" t="str">
        <f>IFERROR(__xludf.DUMMYFUNCTION("IFERROR(GOOGLEFINANCE(A781,""trail_dividend""),"""")"),"")</f>
        <v/>
      </c>
      <c r="D781" s="3" t="str">
        <f>IFERROR(__xludf.DUMMYFUNCTION("IFERROR(INDEX(IMPORTXML(""https://finance.yahoo.com/quote/""&amp;A781, ""//td[@data-test='EX_DIVIDEND_DATE-value']""),1),"""")"),"")</f>
        <v/>
      </c>
    </row>
    <row r="782" ht="15.75" customHeight="1">
      <c r="B782" s="3" t="str">
        <f>IFERROR(__xludf.DUMMYFUNCTION("IFERROR(GOOGLEFINANCE(A782,""yield"")*100,"""")"),"")</f>
        <v/>
      </c>
      <c r="C782" s="3" t="str">
        <f>IFERROR(__xludf.DUMMYFUNCTION("IFERROR(GOOGLEFINANCE(A782,""trail_dividend""),"""")"),"")</f>
        <v/>
      </c>
      <c r="D782" s="3" t="str">
        <f>IFERROR(__xludf.DUMMYFUNCTION("IFERROR(INDEX(IMPORTXML(""https://finance.yahoo.com/quote/""&amp;A782, ""//td[@data-test='EX_DIVIDEND_DATE-value']""),1),"""")"),"")</f>
        <v/>
      </c>
    </row>
    <row r="783" ht="15.75" customHeight="1">
      <c r="B783" s="3" t="str">
        <f>IFERROR(__xludf.DUMMYFUNCTION("IFERROR(GOOGLEFINANCE(A783,""yield"")*100,"""")"),"")</f>
        <v/>
      </c>
      <c r="C783" s="3" t="str">
        <f>IFERROR(__xludf.DUMMYFUNCTION("IFERROR(GOOGLEFINANCE(A783,""trail_dividend""),"""")"),"")</f>
        <v/>
      </c>
      <c r="D783" s="3" t="str">
        <f>IFERROR(__xludf.DUMMYFUNCTION("IFERROR(INDEX(IMPORTXML(""https://finance.yahoo.com/quote/""&amp;A783, ""//td[@data-test='EX_DIVIDEND_DATE-value']""),1),"""")"),"")</f>
        <v/>
      </c>
    </row>
    <row r="784" ht="15.75" customHeight="1">
      <c r="B784" s="3" t="str">
        <f>IFERROR(__xludf.DUMMYFUNCTION("IFERROR(GOOGLEFINANCE(A784,""yield"")*100,"""")"),"")</f>
        <v/>
      </c>
      <c r="C784" s="3" t="str">
        <f>IFERROR(__xludf.DUMMYFUNCTION("IFERROR(GOOGLEFINANCE(A784,""trail_dividend""),"""")"),"")</f>
        <v/>
      </c>
      <c r="D784" s="3" t="str">
        <f>IFERROR(__xludf.DUMMYFUNCTION("IFERROR(INDEX(IMPORTXML(""https://finance.yahoo.com/quote/""&amp;A784, ""//td[@data-test='EX_DIVIDEND_DATE-value']""),1),"""")"),"")</f>
        <v/>
      </c>
    </row>
    <row r="785" ht="15.75" customHeight="1">
      <c r="B785" s="3" t="str">
        <f>IFERROR(__xludf.DUMMYFUNCTION("IFERROR(GOOGLEFINANCE(A785,""yield"")*100,"""")"),"")</f>
        <v/>
      </c>
      <c r="C785" s="3" t="str">
        <f>IFERROR(__xludf.DUMMYFUNCTION("IFERROR(GOOGLEFINANCE(A785,""trail_dividend""),"""")"),"")</f>
        <v/>
      </c>
      <c r="D785" s="3" t="str">
        <f>IFERROR(__xludf.DUMMYFUNCTION("IFERROR(INDEX(IMPORTXML(""https://finance.yahoo.com/quote/""&amp;A785, ""//td[@data-test='EX_DIVIDEND_DATE-value']""),1),"""")"),"")</f>
        <v/>
      </c>
    </row>
    <row r="786" ht="15.75" customHeight="1">
      <c r="B786" s="3" t="str">
        <f>IFERROR(__xludf.DUMMYFUNCTION("IFERROR(GOOGLEFINANCE(A786,""yield"")*100,"""")"),"")</f>
        <v/>
      </c>
      <c r="C786" s="3" t="str">
        <f>IFERROR(__xludf.DUMMYFUNCTION("IFERROR(GOOGLEFINANCE(A786,""trail_dividend""),"""")"),"")</f>
        <v/>
      </c>
      <c r="D786" s="3" t="str">
        <f>IFERROR(__xludf.DUMMYFUNCTION("IFERROR(INDEX(IMPORTXML(""https://finance.yahoo.com/quote/""&amp;A786, ""//td[@data-test='EX_DIVIDEND_DATE-value']""),1),"""")"),"")</f>
        <v/>
      </c>
    </row>
    <row r="787" ht="15.75" customHeight="1">
      <c r="B787" s="3" t="str">
        <f>IFERROR(__xludf.DUMMYFUNCTION("IFERROR(GOOGLEFINANCE(A787,""yield"")*100,"""")"),"")</f>
        <v/>
      </c>
      <c r="C787" s="3" t="str">
        <f>IFERROR(__xludf.DUMMYFUNCTION("IFERROR(GOOGLEFINANCE(A787,""trail_dividend""),"""")"),"")</f>
        <v/>
      </c>
      <c r="D787" s="3" t="str">
        <f>IFERROR(__xludf.DUMMYFUNCTION("IFERROR(INDEX(IMPORTXML(""https://finance.yahoo.com/quote/""&amp;A787, ""//td[@data-test='EX_DIVIDEND_DATE-value']""),1),"""")"),"")</f>
        <v/>
      </c>
    </row>
    <row r="788" ht="15.75" customHeight="1">
      <c r="B788" s="3" t="str">
        <f>IFERROR(__xludf.DUMMYFUNCTION("IFERROR(GOOGLEFINANCE(A788,""yield"")*100,"""")"),"")</f>
        <v/>
      </c>
      <c r="C788" s="3" t="str">
        <f>IFERROR(__xludf.DUMMYFUNCTION("IFERROR(GOOGLEFINANCE(A788,""trail_dividend""),"""")"),"")</f>
        <v/>
      </c>
      <c r="D788" s="3" t="str">
        <f>IFERROR(__xludf.DUMMYFUNCTION("IFERROR(INDEX(IMPORTXML(""https://finance.yahoo.com/quote/""&amp;A788, ""//td[@data-test='EX_DIVIDEND_DATE-value']""),1),"""")"),"")</f>
        <v/>
      </c>
    </row>
    <row r="789" ht="15.75" customHeight="1">
      <c r="B789" s="3" t="str">
        <f>IFERROR(__xludf.DUMMYFUNCTION("IFERROR(GOOGLEFINANCE(A789,""yield"")*100,"""")"),"")</f>
        <v/>
      </c>
      <c r="C789" s="3" t="str">
        <f>IFERROR(__xludf.DUMMYFUNCTION("IFERROR(GOOGLEFINANCE(A789,""trail_dividend""),"""")"),"")</f>
        <v/>
      </c>
      <c r="D789" s="3" t="str">
        <f>IFERROR(__xludf.DUMMYFUNCTION("IFERROR(INDEX(IMPORTXML(""https://finance.yahoo.com/quote/""&amp;A789, ""//td[@data-test='EX_DIVIDEND_DATE-value']""),1),"""")"),"")</f>
        <v/>
      </c>
    </row>
    <row r="790" ht="15.75" customHeight="1">
      <c r="B790" s="3" t="str">
        <f>IFERROR(__xludf.DUMMYFUNCTION("IFERROR(GOOGLEFINANCE(A790,""yield"")*100,"""")"),"")</f>
        <v/>
      </c>
      <c r="C790" s="3" t="str">
        <f>IFERROR(__xludf.DUMMYFUNCTION("IFERROR(GOOGLEFINANCE(A790,""trail_dividend""),"""")"),"")</f>
        <v/>
      </c>
      <c r="D790" s="3" t="str">
        <f>IFERROR(__xludf.DUMMYFUNCTION("IFERROR(INDEX(IMPORTXML(""https://finance.yahoo.com/quote/""&amp;A790, ""//td[@data-test='EX_DIVIDEND_DATE-value']""),1),"""")"),"")</f>
        <v/>
      </c>
    </row>
    <row r="791" ht="15.75" customHeight="1">
      <c r="B791" s="3" t="str">
        <f>IFERROR(__xludf.DUMMYFUNCTION("IFERROR(GOOGLEFINANCE(A791,""yield"")*100,"""")"),"")</f>
        <v/>
      </c>
      <c r="C791" s="3" t="str">
        <f>IFERROR(__xludf.DUMMYFUNCTION("IFERROR(GOOGLEFINANCE(A791,""trail_dividend""),"""")"),"")</f>
        <v/>
      </c>
      <c r="D791" s="3" t="str">
        <f>IFERROR(__xludf.DUMMYFUNCTION("IFERROR(INDEX(IMPORTXML(""https://finance.yahoo.com/quote/""&amp;A791, ""//td[@data-test='EX_DIVIDEND_DATE-value']""),1),"""")"),"")</f>
        <v/>
      </c>
    </row>
    <row r="792" ht="15.75" customHeight="1">
      <c r="B792" s="3" t="str">
        <f>IFERROR(__xludf.DUMMYFUNCTION("IFERROR(GOOGLEFINANCE(A792,""yield"")*100,"""")"),"")</f>
        <v/>
      </c>
      <c r="C792" s="3" t="str">
        <f>IFERROR(__xludf.DUMMYFUNCTION("IFERROR(GOOGLEFINANCE(A792,""trail_dividend""),"""")"),"")</f>
        <v/>
      </c>
      <c r="D792" s="3" t="str">
        <f>IFERROR(__xludf.DUMMYFUNCTION("IFERROR(INDEX(IMPORTXML(""https://finance.yahoo.com/quote/""&amp;A792, ""//td[@data-test='EX_DIVIDEND_DATE-value']""),1),"""")"),"")</f>
        <v/>
      </c>
    </row>
    <row r="793" ht="15.75" customHeight="1">
      <c r="B793" s="3" t="str">
        <f>IFERROR(__xludf.DUMMYFUNCTION("IFERROR(GOOGLEFINANCE(A793,""yield"")*100,"""")"),"")</f>
        <v/>
      </c>
      <c r="C793" s="3" t="str">
        <f>IFERROR(__xludf.DUMMYFUNCTION("IFERROR(GOOGLEFINANCE(A793,""trail_dividend""),"""")"),"")</f>
        <v/>
      </c>
      <c r="D793" s="3" t="str">
        <f>IFERROR(__xludf.DUMMYFUNCTION("IFERROR(INDEX(IMPORTXML(""https://finance.yahoo.com/quote/""&amp;A793, ""//td[@data-test='EX_DIVIDEND_DATE-value']""),1),"""")"),"")</f>
        <v/>
      </c>
    </row>
    <row r="794" ht="15.75" customHeight="1">
      <c r="B794" s="3" t="str">
        <f>IFERROR(__xludf.DUMMYFUNCTION("IFERROR(GOOGLEFINANCE(A794,""yield"")*100,"""")"),"")</f>
        <v/>
      </c>
      <c r="C794" s="3" t="str">
        <f>IFERROR(__xludf.DUMMYFUNCTION("IFERROR(GOOGLEFINANCE(A794,""trail_dividend""),"""")"),"")</f>
        <v/>
      </c>
      <c r="D794" s="3" t="str">
        <f>IFERROR(__xludf.DUMMYFUNCTION("IFERROR(INDEX(IMPORTXML(""https://finance.yahoo.com/quote/""&amp;A794, ""//td[@data-test='EX_DIVIDEND_DATE-value']""),1),"""")"),"")</f>
        <v/>
      </c>
    </row>
    <row r="795" ht="15.75" customHeight="1">
      <c r="B795" s="3" t="str">
        <f>IFERROR(__xludf.DUMMYFUNCTION("IFERROR(GOOGLEFINANCE(A795,""yield"")*100,"""")"),"")</f>
        <v/>
      </c>
      <c r="C795" s="3" t="str">
        <f>IFERROR(__xludf.DUMMYFUNCTION("IFERROR(GOOGLEFINANCE(A795,""trail_dividend""),"""")"),"")</f>
        <v/>
      </c>
      <c r="D795" s="3" t="str">
        <f>IFERROR(__xludf.DUMMYFUNCTION("IFERROR(INDEX(IMPORTXML(""https://finance.yahoo.com/quote/""&amp;A795, ""//td[@data-test='EX_DIVIDEND_DATE-value']""),1),"""")"),"")</f>
        <v/>
      </c>
    </row>
    <row r="796" ht="15.75" customHeight="1">
      <c r="B796" s="3" t="str">
        <f>IFERROR(__xludf.DUMMYFUNCTION("IFERROR(GOOGLEFINANCE(A796,""yield"")*100,"""")"),"")</f>
        <v/>
      </c>
      <c r="C796" s="3" t="str">
        <f>IFERROR(__xludf.DUMMYFUNCTION("IFERROR(GOOGLEFINANCE(A796,""trail_dividend""),"""")"),"")</f>
        <v/>
      </c>
      <c r="D796" s="3" t="str">
        <f>IFERROR(__xludf.DUMMYFUNCTION("IFERROR(INDEX(IMPORTXML(""https://finance.yahoo.com/quote/""&amp;A796, ""//td[@data-test='EX_DIVIDEND_DATE-value']""),1),"""")"),"")</f>
        <v/>
      </c>
    </row>
    <row r="797" ht="15.75" customHeight="1">
      <c r="B797" s="3" t="str">
        <f>IFERROR(__xludf.DUMMYFUNCTION("IFERROR(GOOGLEFINANCE(A797,""yield"")*100,"""")"),"")</f>
        <v/>
      </c>
      <c r="C797" s="3" t="str">
        <f>IFERROR(__xludf.DUMMYFUNCTION("IFERROR(GOOGLEFINANCE(A797,""trail_dividend""),"""")"),"")</f>
        <v/>
      </c>
      <c r="D797" s="3" t="str">
        <f>IFERROR(__xludf.DUMMYFUNCTION("IFERROR(INDEX(IMPORTXML(""https://finance.yahoo.com/quote/""&amp;A797, ""//td[@data-test='EX_DIVIDEND_DATE-value']""),1),"""")"),"")</f>
        <v/>
      </c>
    </row>
    <row r="798" ht="15.75" customHeight="1">
      <c r="B798" s="3" t="str">
        <f>IFERROR(__xludf.DUMMYFUNCTION("IFERROR(GOOGLEFINANCE(A798,""yield"")*100,"""")"),"")</f>
        <v/>
      </c>
      <c r="C798" s="3" t="str">
        <f>IFERROR(__xludf.DUMMYFUNCTION("IFERROR(GOOGLEFINANCE(A798,""trail_dividend""),"""")"),"")</f>
        <v/>
      </c>
      <c r="D798" s="3" t="str">
        <f>IFERROR(__xludf.DUMMYFUNCTION("IFERROR(INDEX(IMPORTXML(""https://finance.yahoo.com/quote/""&amp;A798, ""//td[@data-test='EX_DIVIDEND_DATE-value']""),1),"""")"),"")</f>
        <v/>
      </c>
    </row>
    <row r="799" ht="15.75" customHeight="1">
      <c r="B799" s="3" t="str">
        <f>IFERROR(__xludf.DUMMYFUNCTION("IFERROR(GOOGLEFINANCE(A799,""yield"")*100,"""")"),"")</f>
        <v/>
      </c>
      <c r="C799" s="3" t="str">
        <f>IFERROR(__xludf.DUMMYFUNCTION("IFERROR(GOOGLEFINANCE(A799,""trail_dividend""),"""")"),"")</f>
        <v/>
      </c>
      <c r="D799" s="3" t="str">
        <f>IFERROR(__xludf.DUMMYFUNCTION("IFERROR(INDEX(IMPORTXML(""https://finance.yahoo.com/quote/""&amp;A799, ""//td[@data-test='EX_DIVIDEND_DATE-value']""),1),"""")"),"")</f>
        <v/>
      </c>
    </row>
    <row r="800" ht="15.75" customHeight="1">
      <c r="B800" s="3" t="str">
        <f>IFERROR(__xludf.DUMMYFUNCTION("IFERROR(GOOGLEFINANCE(A800,""yield"")*100,"""")"),"")</f>
        <v/>
      </c>
      <c r="C800" s="3" t="str">
        <f>IFERROR(__xludf.DUMMYFUNCTION("IFERROR(GOOGLEFINANCE(A800,""trail_dividend""),"""")"),"")</f>
        <v/>
      </c>
      <c r="D800" s="3" t="str">
        <f>IFERROR(__xludf.DUMMYFUNCTION("IFERROR(INDEX(IMPORTXML(""https://finance.yahoo.com/quote/""&amp;A800, ""//td[@data-test='EX_DIVIDEND_DATE-value']""),1),"""")"),"")</f>
        <v/>
      </c>
    </row>
    <row r="801" ht="15.75" customHeight="1">
      <c r="B801" s="3" t="str">
        <f>IFERROR(__xludf.DUMMYFUNCTION("IFERROR(GOOGLEFINANCE(A801,""yield"")*100,"""")"),"")</f>
        <v/>
      </c>
      <c r="C801" s="3" t="str">
        <f>IFERROR(__xludf.DUMMYFUNCTION("IFERROR(GOOGLEFINANCE(A801,""trail_dividend""),"""")"),"")</f>
        <v/>
      </c>
      <c r="D801" s="3" t="str">
        <f>IFERROR(__xludf.DUMMYFUNCTION("IFERROR(INDEX(IMPORTXML(""https://finance.yahoo.com/quote/""&amp;A801, ""//td[@data-test='EX_DIVIDEND_DATE-value']""),1),"""")"),"")</f>
        <v/>
      </c>
    </row>
    <row r="802" ht="15.75" customHeight="1">
      <c r="B802" s="3" t="str">
        <f>IFERROR(__xludf.DUMMYFUNCTION("IFERROR(GOOGLEFINANCE(A802,""yield"")*100,"""")"),"")</f>
        <v/>
      </c>
      <c r="C802" s="3" t="str">
        <f>IFERROR(__xludf.DUMMYFUNCTION("IFERROR(GOOGLEFINANCE(A802,""trail_dividend""),"""")"),"")</f>
        <v/>
      </c>
      <c r="D802" s="3" t="str">
        <f>IFERROR(__xludf.DUMMYFUNCTION("IFERROR(INDEX(IMPORTXML(""https://finance.yahoo.com/quote/""&amp;A802, ""//td[@data-test='EX_DIVIDEND_DATE-value']""),1),"""")"),"")</f>
        <v/>
      </c>
    </row>
    <row r="803" ht="15.75" customHeight="1">
      <c r="B803" s="3" t="str">
        <f>IFERROR(__xludf.DUMMYFUNCTION("IFERROR(GOOGLEFINANCE(A803,""yield"")*100,"""")"),"")</f>
        <v/>
      </c>
      <c r="C803" s="3" t="str">
        <f>IFERROR(__xludf.DUMMYFUNCTION("IFERROR(GOOGLEFINANCE(A803,""trail_dividend""),"""")"),"")</f>
        <v/>
      </c>
      <c r="D803" s="3" t="str">
        <f>IFERROR(__xludf.DUMMYFUNCTION("IFERROR(INDEX(IMPORTXML(""https://finance.yahoo.com/quote/""&amp;A803, ""//td[@data-test='EX_DIVIDEND_DATE-value']""),1),"""")"),"")</f>
        <v/>
      </c>
    </row>
    <row r="804" ht="15.75" customHeight="1">
      <c r="B804" s="3" t="str">
        <f>IFERROR(__xludf.DUMMYFUNCTION("IFERROR(GOOGLEFINANCE(A804,""yield"")*100,"""")"),"")</f>
        <v/>
      </c>
      <c r="C804" s="3" t="str">
        <f>IFERROR(__xludf.DUMMYFUNCTION("IFERROR(GOOGLEFINANCE(A804,""trail_dividend""),"""")"),"")</f>
        <v/>
      </c>
      <c r="D804" s="3" t="str">
        <f>IFERROR(__xludf.DUMMYFUNCTION("IFERROR(INDEX(IMPORTXML(""https://finance.yahoo.com/quote/""&amp;A804, ""//td[@data-test='EX_DIVIDEND_DATE-value']""),1),"""")"),"")</f>
        <v/>
      </c>
    </row>
    <row r="805" ht="15.75" customHeight="1">
      <c r="B805" s="3" t="str">
        <f>IFERROR(__xludf.DUMMYFUNCTION("IFERROR(GOOGLEFINANCE(A805,""yield"")*100,"""")"),"")</f>
        <v/>
      </c>
      <c r="C805" s="3" t="str">
        <f>IFERROR(__xludf.DUMMYFUNCTION("IFERROR(GOOGLEFINANCE(A805,""trail_dividend""),"""")"),"")</f>
        <v/>
      </c>
      <c r="D805" s="3" t="str">
        <f>IFERROR(__xludf.DUMMYFUNCTION("IFERROR(INDEX(IMPORTXML(""https://finance.yahoo.com/quote/""&amp;A805, ""//td[@data-test='EX_DIVIDEND_DATE-value']""),1),"""")"),"")</f>
        <v/>
      </c>
    </row>
    <row r="806" ht="15.75" customHeight="1">
      <c r="B806" s="3" t="str">
        <f>IFERROR(__xludf.DUMMYFUNCTION("IFERROR(GOOGLEFINANCE(A806,""yield"")*100,"""")"),"")</f>
        <v/>
      </c>
      <c r="C806" s="3" t="str">
        <f>IFERROR(__xludf.DUMMYFUNCTION("IFERROR(GOOGLEFINANCE(A806,""trail_dividend""),"""")"),"")</f>
        <v/>
      </c>
      <c r="D806" s="3" t="str">
        <f>IFERROR(__xludf.DUMMYFUNCTION("IFERROR(INDEX(IMPORTXML(""https://finance.yahoo.com/quote/""&amp;A806, ""//td[@data-test='EX_DIVIDEND_DATE-value']""),1),"""")"),"")</f>
        <v/>
      </c>
    </row>
    <row r="807" ht="15.75" customHeight="1">
      <c r="B807" s="3" t="str">
        <f>IFERROR(__xludf.DUMMYFUNCTION("IFERROR(GOOGLEFINANCE(A807,""yield"")*100,"""")"),"")</f>
        <v/>
      </c>
      <c r="C807" s="3" t="str">
        <f>IFERROR(__xludf.DUMMYFUNCTION("IFERROR(GOOGLEFINANCE(A807,""trail_dividend""),"""")"),"")</f>
        <v/>
      </c>
      <c r="D807" s="3" t="str">
        <f>IFERROR(__xludf.DUMMYFUNCTION("IFERROR(INDEX(IMPORTXML(""https://finance.yahoo.com/quote/""&amp;A807, ""//td[@data-test='EX_DIVIDEND_DATE-value']""),1),"""")"),"")</f>
        <v/>
      </c>
    </row>
    <row r="808" ht="15.75" customHeight="1">
      <c r="B808" s="3" t="str">
        <f>IFERROR(__xludf.DUMMYFUNCTION("IFERROR(GOOGLEFINANCE(A808,""yield"")*100,"""")"),"")</f>
        <v/>
      </c>
      <c r="C808" s="3" t="str">
        <f>IFERROR(__xludf.DUMMYFUNCTION("IFERROR(GOOGLEFINANCE(A808,""trail_dividend""),"""")"),"")</f>
        <v/>
      </c>
      <c r="D808" s="3" t="str">
        <f>IFERROR(__xludf.DUMMYFUNCTION("IFERROR(INDEX(IMPORTXML(""https://finance.yahoo.com/quote/""&amp;A808, ""//td[@data-test='EX_DIVIDEND_DATE-value']""),1),"""")"),"")</f>
        <v/>
      </c>
    </row>
    <row r="809" ht="15.75" customHeight="1">
      <c r="B809" s="3" t="str">
        <f>IFERROR(__xludf.DUMMYFUNCTION("IFERROR(GOOGLEFINANCE(A809,""yield"")*100,"""")"),"")</f>
        <v/>
      </c>
      <c r="C809" s="3" t="str">
        <f>IFERROR(__xludf.DUMMYFUNCTION("IFERROR(GOOGLEFINANCE(A809,""trail_dividend""),"""")"),"")</f>
        <v/>
      </c>
      <c r="D809" s="3" t="str">
        <f>IFERROR(__xludf.DUMMYFUNCTION("IFERROR(INDEX(IMPORTXML(""https://finance.yahoo.com/quote/""&amp;A809, ""//td[@data-test='EX_DIVIDEND_DATE-value']""),1),"""")"),"")</f>
        <v/>
      </c>
    </row>
    <row r="810" ht="15.75" customHeight="1">
      <c r="B810" s="3" t="str">
        <f>IFERROR(__xludf.DUMMYFUNCTION("IFERROR(GOOGLEFINANCE(A810,""yield"")*100,"""")"),"")</f>
        <v/>
      </c>
      <c r="C810" s="3" t="str">
        <f>IFERROR(__xludf.DUMMYFUNCTION("IFERROR(GOOGLEFINANCE(A810,""trail_dividend""),"""")"),"")</f>
        <v/>
      </c>
      <c r="D810" s="3" t="str">
        <f>IFERROR(__xludf.DUMMYFUNCTION("IFERROR(INDEX(IMPORTXML(""https://finance.yahoo.com/quote/""&amp;A810, ""//td[@data-test='EX_DIVIDEND_DATE-value']""),1),"""")"),"")</f>
        <v/>
      </c>
    </row>
    <row r="811" ht="15.75" customHeight="1">
      <c r="B811" s="3" t="str">
        <f>IFERROR(__xludf.DUMMYFUNCTION("IFERROR(GOOGLEFINANCE(A811,""yield"")*100,"""")"),"")</f>
        <v/>
      </c>
      <c r="C811" s="3" t="str">
        <f>IFERROR(__xludf.DUMMYFUNCTION("IFERROR(GOOGLEFINANCE(A811,""trail_dividend""),"""")"),"")</f>
        <v/>
      </c>
      <c r="D811" s="3" t="str">
        <f>IFERROR(__xludf.DUMMYFUNCTION("IFERROR(INDEX(IMPORTXML(""https://finance.yahoo.com/quote/""&amp;A811, ""//td[@data-test='EX_DIVIDEND_DATE-value']""),1),"""")"),"")</f>
        <v/>
      </c>
    </row>
    <row r="812" ht="15.75" customHeight="1">
      <c r="B812" s="3" t="str">
        <f>IFERROR(__xludf.DUMMYFUNCTION("IFERROR(GOOGLEFINANCE(A812,""yield"")*100,"""")"),"")</f>
        <v/>
      </c>
      <c r="C812" s="3" t="str">
        <f>IFERROR(__xludf.DUMMYFUNCTION("IFERROR(GOOGLEFINANCE(A812,""trail_dividend""),"""")"),"")</f>
        <v/>
      </c>
      <c r="D812" s="3" t="str">
        <f>IFERROR(__xludf.DUMMYFUNCTION("IFERROR(INDEX(IMPORTXML(""https://finance.yahoo.com/quote/""&amp;A812, ""//td[@data-test='EX_DIVIDEND_DATE-value']""),1),"""")"),"")</f>
        <v/>
      </c>
    </row>
    <row r="813" ht="15.75" customHeight="1">
      <c r="B813" s="3" t="str">
        <f>IFERROR(__xludf.DUMMYFUNCTION("IFERROR(GOOGLEFINANCE(A813,""yield"")*100,"""")"),"")</f>
        <v/>
      </c>
      <c r="C813" s="3" t="str">
        <f>IFERROR(__xludf.DUMMYFUNCTION("IFERROR(GOOGLEFINANCE(A813,""trail_dividend""),"""")"),"")</f>
        <v/>
      </c>
      <c r="D813" s="3" t="str">
        <f>IFERROR(__xludf.DUMMYFUNCTION("IFERROR(INDEX(IMPORTXML(""https://finance.yahoo.com/quote/""&amp;A813, ""//td[@data-test='EX_DIVIDEND_DATE-value']""),1),"""")"),"")</f>
        <v/>
      </c>
    </row>
    <row r="814" ht="15.75" customHeight="1">
      <c r="B814" s="3" t="str">
        <f>IFERROR(__xludf.DUMMYFUNCTION("IFERROR(GOOGLEFINANCE(A814,""yield"")*100,"""")"),"")</f>
        <v/>
      </c>
      <c r="C814" s="3" t="str">
        <f>IFERROR(__xludf.DUMMYFUNCTION("IFERROR(GOOGLEFINANCE(A814,""trail_dividend""),"""")"),"")</f>
        <v/>
      </c>
      <c r="D814" s="3" t="str">
        <f>IFERROR(__xludf.DUMMYFUNCTION("IFERROR(INDEX(IMPORTXML(""https://finance.yahoo.com/quote/""&amp;A814, ""//td[@data-test='EX_DIVIDEND_DATE-value']""),1),"""")"),"")</f>
        <v/>
      </c>
    </row>
    <row r="815" ht="15.75" customHeight="1">
      <c r="B815" s="3" t="str">
        <f>IFERROR(__xludf.DUMMYFUNCTION("IFERROR(GOOGLEFINANCE(A815,""yield"")*100,"""")"),"")</f>
        <v/>
      </c>
      <c r="C815" s="3" t="str">
        <f>IFERROR(__xludf.DUMMYFUNCTION("IFERROR(GOOGLEFINANCE(A815,""trail_dividend""),"""")"),"")</f>
        <v/>
      </c>
      <c r="D815" s="3" t="str">
        <f>IFERROR(__xludf.DUMMYFUNCTION("IFERROR(INDEX(IMPORTXML(""https://finance.yahoo.com/quote/""&amp;A815, ""//td[@data-test='EX_DIVIDEND_DATE-value']""),1),"""")"),"")</f>
        <v/>
      </c>
    </row>
    <row r="816" ht="15.75" customHeight="1">
      <c r="B816" s="3" t="str">
        <f>IFERROR(__xludf.DUMMYFUNCTION("IFERROR(GOOGLEFINANCE(A816,""yield"")*100,"""")"),"")</f>
        <v/>
      </c>
      <c r="C816" s="3" t="str">
        <f>IFERROR(__xludf.DUMMYFUNCTION("IFERROR(GOOGLEFINANCE(A816,""trail_dividend""),"""")"),"")</f>
        <v/>
      </c>
      <c r="D816" s="3" t="str">
        <f>IFERROR(__xludf.DUMMYFUNCTION("IFERROR(INDEX(IMPORTXML(""https://finance.yahoo.com/quote/""&amp;A816, ""//td[@data-test='EX_DIVIDEND_DATE-value']""),1),"""")"),"")</f>
        <v/>
      </c>
    </row>
    <row r="817" ht="15.75" customHeight="1">
      <c r="B817" s="3" t="str">
        <f>IFERROR(__xludf.DUMMYFUNCTION("IFERROR(GOOGLEFINANCE(A817,""yield"")*100,"""")"),"")</f>
        <v/>
      </c>
      <c r="C817" s="3" t="str">
        <f>IFERROR(__xludf.DUMMYFUNCTION("IFERROR(GOOGLEFINANCE(A817,""trail_dividend""),"""")"),"")</f>
        <v/>
      </c>
      <c r="D817" s="3" t="str">
        <f>IFERROR(__xludf.DUMMYFUNCTION("IFERROR(INDEX(IMPORTXML(""https://finance.yahoo.com/quote/""&amp;A817, ""//td[@data-test='EX_DIVIDEND_DATE-value']""),1),"""")"),"")</f>
        <v/>
      </c>
    </row>
    <row r="818" ht="15.75" customHeight="1">
      <c r="B818" s="3" t="str">
        <f>IFERROR(__xludf.DUMMYFUNCTION("IFERROR(GOOGLEFINANCE(A818,""yield"")*100,"""")"),"")</f>
        <v/>
      </c>
      <c r="C818" s="3" t="str">
        <f>IFERROR(__xludf.DUMMYFUNCTION("IFERROR(GOOGLEFINANCE(A818,""trail_dividend""),"""")"),"")</f>
        <v/>
      </c>
      <c r="D818" s="3" t="str">
        <f>IFERROR(__xludf.DUMMYFUNCTION("IFERROR(INDEX(IMPORTXML(""https://finance.yahoo.com/quote/""&amp;A818, ""//td[@data-test='EX_DIVIDEND_DATE-value']""),1),"""")"),"")</f>
        <v/>
      </c>
    </row>
    <row r="819" ht="15.75" customHeight="1">
      <c r="B819" s="3" t="str">
        <f>IFERROR(__xludf.DUMMYFUNCTION("IFERROR(GOOGLEFINANCE(A819,""yield"")*100,"""")"),"")</f>
        <v/>
      </c>
      <c r="C819" s="3" t="str">
        <f>IFERROR(__xludf.DUMMYFUNCTION("IFERROR(GOOGLEFINANCE(A819,""trail_dividend""),"""")"),"")</f>
        <v/>
      </c>
      <c r="D819" s="3" t="str">
        <f>IFERROR(__xludf.DUMMYFUNCTION("IFERROR(INDEX(IMPORTXML(""https://finance.yahoo.com/quote/""&amp;A819, ""//td[@data-test='EX_DIVIDEND_DATE-value']""),1),"""")"),"")</f>
        <v/>
      </c>
    </row>
    <row r="820" ht="15.75" customHeight="1">
      <c r="B820" s="3" t="str">
        <f>IFERROR(__xludf.DUMMYFUNCTION("IFERROR(GOOGLEFINANCE(A820,""yield"")*100,"""")"),"")</f>
        <v/>
      </c>
      <c r="C820" s="3" t="str">
        <f>IFERROR(__xludf.DUMMYFUNCTION("IFERROR(GOOGLEFINANCE(A820,""trail_dividend""),"""")"),"")</f>
        <v/>
      </c>
      <c r="D820" s="3" t="str">
        <f>IFERROR(__xludf.DUMMYFUNCTION("IFERROR(INDEX(IMPORTXML(""https://finance.yahoo.com/quote/""&amp;A820, ""//td[@data-test='EX_DIVIDEND_DATE-value']""),1),"""")"),"")</f>
        <v/>
      </c>
    </row>
    <row r="821" ht="15.75" customHeight="1">
      <c r="B821" s="3" t="str">
        <f>IFERROR(__xludf.DUMMYFUNCTION("IFERROR(GOOGLEFINANCE(A821,""yield"")*100,"""")"),"")</f>
        <v/>
      </c>
      <c r="C821" s="3" t="str">
        <f>IFERROR(__xludf.DUMMYFUNCTION("IFERROR(GOOGLEFINANCE(A821,""trail_dividend""),"""")"),"")</f>
        <v/>
      </c>
      <c r="D821" s="3" t="str">
        <f>IFERROR(__xludf.DUMMYFUNCTION("IFERROR(INDEX(IMPORTXML(""https://finance.yahoo.com/quote/""&amp;A821, ""//td[@data-test='EX_DIVIDEND_DATE-value']""),1),"""")"),"")</f>
        <v/>
      </c>
    </row>
    <row r="822" ht="15.75" customHeight="1">
      <c r="B822" s="3" t="str">
        <f>IFERROR(__xludf.DUMMYFUNCTION("IFERROR(GOOGLEFINANCE(A822,""yield"")*100,"""")"),"")</f>
        <v/>
      </c>
      <c r="C822" s="3" t="str">
        <f>IFERROR(__xludf.DUMMYFUNCTION("IFERROR(GOOGLEFINANCE(A822,""trail_dividend""),"""")"),"")</f>
        <v/>
      </c>
      <c r="D822" s="3" t="str">
        <f>IFERROR(__xludf.DUMMYFUNCTION("IFERROR(INDEX(IMPORTXML(""https://finance.yahoo.com/quote/""&amp;A822, ""//td[@data-test='EX_DIVIDEND_DATE-value']""),1),"""")"),"")</f>
        <v/>
      </c>
    </row>
    <row r="823" ht="15.75" customHeight="1">
      <c r="B823" s="3" t="str">
        <f>IFERROR(__xludf.DUMMYFUNCTION("IFERROR(GOOGLEFINANCE(A823,""yield"")*100,"""")"),"")</f>
        <v/>
      </c>
      <c r="C823" s="3" t="str">
        <f>IFERROR(__xludf.DUMMYFUNCTION("IFERROR(GOOGLEFINANCE(A823,""trail_dividend""),"""")"),"")</f>
        <v/>
      </c>
      <c r="D823" s="3" t="str">
        <f>IFERROR(__xludf.DUMMYFUNCTION("IFERROR(INDEX(IMPORTXML(""https://finance.yahoo.com/quote/""&amp;A823, ""//td[@data-test='EX_DIVIDEND_DATE-value']""),1),"""")"),"")</f>
        <v/>
      </c>
    </row>
    <row r="824" ht="15.75" customHeight="1">
      <c r="B824" s="3" t="str">
        <f>IFERROR(__xludf.DUMMYFUNCTION("IFERROR(GOOGLEFINANCE(A824,""yield"")*100,"""")"),"")</f>
        <v/>
      </c>
      <c r="C824" s="3" t="str">
        <f>IFERROR(__xludf.DUMMYFUNCTION("IFERROR(GOOGLEFINANCE(A824,""trail_dividend""),"""")"),"")</f>
        <v/>
      </c>
      <c r="D824" s="3" t="str">
        <f>IFERROR(__xludf.DUMMYFUNCTION("IFERROR(INDEX(IMPORTXML(""https://finance.yahoo.com/quote/""&amp;A824, ""//td[@data-test='EX_DIVIDEND_DATE-value']""),1),"""")"),"")</f>
        <v/>
      </c>
    </row>
    <row r="825" ht="15.75" customHeight="1">
      <c r="B825" s="3" t="str">
        <f>IFERROR(__xludf.DUMMYFUNCTION("IFERROR(GOOGLEFINANCE(A825,""yield"")*100,"""")"),"")</f>
        <v/>
      </c>
      <c r="C825" s="3" t="str">
        <f>IFERROR(__xludf.DUMMYFUNCTION("IFERROR(GOOGLEFINANCE(A825,""trail_dividend""),"""")"),"")</f>
        <v/>
      </c>
      <c r="D825" s="3" t="str">
        <f>IFERROR(__xludf.DUMMYFUNCTION("IFERROR(INDEX(IMPORTXML(""https://finance.yahoo.com/quote/""&amp;A825, ""//td[@data-test='EX_DIVIDEND_DATE-value']""),1),"""")"),"")</f>
        <v/>
      </c>
    </row>
    <row r="826" ht="15.75" customHeight="1">
      <c r="B826" s="3" t="str">
        <f>IFERROR(__xludf.DUMMYFUNCTION("IFERROR(GOOGLEFINANCE(A826,""yield"")*100,"""")"),"")</f>
        <v/>
      </c>
      <c r="C826" s="3" t="str">
        <f>IFERROR(__xludf.DUMMYFUNCTION("IFERROR(GOOGLEFINANCE(A826,""trail_dividend""),"""")"),"")</f>
        <v/>
      </c>
      <c r="D826" s="3" t="str">
        <f>IFERROR(__xludf.DUMMYFUNCTION("IFERROR(INDEX(IMPORTXML(""https://finance.yahoo.com/quote/""&amp;A826, ""//td[@data-test='EX_DIVIDEND_DATE-value']""),1),"""")"),"")</f>
        <v/>
      </c>
    </row>
    <row r="827" ht="15.75" customHeight="1">
      <c r="B827" s="3" t="str">
        <f>IFERROR(__xludf.DUMMYFUNCTION("IFERROR(GOOGLEFINANCE(A827,""yield"")*100,"""")"),"")</f>
        <v/>
      </c>
      <c r="C827" s="3" t="str">
        <f>IFERROR(__xludf.DUMMYFUNCTION("IFERROR(GOOGLEFINANCE(A827,""trail_dividend""),"""")"),"")</f>
        <v/>
      </c>
      <c r="D827" s="3" t="str">
        <f>IFERROR(__xludf.DUMMYFUNCTION("IFERROR(INDEX(IMPORTXML(""https://finance.yahoo.com/quote/""&amp;A827, ""//td[@data-test='EX_DIVIDEND_DATE-value']""),1),"""")"),"")</f>
        <v/>
      </c>
    </row>
    <row r="828" ht="15.75" customHeight="1">
      <c r="B828" s="3" t="str">
        <f>IFERROR(__xludf.DUMMYFUNCTION("IFERROR(GOOGLEFINANCE(A828,""yield"")*100,"""")"),"")</f>
        <v/>
      </c>
      <c r="C828" s="3" t="str">
        <f>IFERROR(__xludf.DUMMYFUNCTION("IFERROR(GOOGLEFINANCE(A828,""trail_dividend""),"""")"),"")</f>
        <v/>
      </c>
      <c r="D828" s="3" t="str">
        <f>IFERROR(__xludf.DUMMYFUNCTION("IFERROR(INDEX(IMPORTXML(""https://finance.yahoo.com/quote/""&amp;A828, ""//td[@data-test='EX_DIVIDEND_DATE-value']""),1),"""")"),"")</f>
        <v/>
      </c>
    </row>
    <row r="829" ht="15.75" customHeight="1">
      <c r="B829" s="3" t="str">
        <f>IFERROR(__xludf.DUMMYFUNCTION("IFERROR(GOOGLEFINANCE(A829,""yield"")*100,"""")"),"")</f>
        <v/>
      </c>
      <c r="C829" s="3" t="str">
        <f>IFERROR(__xludf.DUMMYFUNCTION("IFERROR(GOOGLEFINANCE(A829,""trail_dividend""),"""")"),"")</f>
        <v/>
      </c>
      <c r="D829" s="3" t="str">
        <f>IFERROR(__xludf.DUMMYFUNCTION("IFERROR(INDEX(IMPORTXML(""https://finance.yahoo.com/quote/""&amp;A829, ""//td[@data-test='EX_DIVIDEND_DATE-value']""),1),"""")"),"")</f>
        <v/>
      </c>
    </row>
    <row r="830" ht="15.75" customHeight="1">
      <c r="B830" s="3" t="str">
        <f>IFERROR(__xludf.DUMMYFUNCTION("IFERROR(GOOGLEFINANCE(A830,""yield"")*100,"""")"),"")</f>
        <v/>
      </c>
      <c r="C830" s="3" t="str">
        <f>IFERROR(__xludf.DUMMYFUNCTION("IFERROR(GOOGLEFINANCE(A830,""trail_dividend""),"""")"),"")</f>
        <v/>
      </c>
      <c r="D830" s="3" t="str">
        <f>IFERROR(__xludf.DUMMYFUNCTION("IFERROR(INDEX(IMPORTXML(""https://finance.yahoo.com/quote/""&amp;A830, ""//td[@data-test='EX_DIVIDEND_DATE-value']""),1),"""")"),"")</f>
        <v/>
      </c>
    </row>
    <row r="831" ht="15.75" customHeight="1">
      <c r="B831" s="3" t="str">
        <f>IFERROR(__xludf.DUMMYFUNCTION("IFERROR(GOOGLEFINANCE(A831,""yield"")*100,"""")"),"")</f>
        <v/>
      </c>
      <c r="C831" s="3" t="str">
        <f>IFERROR(__xludf.DUMMYFUNCTION("IFERROR(GOOGLEFINANCE(A831,""trail_dividend""),"""")"),"")</f>
        <v/>
      </c>
      <c r="D831" s="3" t="str">
        <f>IFERROR(__xludf.DUMMYFUNCTION("IFERROR(INDEX(IMPORTXML(""https://finance.yahoo.com/quote/""&amp;A831, ""//td[@data-test='EX_DIVIDEND_DATE-value']""),1),"""")"),"")</f>
        <v/>
      </c>
    </row>
    <row r="832" ht="15.75" customHeight="1">
      <c r="B832" s="3" t="str">
        <f>IFERROR(__xludf.DUMMYFUNCTION("IFERROR(GOOGLEFINANCE(A832,""yield"")*100,"""")"),"")</f>
        <v/>
      </c>
      <c r="C832" s="3" t="str">
        <f>IFERROR(__xludf.DUMMYFUNCTION("IFERROR(GOOGLEFINANCE(A832,""trail_dividend""),"""")"),"")</f>
        <v/>
      </c>
      <c r="D832" s="3" t="str">
        <f>IFERROR(__xludf.DUMMYFUNCTION("IFERROR(INDEX(IMPORTXML(""https://finance.yahoo.com/quote/""&amp;A832, ""//td[@data-test='EX_DIVIDEND_DATE-value']""),1),"""")"),"")</f>
        <v/>
      </c>
    </row>
    <row r="833" ht="15.75" customHeight="1">
      <c r="B833" s="3" t="str">
        <f>IFERROR(__xludf.DUMMYFUNCTION("IFERROR(GOOGLEFINANCE(A833,""yield"")*100,"""")"),"")</f>
        <v/>
      </c>
      <c r="C833" s="3" t="str">
        <f>IFERROR(__xludf.DUMMYFUNCTION("IFERROR(GOOGLEFINANCE(A833,""trail_dividend""),"""")"),"")</f>
        <v/>
      </c>
      <c r="D833" s="3" t="str">
        <f>IFERROR(__xludf.DUMMYFUNCTION("IFERROR(INDEX(IMPORTXML(""https://finance.yahoo.com/quote/""&amp;A833, ""//td[@data-test='EX_DIVIDEND_DATE-value']""),1),"""")"),"")</f>
        <v/>
      </c>
    </row>
    <row r="834" ht="15.75" customHeight="1">
      <c r="B834" s="3" t="str">
        <f>IFERROR(__xludf.DUMMYFUNCTION("IFERROR(GOOGLEFINANCE(A834,""yield"")*100,"""")"),"")</f>
        <v/>
      </c>
      <c r="C834" s="3" t="str">
        <f>IFERROR(__xludf.DUMMYFUNCTION("IFERROR(GOOGLEFINANCE(A834,""trail_dividend""),"""")"),"")</f>
        <v/>
      </c>
      <c r="D834" s="3" t="str">
        <f>IFERROR(__xludf.DUMMYFUNCTION("IFERROR(INDEX(IMPORTXML(""https://finance.yahoo.com/quote/""&amp;A834, ""//td[@data-test='EX_DIVIDEND_DATE-value']""),1),"""")"),"")</f>
        <v/>
      </c>
    </row>
    <row r="835" ht="15.75" customHeight="1">
      <c r="B835" s="3" t="str">
        <f>IFERROR(__xludf.DUMMYFUNCTION("IFERROR(GOOGLEFINANCE(A835,""yield"")*100,"""")"),"")</f>
        <v/>
      </c>
      <c r="C835" s="3" t="str">
        <f>IFERROR(__xludf.DUMMYFUNCTION("IFERROR(GOOGLEFINANCE(A835,""trail_dividend""),"""")"),"")</f>
        <v/>
      </c>
      <c r="D835" s="3" t="str">
        <f>IFERROR(__xludf.DUMMYFUNCTION("IFERROR(INDEX(IMPORTXML(""https://finance.yahoo.com/quote/""&amp;A835, ""//td[@data-test='EX_DIVIDEND_DATE-value']""),1),"""")"),"")</f>
        <v/>
      </c>
    </row>
    <row r="836" ht="15.75" customHeight="1">
      <c r="B836" s="3" t="str">
        <f>IFERROR(__xludf.DUMMYFUNCTION("IFERROR(GOOGLEFINANCE(A836,""yield"")*100,"""")"),"")</f>
        <v/>
      </c>
      <c r="C836" s="3" t="str">
        <f>IFERROR(__xludf.DUMMYFUNCTION("IFERROR(GOOGLEFINANCE(A836,""trail_dividend""),"""")"),"")</f>
        <v/>
      </c>
      <c r="D836" s="3" t="str">
        <f>IFERROR(__xludf.DUMMYFUNCTION("IFERROR(INDEX(IMPORTXML(""https://finance.yahoo.com/quote/""&amp;A836, ""//td[@data-test='EX_DIVIDEND_DATE-value']""),1),"""")"),"")</f>
        <v/>
      </c>
    </row>
    <row r="837" ht="15.75" customHeight="1">
      <c r="B837" s="3" t="str">
        <f>IFERROR(__xludf.DUMMYFUNCTION("IFERROR(GOOGLEFINANCE(A837,""yield"")*100,"""")"),"")</f>
        <v/>
      </c>
      <c r="C837" s="3" t="str">
        <f>IFERROR(__xludf.DUMMYFUNCTION("IFERROR(GOOGLEFINANCE(A837,""trail_dividend""),"""")"),"")</f>
        <v/>
      </c>
      <c r="D837" s="3" t="str">
        <f>IFERROR(__xludf.DUMMYFUNCTION("IFERROR(INDEX(IMPORTXML(""https://finance.yahoo.com/quote/""&amp;A837, ""//td[@data-test='EX_DIVIDEND_DATE-value']""),1),"""")"),"")</f>
        <v/>
      </c>
    </row>
    <row r="838" ht="15.75" customHeight="1">
      <c r="B838" s="3" t="str">
        <f>IFERROR(__xludf.DUMMYFUNCTION("IFERROR(GOOGLEFINANCE(A838,""yield"")*100,"""")"),"")</f>
        <v/>
      </c>
      <c r="C838" s="3" t="str">
        <f>IFERROR(__xludf.DUMMYFUNCTION("IFERROR(GOOGLEFINANCE(A838,""trail_dividend""),"""")"),"")</f>
        <v/>
      </c>
      <c r="D838" s="3" t="str">
        <f>IFERROR(__xludf.DUMMYFUNCTION("IFERROR(INDEX(IMPORTXML(""https://finance.yahoo.com/quote/""&amp;A838, ""//td[@data-test='EX_DIVIDEND_DATE-value']""),1),"""")"),"")</f>
        <v/>
      </c>
    </row>
    <row r="839" ht="15.75" customHeight="1">
      <c r="B839" s="3" t="str">
        <f>IFERROR(__xludf.DUMMYFUNCTION("IFERROR(GOOGLEFINANCE(A839,""yield"")*100,"""")"),"")</f>
        <v/>
      </c>
      <c r="C839" s="3" t="str">
        <f>IFERROR(__xludf.DUMMYFUNCTION("IFERROR(GOOGLEFINANCE(A839,""trail_dividend""),"""")"),"")</f>
        <v/>
      </c>
      <c r="D839" s="3" t="str">
        <f>IFERROR(__xludf.DUMMYFUNCTION("IFERROR(INDEX(IMPORTXML(""https://finance.yahoo.com/quote/""&amp;A839, ""//td[@data-test='EX_DIVIDEND_DATE-value']""),1),"""")"),"")</f>
        <v/>
      </c>
    </row>
    <row r="840" ht="15.75" customHeight="1">
      <c r="B840" s="3" t="str">
        <f>IFERROR(__xludf.DUMMYFUNCTION("IFERROR(GOOGLEFINANCE(A840,""yield"")*100,"""")"),"")</f>
        <v/>
      </c>
      <c r="C840" s="3" t="str">
        <f>IFERROR(__xludf.DUMMYFUNCTION("IFERROR(GOOGLEFINANCE(A840,""trail_dividend""),"""")"),"")</f>
        <v/>
      </c>
      <c r="D840" s="3" t="str">
        <f>IFERROR(__xludf.DUMMYFUNCTION("IFERROR(INDEX(IMPORTXML(""https://finance.yahoo.com/quote/""&amp;A840, ""//td[@data-test='EX_DIVIDEND_DATE-value']""),1),"""")"),"")</f>
        <v/>
      </c>
    </row>
    <row r="841" ht="15.75" customHeight="1">
      <c r="B841" s="3" t="str">
        <f>IFERROR(__xludf.DUMMYFUNCTION("IFERROR(GOOGLEFINANCE(A841,""yield"")*100,"""")"),"")</f>
        <v/>
      </c>
      <c r="C841" s="3" t="str">
        <f>IFERROR(__xludf.DUMMYFUNCTION("IFERROR(GOOGLEFINANCE(A841,""trail_dividend""),"""")"),"")</f>
        <v/>
      </c>
      <c r="D841" s="3" t="str">
        <f>IFERROR(__xludf.DUMMYFUNCTION("IFERROR(INDEX(IMPORTXML(""https://finance.yahoo.com/quote/""&amp;A841, ""//td[@data-test='EX_DIVIDEND_DATE-value']""),1),"""")"),"")</f>
        <v/>
      </c>
    </row>
    <row r="842" ht="15.75" customHeight="1">
      <c r="B842" s="3" t="str">
        <f>IFERROR(__xludf.DUMMYFUNCTION("IFERROR(GOOGLEFINANCE(A842,""yield"")*100,"""")"),"")</f>
        <v/>
      </c>
      <c r="C842" s="3" t="str">
        <f>IFERROR(__xludf.DUMMYFUNCTION("IFERROR(GOOGLEFINANCE(A842,""trail_dividend""),"""")"),"")</f>
        <v/>
      </c>
      <c r="D842" s="3" t="str">
        <f>IFERROR(__xludf.DUMMYFUNCTION("IFERROR(INDEX(IMPORTXML(""https://finance.yahoo.com/quote/""&amp;A842, ""//td[@data-test='EX_DIVIDEND_DATE-value']""),1),"""")"),"")</f>
        <v/>
      </c>
    </row>
    <row r="843" ht="15.75" customHeight="1">
      <c r="B843" s="3" t="str">
        <f>IFERROR(__xludf.DUMMYFUNCTION("IFERROR(GOOGLEFINANCE(A843,""yield"")*100,"""")"),"")</f>
        <v/>
      </c>
      <c r="C843" s="3" t="str">
        <f>IFERROR(__xludf.DUMMYFUNCTION("IFERROR(GOOGLEFINANCE(A843,""trail_dividend""),"""")"),"")</f>
        <v/>
      </c>
      <c r="D843" s="3" t="str">
        <f>IFERROR(__xludf.DUMMYFUNCTION("IFERROR(INDEX(IMPORTXML(""https://finance.yahoo.com/quote/""&amp;A843, ""//td[@data-test='EX_DIVIDEND_DATE-value']""),1),"""")"),"")</f>
        <v/>
      </c>
    </row>
    <row r="844" ht="15.75" customHeight="1">
      <c r="B844" s="3" t="str">
        <f>IFERROR(__xludf.DUMMYFUNCTION("IFERROR(GOOGLEFINANCE(A844,""yield"")*100,"""")"),"")</f>
        <v/>
      </c>
      <c r="C844" s="3" t="str">
        <f>IFERROR(__xludf.DUMMYFUNCTION("IFERROR(GOOGLEFINANCE(A844,""trail_dividend""),"""")"),"")</f>
        <v/>
      </c>
      <c r="D844" s="3" t="str">
        <f>IFERROR(__xludf.DUMMYFUNCTION("IFERROR(INDEX(IMPORTXML(""https://finance.yahoo.com/quote/""&amp;A844, ""//td[@data-test='EX_DIVIDEND_DATE-value']""),1),"""")"),"")</f>
        <v/>
      </c>
    </row>
    <row r="845" ht="15.75" customHeight="1">
      <c r="B845" s="3" t="str">
        <f>IFERROR(__xludf.DUMMYFUNCTION("IFERROR(GOOGLEFINANCE(A845,""yield"")*100,"""")"),"")</f>
        <v/>
      </c>
      <c r="C845" s="3" t="str">
        <f>IFERROR(__xludf.DUMMYFUNCTION("IFERROR(GOOGLEFINANCE(A845,""trail_dividend""),"""")"),"")</f>
        <v/>
      </c>
      <c r="D845" s="3" t="str">
        <f>IFERROR(__xludf.DUMMYFUNCTION("IFERROR(INDEX(IMPORTXML(""https://finance.yahoo.com/quote/""&amp;A845, ""//td[@data-test='EX_DIVIDEND_DATE-value']""),1),"""")"),"")</f>
        <v/>
      </c>
    </row>
    <row r="846" ht="15.75" customHeight="1">
      <c r="B846" s="3" t="str">
        <f>IFERROR(__xludf.DUMMYFUNCTION("IFERROR(GOOGLEFINANCE(A846,""yield"")*100,"""")"),"")</f>
        <v/>
      </c>
      <c r="C846" s="3" t="str">
        <f>IFERROR(__xludf.DUMMYFUNCTION("IFERROR(GOOGLEFINANCE(A846,""trail_dividend""),"""")"),"")</f>
        <v/>
      </c>
      <c r="D846" s="3" t="str">
        <f>IFERROR(__xludf.DUMMYFUNCTION("IFERROR(INDEX(IMPORTXML(""https://finance.yahoo.com/quote/""&amp;A846, ""//td[@data-test='EX_DIVIDEND_DATE-value']""),1),"""")"),"")</f>
        <v/>
      </c>
    </row>
    <row r="847" ht="15.75" customHeight="1">
      <c r="B847" s="3" t="str">
        <f>IFERROR(__xludf.DUMMYFUNCTION("IFERROR(GOOGLEFINANCE(A847,""yield"")*100,"""")"),"")</f>
        <v/>
      </c>
      <c r="C847" s="3" t="str">
        <f>IFERROR(__xludf.DUMMYFUNCTION("IFERROR(GOOGLEFINANCE(A847,""trail_dividend""),"""")"),"")</f>
        <v/>
      </c>
      <c r="D847" s="3" t="str">
        <f>IFERROR(__xludf.DUMMYFUNCTION("IFERROR(INDEX(IMPORTXML(""https://finance.yahoo.com/quote/""&amp;A847, ""//td[@data-test='EX_DIVIDEND_DATE-value']""),1),"""")"),"")</f>
        <v/>
      </c>
    </row>
    <row r="848" ht="15.75" customHeight="1">
      <c r="B848" s="3" t="str">
        <f>IFERROR(__xludf.DUMMYFUNCTION("IFERROR(GOOGLEFINANCE(A848,""yield"")*100,"""")"),"")</f>
        <v/>
      </c>
      <c r="C848" s="3" t="str">
        <f>IFERROR(__xludf.DUMMYFUNCTION("IFERROR(GOOGLEFINANCE(A848,""trail_dividend""),"""")"),"")</f>
        <v/>
      </c>
      <c r="D848" s="3" t="str">
        <f>IFERROR(__xludf.DUMMYFUNCTION("IFERROR(INDEX(IMPORTXML(""https://finance.yahoo.com/quote/""&amp;A848, ""//td[@data-test='EX_DIVIDEND_DATE-value']""),1),"""")"),"")</f>
        <v/>
      </c>
    </row>
    <row r="849" ht="15.75" customHeight="1">
      <c r="B849" s="3" t="str">
        <f>IFERROR(__xludf.DUMMYFUNCTION("IFERROR(GOOGLEFINANCE(A849,""yield"")*100,"""")"),"")</f>
        <v/>
      </c>
      <c r="C849" s="3" t="str">
        <f>IFERROR(__xludf.DUMMYFUNCTION("IFERROR(GOOGLEFINANCE(A849,""trail_dividend""),"""")"),"")</f>
        <v/>
      </c>
      <c r="D849" s="3" t="str">
        <f>IFERROR(__xludf.DUMMYFUNCTION("IFERROR(INDEX(IMPORTXML(""https://finance.yahoo.com/quote/""&amp;A849, ""//td[@data-test='EX_DIVIDEND_DATE-value']""),1),"""")"),"")</f>
        <v/>
      </c>
    </row>
    <row r="850" ht="15.75" customHeight="1">
      <c r="B850" s="3" t="str">
        <f>IFERROR(__xludf.DUMMYFUNCTION("IFERROR(GOOGLEFINANCE(A850,""yield"")*100,"""")"),"")</f>
        <v/>
      </c>
      <c r="C850" s="3" t="str">
        <f>IFERROR(__xludf.DUMMYFUNCTION("IFERROR(GOOGLEFINANCE(A850,""trail_dividend""),"""")"),"")</f>
        <v/>
      </c>
      <c r="D850" s="3" t="str">
        <f>IFERROR(__xludf.DUMMYFUNCTION("IFERROR(INDEX(IMPORTXML(""https://finance.yahoo.com/quote/""&amp;A850, ""//td[@data-test='EX_DIVIDEND_DATE-value']""),1),"""")"),"")</f>
        <v/>
      </c>
    </row>
    <row r="851" ht="15.75" customHeight="1">
      <c r="B851" s="3" t="str">
        <f>IFERROR(__xludf.DUMMYFUNCTION("IFERROR(GOOGLEFINANCE(A851,""yield"")*100,"""")"),"")</f>
        <v/>
      </c>
      <c r="C851" s="3" t="str">
        <f>IFERROR(__xludf.DUMMYFUNCTION("IFERROR(GOOGLEFINANCE(A851,""trail_dividend""),"""")"),"")</f>
        <v/>
      </c>
      <c r="D851" s="3" t="str">
        <f>IFERROR(__xludf.DUMMYFUNCTION("IFERROR(INDEX(IMPORTXML(""https://finance.yahoo.com/quote/""&amp;A851, ""//td[@data-test='EX_DIVIDEND_DATE-value']""),1),"""")"),"")</f>
        <v/>
      </c>
    </row>
    <row r="852" ht="15.75" customHeight="1">
      <c r="B852" s="3" t="str">
        <f>IFERROR(__xludf.DUMMYFUNCTION("IFERROR(GOOGLEFINANCE(A852,""yield"")*100,"""")"),"")</f>
        <v/>
      </c>
      <c r="C852" s="3" t="str">
        <f>IFERROR(__xludf.DUMMYFUNCTION("IFERROR(GOOGLEFINANCE(A852,""trail_dividend""),"""")"),"")</f>
        <v/>
      </c>
      <c r="D852" s="3" t="str">
        <f>IFERROR(__xludf.DUMMYFUNCTION("IFERROR(INDEX(IMPORTXML(""https://finance.yahoo.com/quote/""&amp;A852, ""//td[@data-test='EX_DIVIDEND_DATE-value']""),1),"""")"),"")</f>
        <v/>
      </c>
    </row>
    <row r="853" ht="15.75" customHeight="1">
      <c r="B853" s="3" t="str">
        <f>IFERROR(__xludf.DUMMYFUNCTION("IFERROR(GOOGLEFINANCE(A853,""yield"")*100,"""")"),"")</f>
        <v/>
      </c>
      <c r="C853" s="3" t="str">
        <f>IFERROR(__xludf.DUMMYFUNCTION("IFERROR(GOOGLEFINANCE(A853,""trail_dividend""),"""")"),"")</f>
        <v/>
      </c>
      <c r="D853" s="3" t="str">
        <f>IFERROR(__xludf.DUMMYFUNCTION("IFERROR(INDEX(IMPORTXML(""https://finance.yahoo.com/quote/""&amp;A853, ""//td[@data-test='EX_DIVIDEND_DATE-value']""),1),"""")"),"")</f>
        <v/>
      </c>
    </row>
    <row r="854" ht="15.75" customHeight="1">
      <c r="B854" s="3" t="str">
        <f>IFERROR(__xludf.DUMMYFUNCTION("IFERROR(GOOGLEFINANCE(A854,""yield"")*100,"""")"),"")</f>
        <v/>
      </c>
      <c r="C854" s="3" t="str">
        <f>IFERROR(__xludf.DUMMYFUNCTION("IFERROR(GOOGLEFINANCE(A854,""trail_dividend""),"""")"),"")</f>
        <v/>
      </c>
      <c r="D854" s="3" t="str">
        <f>IFERROR(__xludf.DUMMYFUNCTION("IFERROR(INDEX(IMPORTXML(""https://finance.yahoo.com/quote/""&amp;A854, ""//td[@data-test='EX_DIVIDEND_DATE-value']""),1),"""")"),"")</f>
        <v/>
      </c>
    </row>
    <row r="855" ht="15.75" customHeight="1">
      <c r="B855" s="3" t="str">
        <f>IFERROR(__xludf.DUMMYFUNCTION("IFERROR(GOOGLEFINANCE(A855,""yield"")*100,"""")"),"")</f>
        <v/>
      </c>
      <c r="C855" s="3" t="str">
        <f>IFERROR(__xludf.DUMMYFUNCTION("IFERROR(GOOGLEFINANCE(A855,""trail_dividend""),"""")"),"")</f>
        <v/>
      </c>
      <c r="D855" s="3" t="str">
        <f>IFERROR(__xludf.DUMMYFUNCTION("IFERROR(INDEX(IMPORTXML(""https://finance.yahoo.com/quote/""&amp;A855, ""//td[@data-test='EX_DIVIDEND_DATE-value']""),1),"""")"),"")</f>
        <v/>
      </c>
    </row>
    <row r="856" ht="15.75" customHeight="1">
      <c r="B856" s="3" t="str">
        <f>IFERROR(__xludf.DUMMYFUNCTION("IFERROR(GOOGLEFINANCE(A856,""yield"")*100,"""")"),"")</f>
        <v/>
      </c>
      <c r="C856" s="3" t="str">
        <f>IFERROR(__xludf.DUMMYFUNCTION("IFERROR(GOOGLEFINANCE(A856,""trail_dividend""),"""")"),"")</f>
        <v/>
      </c>
      <c r="D856" s="3" t="str">
        <f>IFERROR(__xludf.DUMMYFUNCTION("IFERROR(INDEX(IMPORTXML(""https://finance.yahoo.com/quote/""&amp;A856, ""//td[@data-test='EX_DIVIDEND_DATE-value']""),1),"""")"),"")</f>
        <v/>
      </c>
    </row>
    <row r="857" ht="15.75" customHeight="1">
      <c r="B857" s="3" t="str">
        <f>IFERROR(__xludf.DUMMYFUNCTION("IFERROR(GOOGLEFINANCE(A857,""yield"")*100,"""")"),"")</f>
        <v/>
      </c>
      <c r="C857" s="3" t="str">
        <f>IFERROR(__xludf.DUMMYFUNCTION("IFERROR(GOOGLEFINANCE(A857,""trail_dividend""),"""")"),"")</f>
        <v/>
      </c>
      <c r="D857" s="3" t="str">
        <f>IFERROR(__xludf.DUMMYFUNCTION("IFERROR(INDEX(IMPORTXML(""https://finance.yahoo.com/quote/""&amp;A857, ""//td[@data-test='EX_DIVIDEND_DATE-value']""),1),"""")"),"")</f>
        <v/>
      </c>
    </row>
    <row r="858" ht="15.75" customHeight="1">
      <c r="B858" s="3" t="str">
        <f>IFERROR(__xludf.DUMMYFUNCTION("IFERROR(GOOGLEFINANCE(A858,""yield"")*100,"""")"),"")</f>
        <v/>
      </c>
      <c r="C858" s="3" t="str">
        <f>IFERROR(__xludf.DUMMYFUNCTION("IFERROR(GOOGLEFINANCE(A858,""trail_dividend""),"""")"),"")</f>
        <v/>
      </c>
      <c r="D858" s="3" t="str">
        <f>IFERROR(__xludf.DUMMYFUNCTION("IFERROR(INDEX(IMPORTXML(""https://finance.yahoo.com/quote/""&amp;A858, ""//td[@data-test='EX_DIVIDEND_DATE-value']""),1),"""")"),"")</f>
        <v/>
      </c>
    </row>
    <row r="859" ht="15.75" customHeight="1">
      <c r="B859" s="3" t="str">
        <f>IFERROR(__xludf.DUMMYFUNCTION("IFERROR(GOOGLEFINANCE(A859,""yield"")*100,"""")"),"")</f>
        <v/>
      </c>
      <c r="C859" s="3" t="str">
        <f>IFERROR(__xludf.DUMMYFUNCTION("IFERROR(GOOGLEFINANCE(A859,""trail_dividend""),"""")"),"")</f>
        <v/>
      </c>
      <c r="D859" s="3" t="str">
        <f>IFERROR(__xludf.DUMMYFUNCTION("IFERROR(INDEX(IMPORTXML(""https://finance.yahoo.com/quote/""&amp;A859, ""//td[@data-test='EX_DIVIDEND_DATE-value']""),1),"""")"),"")</f>
        <v/>
      </c>
    </row>
    <row r="860" ht="15.75" customHeight="1">
      <c r="B860" s="3" t="str">
        <f>IFERROR(__xludf.DUMMYFUNCTION("IFERROR(GOOGLEFINANCE(A860,""yield"")*100,"""")"),"")</f>
        <v/>
      </c>
      <c r="C860" s="3" t="str">
        <f>IFERROR(__xludf.DUMMYFUNCTION("IFERROR(GOOGLEFINANCE(A860,""trail_dividend""),"""")"),"")</f>
        <v/>
      </c>
      <c r="D860" s="3" t="str">
        <f>IFERROR(__xludf.DUMMYFUNCTION("IFERROR(INDEX(IMPORTXML(""https://finance.yahoo.com/quote/""&amp;A860, ""//td[@data-test='EX_DIVIDEND_DATE-value']""),1),"""")"),"")</f>
        <v/>
      </c>
    </row>
    <row r="861" ht="15.75" customHeight="1">
      <c r="B861" s="3" t="str">
        <f>IFERROR(__xludf.DUMMYFUNCTION("IFERROR(GOOGLEFINANCE(A861,""yield"")*100,"""")"),"")</f>
        <v/>
      </c>
      <c r="C861" s="3" t="str">
        <f>IFERROR(__xludf.DUMMYFUNCTION("IFERROR(GOOGLEFINANCE(A861,""trail_dividend""),"""")"),"")</f>
        <v/>
      </c>
      <c r="D861" s="3" t="str">
        <f>IFERROR(__xludf.DUMMYFUNCTION("IFERROR(INDEX(IMPORTXML(""https://finance.yahoo.com/quote/""&amp;A861, ""//td[@data-test='EX_DIVIDEND_DATE-value']""),1),"""")"),"")</f>
        <v/>
      </c>
    </row>
    <row r="862" ht="15.75" customHeight="1">
      <c r="B862" s="3" t="str">
        <f>IFERROR(__xludf.DUMMYFUNCTION("IFERROR(GOOGLEFINANCE(A862,""yield"")*100,"""")"),"")</f>
        <v/>
      </c>
      <c r="C862" s="3" t="str">
        <f>IFERROR(__xludf.DUMMYFUNCTION("IFERROR(GOOGLEFINANCE(A862,""trail_dividend""),"""")"),"")</f>
        <v/>
      </c>
      <c r="D862" s="3" t="str">
        <f>IFERROR(__xludf.DUMMYFUNCTION("IFERROR(INDEX(IMPORTXML(""https://finance.yahoo.com/quote/""&amp;A862, ""//td[@data-test='EX_DIVIDEND_DATE-value']""),1),"""")"),"")</f>
        <v/>
      </c>
    </row>
    <row r="863" ht="15.75" customHeight="1">
      <c r="B863" s="3" t="str">
        <f>IFERROR(__xludf.DUMMYFUNCTION("IFERROR(GOOGLEFINANCE(A863,""yield"")*100,"""")"),"")</f>
        <v/>
      </c>
      <c r="C863" s="3" t="str">
        <f>IFERROR(__xludf.DUMMYFUNCTION("IFERROR(GOOGLEFINANCE(A863,""trail_dividend""),"""")"),"")</f>
        <v/>
      </c>
      <c r="D863" s="3" t="str">
        <f>IFERROR(__xludf.DUMMYFUNCTION("IFERROR(INDEX(IMPORTXML(""https://finance.yahoo.com/quote/""&amp;A863, ""//td[@data-test='EX_DIVIDEND_DATE-value']""),1),"""")"),"")</f>
        <v/>
      </c>
    </row>
    <row r="864" ht="15.75" customHeight="1">
      <c r="B864" s="3" t="str">
        <f>IFERROR(__xludf.DUMMYFUNCTION("IFERROR(GOOGLEFINANCE(A864,""yield"")*100,"""")"),"")</f>
        <v/>
      </c>
      <c r="C864" s="3" t="str">
        <f>IFERROR(__xludf.DUMMYFUNCTION("IFERROR(GOOGLEFINANCE(A864,""trail_dividend""),"""")"),"")</f>
        <v/>
      </c>
      <c r="D864" s="3" t="str">
        <f>IFERROR(__xludf.DUMMYFUNCTION("IFERROR(INDEX(IMPORTXML(""https://finance.yahoo.com/quote/""&amp;A864, ""//td[@data-test='EX_DIVIDEND_DATE-value']""),1),"""")"),"")</f>
        <v/>
      </c>
    </row>
    <row r="865" ht="15.75" customHeight="1">
      <c r="B865" s="3" t="str">
        <f>IFERROR(__xludf.DUMMYFUNCTION("IFERROR(GOOGLEFINANCE(A865,""yield"")*100,"""")"),"")</f>
        <v/>
      </c>
      <c r="C865" s="3" t="str">
        <f>IFERROR(__xludf.DUMMYFUNCTION("IFERROR(GOOGLEFINANCE(A865,""trail_dividend""),"""")"),"")</f>
        <v/>
      </c>
      <c r="D865" s="3" t="str">
        <f>IFERROR(__xludf.DUMMYFUNCTION("IFERROR(INDEX(IMPORTXML(""https://finance.yahoo.com/quote/""&amp;A865, ""//td[@data-test='EX_DIVIDEND_DATE-value']""),1),"""")"),"")</f>
        <v/>
      </c>
    </row>
    <row r="866" ht="15.75" customHeight="1">
      <c r="B866" s="3" t="str">
        <f>IFERROR(__xludf.DUMMYFUNCTION("IFERROR(GOOGLEFINANCE(A866,""yield"")*100,"""")"),"")</f>
        <v/>
      </c>
      <c r="C866" s="3" t="str">
        <f>IFERROR(__xludf.DUMMYFUNCTION("IFERROR(GOOGLEFINANCE(A866,""trail_dividend""),"""")"),"")</f>
        <v/>
      </c>
      <c r="D866" s="3" t="str">
        <f>IFERROR(__xludf.DUMMYFUNCTION("IFERROR(INDEX(IMPORTXML(""https://finance.yahoo.com/quote/""&amp;A866, ""//td[@data-test='EX_DIVIDEND_DATE-value']""),1),"""")"),"")</f>
        <v/>
      </c>
    </row>
    <row r="867" ht="15.75" customHeight="1">
      <c r="B867" s="3" t="str">
        <f>IFERROR(__xludf.DUMMYFUNCTION("IFERROR(GOOGLEFINANCE(A867,""yield"")*100,"""")"),"")</f>
        <v/>
      </c>
      <c r="C867" s="3" t="str">
        <f>IFERROR(__xludf.DUMMYFUNCTION("IFERROR(GOOGLEFINANCE(A867,""trail_dividend""),"""")"),"")</f>
        <v/>
      </c>
      <c r="D867" s="3" t="str">
        <f>IFERROR(__xludf.DUMMYFUNCTION("IFERROR(INDEX(IMPORTXML(""https://finance.yahoo.com/quote/""&amp;A867, ""//td[@data-test='EX_DIVIDEND_DATE-value']""),1),"""")"),"")</f>
        <v/>
      </c>
    </row>
    <row r="868" ht="15.75" customHeight="1">
      <c r="B868" s="3" t="str">
        <f>IFERROR(__xludf.DUMMYFUNCTION("IFERROR(GOOGLEFINANCE(A868,""yield"")*100,"""")"),"")</f>
        <v/>
      </c>
      <c r="C868" s="3" t="str">
        <f>IFERROR(__xludf.DUMMYFUNCTION("IFERROR(GOOGLEFINANCE(A868,""trail_dividend""),"""")"),"")</f>
        <v/>
      </c>
      <c r="D868" s="3" t="str">
        <f>IFERROR(__xludf.DUMMYFUNCTION("IFERROR(INDEX(IMPORTXML(""https://finance.yahoo.com/quote/""&amp;A868, ""//td[@data-test='EX_DIVIDEND_DATE-value']""),1),"""")"),"")</f>
        <v/>
      </c>
    </row>
    <row r="869" ht="15.75" customHeight="1">
      <c r="B869" s="3" t="str">
        <f>IFERROR(__xludf.DUMMYFUNCTION("IFERROR(GOOGLEFINANCE(A869,""yield"")*100,"""")"),"")</f>
        <v/>
      </c>
      <c r="C869" s="3" t="str">
        <f>IFERROR(__xludf.DUMMYFUNCTION("IFERROR(GOOGLEFINANCE(A869,""trail_dividend""),"""")"),"")</f>
        <v/>
      </c>
      <c r="D869" s="3" t="str">
        <f>IFERROR(__xludf.DUMMYFUNCTION("IFERROR(INDEX(IMPORTXML(""https://finance.yahoo.com/quote/""&amp;A869, ""//td[@data-test='EX_DIVIDEND_DATE-value']""),1),"""")"),"")</f>
        <v/>
      </c>
    </row>
    <row r="870" ht="15.75" customHeight="1">
      <c r="B870" s="3" t="str">
        <f>IFERROR(__xludf.DUMMYFUNCTION("IFERROR(GOOGLEFINANCE(A870,""yield"")*100,"""")"),"")</f>
        <v/>
      </c>
      <c r="C870" s="3" t="str">
        <f>IFERROR(__xludf.DUMMYFUNCTION("IFERROR(GOOGLEFINANCE(A870,""trail_dividend""),"""")"),"")</f>
        <v/>
      </c>
      <c r="D870" s="3" t="str">
        <f>IFERROR(__xludf.DUMMYFUNCTION("IFERROR(INDEX(IMPORTXML(""https://finance.yahoo.com/quote/""&amp;A870, ""//td[@data-test='EX_DIVIDEND_DATE-value']""),1),"""")"),"")</f>
        <v/>
      </c>
    </row>
    <row r="871" ht="15.75" customHeight="1">
      <c r="B871" s="3" t="str">
        <f>IFERROR(__xludf.DUMMYFUNCTION("IFERROR(GOOGLEFINANCE(A871,""yield"")*100,"""")"),"")</f>
        <v/>
      </c>
      <c r="C871" s="3" t="str">
        <f>IFERROR(__xludf.DUMMYFUNCTION("IFERROR(GOOGLEFINANCE(A871,""trail_dividend""),"""")"),"")</f>
        <v/>
      </c>
      <c r="D871" s="3" t="str">
        <f>IFERROR(__xludf.DUMMYFUNCTION("IFERROR(INDEX(IMPORTXML(""https://finance.yahoo.com/quote/""&amp;A871, ""//td[@data-test='EX_DIVIDEND_DATE-value']""),1),"""")"),"")</f>
        <v/>
      </c>
    </row>
    <row r="872" ht="15.75" customHeight="1">
      <c r="B872" s="3" t="str">
        <f>IFERROR(__xludf.DUMMYFUNCTION("IFERROR(GOOGLEFINANCE(A872,""yield"")*100,"""")"),"")</f>
        <v/>
      </c>
      <c r="C872" s="3" t="str">
        <f>IFERROR(__xludf.DUMMYFUNCTION("IFERROR(GOOGLEFINANCE(A872,""trail_dividend""),"""")"),"")</f>
        <v/>
      </c>
      <c r="D872" s="3" t="str">
        <f>IFERROR(__xludf.DUMMYFUNCTION("IFERROR(INDEX(IMPORTXML(""https://finance.yahoo.com/quote/""&amp;A872, ""//td[@data-test='EX_DIVIDEND_DATE-value']""),1),"""")"),"")</f>
        <v/>
      </c>
    </row>
    <row r="873" ht="15.75" customHeight="1">
      <c r="B873" s="3" t="str">
        <f>IFERROR(__xludf.DUMMYFUNCTION("IFERROR(GOOGLEFINANCE(A873,""yield"")*100,"""")"),"")</f>
        <v/>
      </c>
      <c r="C873" s="3" t="str">
        <f>IFERROR(__xludf.DUMMYFUNCTION("IFERROR(GOOGLEFINANCE(A873,""trail_dividend""),"""")"),"")</f>
        <v/>
      </c>
      <c r="D873" s="3" t="str">
        <f>IFERROR(__xludf.DUMMYFUNCTION("IFERROR(INDEX(IMPORTXML(""https://finance.yahoo.com/quote/""&amp;A873, ""//td[@data-test='EX_DIVIDEND_DATE-value']""),1),"""")"),"")</f>
        <v/>
      </c>
    </row>
    <row r="874" ht="15.75" customHeight="1">
      <c r="B874" s="3" t="str">
        <f>IFERROR(__xludf.DUMMYFUNCTION("IFERROR(GOOGLEFINANCE(A874,""yield"")*100,"""")"),"")</f>
        <v/>
      </c>
      <c r="C874" s="3" t="str">
        <f>IFERROR(__xludf.DUMMYFUNCTION("IFERROR(GOOGLEFINANCE(A874,""trail_dividend""),"""")"),"")</f>
        <v/>
      </c>
      <c r="D874" s="3" t="str">
        <f>IFERROR(__xludf.DUMMYFUNCTION("IFERROR(INDEX(IMPORTXML(""https://finance.yahoo.com/quote/""&amp;A874, ""//td[@data-test='EX_DIVIDEND_DATE-value']""),1),"""")"),"")</f>
        <v/>
      </c>
    </row>
    <row r="875" ht="15.75" customHeight="1">
      <c r="B875" s="3" t="str">
        <f>IFERROR(__xludf.DUMMYFUNCTION("IFERROR(GOOGLEFINANCE(A875,""yield"")*100,"""")"),"")</f>
        <v/>
      </c>
      <c r="C875" s="3" t="str">
        <f>IFERROR(__xludf.DUMMYFUNCTION("IFERROR(GOOGLEFINANCE(A875,""trail_dividend""),"""")"),"")</f>
        <v/>
      </c>
      <c r="D875" s="3" t="str">
        <f>IFERROR(__xludf.DUMMYFUNCTION("IFERROR(INDEX(IMPORTXML(""https://finance.yahoo.com/quote/""&amp;A875, ""//td[@data-test='EX_DIVIDEND_DATE-value']""),1),"""")"),"")</f>
        <v/>
      </c>
    </row>
    <row r="876" ht="15.75" customHeight="1">
      <c r="B876" s="3" t="str">
        <f>IFERROR(__xludf.DUMMYFUNCTION("IFERROR(GOOGLEFINANCE(A876,""yield"")*100,"""")"),"")</f>
        <v/>
      </c>
      <c r="C876" s="3" t="str">
        <f>IFERROR(__xludf.DUMMYFUNCTION("IFERROR(GOOGLEFINANCE(A876,""trail_dividend""),"""")"),"")</f>
        <v/>
      </c>
      <c r="D876" s="3" t="str">
        <f>IFERROR(__xludf.DUMMYFUNCTION("IFERROR(INDEX(IMPORTXML(""https://finance.yahoo.com/quote/""&amp;A876, ""//td[@data-test='EX_DIVIDEND_DATE-value']""),1),"""")"),"")</f>
        <v/>
      </c>
    </row>
    <row r="877" ht="15.75" customHeight="1">
      <c r="B877" s="3" t="str">
        <f>IFERROR(__xludf.DUMMYFUNCTION("IFERROR(GOOGLEFINANCE(A877,""yield"")*100,"""")"),"")</f>
        <v/>
      </c>
      <c r="C877" s="3" t="str">
        <f>IFERROR(__xludf.DUMMYFUNCTION("IFERROR(GOOGLEFINANCE(A877,""trail_dividend""),"""")"),"")</f>
        <v/>
      </c>
      <c r="D877" s="3" t="str">
        <f>IFERROR(__xludf.DUMMYFUNCTION("IFERROR(INDEX(IMPORTXML(""https://finance.yahoo.com/quote/""&amp;A877, ""//td[@data-test='EX_DIVIDEND_DATE-value']""),1),"""")"),"")</f>
        <v/>
      </c>
    </row>
    <row r="878" ht="15.75" customHeight="1">
      <c r="B878" s="3" t="str">
        <f>IFERROR(__xludf.DUMMYFUNCTION("IFERROR(GOOGLEFINANCE(A878,""yield"")*100,"""")"),"")</f>
        <v/>
      </c>
      <c r="C878" s="3" t="str">
        <f>IFERROR(__xludf.DUMMYFUNCTION("IFERROR(GOOGLEFINANCE(A878,""trail_dividend""),"""")"),"")</f>
        <v/>
      </c>
      <c r="D878" s="3" t="str">
        <f>IFERROR(__xludf.DUMMYFUNCTION("IFERROR(INDEX(IMPORTXML(""https://finance.yahoo.com/quote/""&amp;A878, ""//td[@data-test='EX_DIVIDEND_DATE-value']""),1),"""")"),"")</f>
        <v/>
      </c>
    </row>
    <row r="879" ht="15.75" customHeight="1">
      <c r="B879" s="3" t="str">
        <f>IFERROR(__xludf.DUMMYFUNCTION("IFERROR(GOOGLEFINANCE(A879,""yield"")*100,"""")"),"")</f>
        <v/>
      </c>
      <c r="C879" s="3" t="str">
        <f>IFERROR(__xludf.DUMMYFUNCTION("IFERROR(GOOGLEFINANCE(A879,""trail_dividend""),"""")"),"")</f>
        <v/>
      </c>
      <c r="D879" s="3" t="str">
        <f>IFERROR(__xludf.DUMMYFUNCTION("IFERROR(INDEX(IMPORTXML(""https://finance.yahoo.com/quote/""&amp;A879, ""//td[@data-test='EX_DIVIDEND_DATE-value']""),1),"""")"),"")</f>
        <v/>
      </c>
    </row>
    <row r="880" ht="15.75" customHeight="1">
      <c r="B880" s="3" t="str">
        <f>IFERROR(__xludf.DUMMYFUNCTION("IFERROR(GOOGLEFINANCE(A880,""yield"")*100,"""")"),"")</f>
        <v/>
      </c>
      <c r="C880" s="3" t="str">
        <f>IFERROR(__xludf.DUMMYFUNCTION("IFERROR(GOOGLEFINANCE(A880,""trail_dividend""),"""")"),"")</f>
        <v/>
      </c>
      <c r="D880" s="3" t="str">
        <f>IFERROR(__xludf.DUMMYFUNCTION("IFERROR(INDEX(IMPORTXML(""https://finance.yahoo.com/quote/""&amp;A880, ""//td[@data-test='EX_DIVIDEND_DATE-value']""),1),"""")"),"")</f>
        <v/>
      </c>
    </row>
    <row r="881" ht="15.75" customHeight="1">
      <c r="B881" s="3" t="str">
        <f>IFERROR(__xludf.DUMMYFUNCTION("IFERROR(GOOGLEFINANCE(A881,""yield"")*100,"""")"),"")</f>
        <v/>
      </c>
      <c r="C881" s="3" t="str">
        <f>IFERROR(__xludf.DUMMYFUNCTION("IFERROR(GOOGLEFINANCE(A881,""trail_dividend""),"""")"),"")</f>
        <v/>
      </c>
      <c r="D881" s="3" t="str">
        <f>IFERROR(__xludf.DUMMYFUNCTION("IFERROR(INDEX(IMPORTXML(""https://finance.yahoo.com/quote/""&amp;A881, ""//td[@data-test='EX_DIVIDEND_DATE-value']""),1),"""")"),"")</f>
        <v/>
      </c>
    </row>
    <row r="882" ht="15.75" customHeight="1">
      <c r="B882" s="3" t="str">
        <f>IFERROR(__xludf.DUMMYFUNCTION("IFERROR(GOOGLEFINANCE(A882,""yield"")*100,"""")"),"")</f>
        <v/>
      </c>
      <c r="C882" s="3" t="str">
        <f>IFERROR(__xludf.DUMMYFUNCTION("IFERROR(GOOGLEFINANCE(A882,""trail_dividend""),"""")"),"")</f>
        <v/>
      </c>
      <c r="D882" s="3" t="str">
        <f>IFERROR(__xludf.DUMMYFUNCTION("IFERROR(INDEX(IMPORTXML(""https://finance.yahoo.com/quote/""&amp;A882, ""//td[@data-test='EX_DIVIDEND_DATE-value']""),1),"""")"),"")</f>
        <v/>
      </c>
    </row>
    <row r="883" ht="15.75" customHeight="1">
      <c r="B883" s="3" t="str">
        <f>IFERROR(__xludf.DUMMYFUNCTION("IFERROR(GOOGLEFINANCE(A883,""yield"")*100,"""")"),"")</f>
        <v/>
      </c>
      <c r="C883" s="3" t="str">
        <f>IFERROR(__xludf.DUMMYFUNCTION("IFERROR(GOOGLEFINANCE(A883,""trail_dividend""),"""")"),"")</f>
        <v/>
      </c>
      <c r="D883" s="3" t="str">
        <f>IFERROR(__xludf.DUMMYFUNCTION("IFERROR(INDEX(IMPORTXML(""https://finance.yahoo.com/quote/""&amp;A883, ""//td[@data-test='EX_DIVIDEND_DATE-value']""),1),"""")"),"")</f>
        <v/>
      </c>
    </row>
    <row r="884" ht="15.75" customHeight="1">
      <c r="B884" s="3" t="str">
        <f>IFERROR(__xludf.DUMMYFUNCTION("IFERROR(GOOGLEFINANCE(A884,""yield"")*100,"""")"),"")</f>
        <v/>
      </c>
      <c r="C884" s="3" t="str">
        <f>IFERROR(__xludf.DUMMYFUNCTION("IFERROR(GOOGLEFINANCE(A884,""trail_dividend""),"""")"),"")</f>
        <v/>
      </c>
      <c r="D884" s="3" t="str">
        <f>IFERROR(__xludf.DUMMYFUNCTION("IFERROR(INDEX(IMPORTXML(""https://finance.yahoo.com/quote/""&amp;A884, ""//td[@data-test='EX_DIVIDEND_DATE-value']""),1),"""")"),"")</f>
        <v/>
      </c>
    </row>
    <row r="885" ht="15.75" customHeight="1">
      <c r="B885" s="3" t="str">
        <f>IFERROR(__xludf.DUMMYFUNCTION("IFERROR(GOOGLEFINANCE(A885,""yield"")*100,"""")"),"")</f>
        <v/>
      </c>
      <c r="C885" s="3" t="str">
        <f>IFERROR(__xludf.DUMMYFUNCTION("IFERROR(GOOGLEFINANCE(A885,""trail_dividend""),"""")"),"")</f>
        <v/>
      </c>
      <c r="D885" s="3" t="str">
        <f>IFERROR(__xludf.DUMMYFUNCTION("IFERROR(INDEX(IMPORTXML(""https://finance.yahoo.com/quote/""&amp;A885, ""//td[@data-test='EX_DIVIDEND_DATE-value']""),1),"""")"),"")</f>
        <v/>
      </c>
    </row>
    <row r="886" ht="15.75" customHeight="1">
      <c r="B886" s="3" t="str">
        <f>IFERROR(__xludf.DUMMYFUNCTION("IFERROR(GOOGLEFINANCE(A886,""yield"")*100,"""")"),"")</f>
        <v/>
      </c>
      <c r="C886" s="3" t="str">
        <f>IFERROR(__xludf.DUMMYFUNCTION("IFERROR(GOOGLEFINANCE(A886,""trail_dividend""),"""")"),"")</f>
        <v/>
      </c>
      <c r="D886" s="3" t="str">
        <f>IFERROR(__xludf.DUMMYFUNCTION("IFERROR(INDEX(IMPORTXML(""https://finance.yahoo.com/quote/""&amp;A886, ""//td[@data-test='EX_DIVIDEND_DATE-value']""),1),"""")"),"")</f>
        <v/>
      </c>
    </row>
    <row r="887" ht="15.75" customHeight="1">
      <c r="B887" s="3" t="str">
        <f>IFERROR(__xludf.DUMMYFUNCTION("IFERROR(GOOGLEFINANCE(A887,""yield"")*100,"""")"),"")</f>
        <v/>
      </c>
      <c r="C887" s="3" t="str">
        <f>IFERROR(__xludf.DUMMYFUNCTION("IFERROR(GOOGLEFINANCE(A887,""trail_dividend""),"""")"),"")</f>
        <v/>
      </c>
      <c r="D887" s="3" t="str">
        <f>IFERROR(__xludf.DUMMYFUNCTION("IFERROR(INDEX(IMPORTXML(""https://finance.yahoo.com/quote/""&amp;A887, ""//td[@data-test='EX_DIVIDEND_DATE-value']""),1),"""")"),"")</f>
        <v/>
      </c>
    </row>
    <row r="888" ht="15.75" customHeight="1">
      <c r="B888" s="3" t="str">
        <f>IFERROR(__xludf.DUMMYFUNCTION("IFERROR(GOOGLEFINANCE(A888,""yield"")*100,"""")"),"")</f>
        <v/>
      </c>
      <c r="C888" s="3" t="str">
        <f>IFERROR(__xludf.DUMMYFUNCTION("IFERROR(GOOGLEFINANCE(A888,""trail_dividend""),"""")"),"")</f>
        <v/>
      </c>
      <c r="D888" s="3" t="str">
        <f>IFERROR(__xludf.DUMMYFUNCTION("IFERROR(INDEX(IMPORTXML(""https://finance.yahoo.com/quote/""&amp;A888, ""//td[@data-test='EX_DIVIDEND_DATE-value']""),1),"""")"),"")</f>
        <v/>
      </c>
    </row>
    <row r="889" ht="15.75" customHeight="1">
      <c r="B889" s="3" t="str">
        <f>IFERROR(__xludf.DUMMYFUNCTION("IFERROR(GOOGLEFINANCE(A889,""yield"")*100,"""")"),"")</f>
        <v/>
      </c>
      <c r="C889" s="3" t="str">
        <f>IFERROR(__xludf.DUMMYFUNCTION("IFERROR(GOOGLEFINANCE(A889,""trail_dividend""),"""")"),"")</f>
        <v/>
      </c>
      <c r="D889" s="3" t="str">
        <f>IFERROR(__xludf.DUMMYFUNCTION("IFERROR(INDEX(IMPORTXML(""https://finance.yahoo.com/quote/""&amp;A889, ""//td[@data-test='EX_DIVIDEND_DATE-value']""),1),"""")"),"")</f>
        <v/>
      </c>
    </row>
    <row r="890" ht="15.75" customHeight="1">
      <c r="B890" s="3" t="str">
        <f>IFERROR(__xludf.DUMMYFUNCTION("IFERROR(GOOGLEFINANCE(A890,""yield"")*100,"""")"),"")</f>
        <v/>
      </c>
      <c r="C890" s="3" t="str">
        <f>IFERROR(__xludf.DUMMYFUNCTION("IFERROR(GOOGLEFINANCE(A890,""trail_dividend""),"""")"),"")</f>
        <v/>
      </c>
      <c r="D890" s="3" t="str">
        <f>IFERROR(__xludf.DUMMYFUNCTION("IFERROR(INDEX(IMPORTXML(""https://finance.yahoo.com/quote/""&amp;A890, ""//td[@data-test='EX_DIVIDEND_DATE-value']""),1),"""")"),"")</f>
        <v/>
      </c>
    </row>
    <row r="891" ht="15.75" customHeight="1">
      <c r="B891" s="3" t="str">
        <f>IFERROR(__xludf.DUMMYFUNCTION("IFERROR(GOOGLEFINANCE(A891,""yield"")*100,"""")"),"")</f>
        <v/>
      </c>
      <c r="C891" s="3" t="str">
        <f>IFERROR(__xludf.DUMMYFUNCTION("IFERROR(GOOGLEFINANCE(A891,""trail_dividend""),"""")"),"")</f>
        <v/>
      </c>
      <c r="D891" s="3" t="str">
        <f>IFERROR(__xludf.DUMMYFUNCTION("IFERROR(INDEX(IMPORTXML(""https://finance.yahoo.com/quote/""&amp;A891, ""//td[@data-test='EX_DIVIDEND_DATE-value']""),1),"""")"),"")</f>
        <v/>
      </c>
    </row>
    <row r="892" ht="15.75" customHeight="1">
      <c r="B892" s="3" t="str">
        <f>IFERROR(__xludf.DUMMYFUNCTION("IFERROR(GOOGLEFINANCE(A892,""yield"")*100,"""")"),"")</f>
        <v/>
      </c>
      <c r="C892" s="3" t="str">
        <f>IFERROR(__xludf.DUMMYFUNCTION("IFERROR(GOOGLEFINANCE(A892,""trail_dividend""),"""")"),"")</f>
        <v/>
      </c>
      <c r="D892" s="3" t="str">
        <f>IFERROR(__xludf.DUMMYFUNCTION("IFERROR(INDEX(IMPORTXML(""https://finance.yahoo.com/quote/""&amp;A892, ""//td[@data-test='EX_DIVIDEND_DATE-value']""),1),"""")"),"")</f>
        <v/>
      </c>
    </row>
    <row r="893" ht="15.75" customHeight="1">
      <c r="B893" s="3" t="str">
        <f>IFERROR(__xludf.DUMMYFUNCTION("IFERROR(GOOGLEFINANCE(A893,""yield"")*100,"""")"),"")</f>
        <v/>
      </c>
      <c r="C893" s="3" t="str">
        <f>IFERROR(__xludf.DUMMYFUNCTION("IFERROR(GOOGLEFINANCE(A893,""trail_dividend""),"""")"),"")</f>
        <v/>
      </c>
      <c r="D893" s="3" t="str">
        <f>IFERROR(__xludf.DUMMYFUNCTION("IFERROR(INDEX(IMPORTXML(""https://finance.yahoo.com/quote/""&amp;A893, ""//td[@data-test='EX_DIVIDEND_DATE-value']""),1),"""")"),"")</f>
        <v/>
      </c>
    </row>
    <row r="894" ht="15.75" customHeight="1">
      <c r="B894" s="3" t="str">
        <f>IFERROR(__xludf.DUMMYFUNCTION("IFERROR(GOOGLEFINANCE(A894,""yield"")*100,"""")"),"")</f>
        <v/>
      </c>
      <c r="C894" s="3" t="str">
        <f>IFERROR(__xludf.DUMMYFUNCTION("IFERROR(GOOGLEFINANCE(A894,""trail_dividend""),"""")"),"")</f>
        <v/>
      </c>
      <c r="D894" s="3" t="str">
        <f>IFERROR(__xludf.DUMMYFUNCTION("IFERROR(INDEX(IMPORTXML(""https://finance.yahoo.com/quote/""&amp;A894, ""//td[@data-test='EX_DIVIDEND_DATE-value']""),1),"""")"),"")</f>
        <v/>
      </c>
    </row>
    <row r="895" ht="15.75" customHeight="1">
      <c r="B895" s="3" t="str">
        <f>IFERROR(__xludf.DUMMYFUNCTION("IFERROR(GOOGLEFINANCE(A895,""yield"")*100,"""")"),"")</f>
        <v/>
      </c>
      <c r="C895" s="3" t="str">
        <f>IFERROR(__xludf.DUMMYFUNCTION("IFERROR(GOOGLEFINANCE(A895,""trail_dividend""),"""")"),"")</f>
        <v/>
      </c>
      <c r="D895" s="3" t="str">
        <f>IFERROR(__xludf.DUMMYFUNCTION("IFERROR(INDEX(IMPORTXML(""https://finance.yahoo.com/quote/""&amp;A895, ""//td[@data-test='EX_DIVIDEND_DATE-value']""),1),"""")"),"")</f>
        <v/>
      </c>
    </row>
    <row r="896" ht="15.75" customHeight="1">
      <c r="B896" s="3" t="str">
        <f>IFERROR(__xludf.DUMMYFUNCTION("IFERROR(GOOGLEFINANCE(A896,""yield"")*100,"""")"),"")</f>
        <v/>
      </c>
      <c r="C896" s="3" t="str">
        <f>IFERROR(__xludf.DUMMYFUNCTION("IFERROR(GOOGLEFINANCE(A896,""trail_dividend""),"""")"),"")</f>
        <v/>
      </c>
      <c r="D896" s="3" t="str">
        <f>IFERROR(__xludf.DUMMYFUNCTION("IFERROR(INDEX(IMPORTXML(""https://finance.yahoo.com/quote/""&amp;A896, ""//td[@data-test='EX_DIVIDEND_DATE-value']""),1),"""")"),"")</f>
        <v/>
      </c>
    </row>
    <row r="897" ht="15.75" customHeight="1">
      <c r="B897" s="3" t="str">
        <f>IFERROR(__xludf.DUMMYFUNCTION("IFERROR(GOOGLEFINANCE(A897,""yield"")*100,"""")"),"")</f>
        <v/>
      </c>
      <c r="C897" s="3" t="str">
        <f>IFERROR(__xludf.DUMMYFUNCTION("IFERROR(GOOGLEFINANCE(A897,""trail_dividend""),"""")"),"")</f>
        <v/>
      </c>
      <c r="D897" s="3" t="str">
        <f>IFERROR(__xludf.DUMMYFUNCTION("IFERROR(INDEX(IMPORTXML(""https://finance.yahoo.com/quote/""&amp;A897, ""//td[@data-test='EX_DIVIDEND_DATE-value']""),1),"""")"),"")</f>
        <v/>
      </c>
    </row>
    <row r="898" ht="15.75" customHeight="1">
      <c r="B898" s="3" t="str">
        <f>IFERROR(__xludf.DUMMYFUNCTION("IFERROR(GOOGLEFINANCE(A898,""yield"")*100,"""")"),"")</f>
        <v/>
      </c>
      <c r="C898" s="3" t="str">
        <f>IFERROR(__xludf.DUMMYFUNCTION("IFERROR(GOOGLEFINANCE(A898,""trail_dividend""),"""")"),"")</f>
        <v/>
      </c>
      <c r="D898" s="3" t="str">
        <f>IFERROR(__xludf.DUMMYFUNCTION("IFERROR(INDEX(IMPORTXML(""https://finance.yahoo.com/quote/""&amp;A898, ""//td[@data-test='EX_DIVIDEND_DATE-value']""),1),"""")"),"")</f>
        <v/>
      </c>
    </row>
    <row r="899" ht="15.75" customHeight="1">
      <c r="B899" s="3" t="str">
        <f>IFERROR(__xludf.DUMMYFUNCTION("IFERROR(GOOGLEFINANCE(A899,""yield"")*100,"""")"),"")</f>
        <v/>
      </c>
      <c r="C899" s="3" t="str">
        <f>IFERROR(__xludf.DUMMYFUNCTION("IFERROR(GOOGLEFINANCE(A899,""trail_dividend""),"""")"),"")</f>
        <v/>
      </c>
      <c r="D899" s="3" t="str">
        <f>IFERROR(__xludf.DUMMYFUNCTION("IFERROR(INDEX(IMPORTXML(""https://finance.yahoo.com/quote/""&amp;A899, ""//td[@data-test='EX_DIVIDEND_DATE-value']""),1),"""")"),"")</f>
        <v/>
      </c>
    </row>
    <row r="900" ht="15.75" customHeight="1">
      <c r="B900" s="3" t="str">
        <f>IFERROR(__xludf.DUMMYFUNCTION("IFERROR(GOOGLEFINANCE(A900,""yield"")*100,"""")"),"")</f>
        <v/>
      </c>
      <c r="C900" s="3" t="str">
        <f>IFERROR(__xludf.DUMMYFUNCTION("IFERROR(GOOGLEFINANCE(A900,""trail_dividend""),"""")"),"")</f>
        <v/>
      </c>
      <c r="D900" s="3" t="str">
        <f>IFERROR(__xludf.DUMMYFUNCTION("IFERROR(INDEX(IMPORTXML(""https://finance.yahoo.com/quote/""&amp;A900, ""//td[@data-test='EX_DIVIDEND_DATE-value']""),1),"""")"),"")</f>
        <v/>
      </c>
    </row>
    <row r="901" ht="15.75" customHeight="1">
      <c r="B901" s="3" t="str">
        <f>IFERROR(__xludf.DUMMYFUNCTION("IFERROR(GOOGLEFINANCE(A901,""yield"")*100,"""")"),"")</f>
        <v/>
      </c>
      <c r="C901" s="3" t="str">
        <f>IFERROR(__xludf.DUMMYFUNCTION("IFERROR(GOOGLEFINANCE(A901,""trail_dividend""),"""")"),"")</f>
        <v/>
      </c>
      <c r="D901" s="3" t="str">
        <f>IFERROR(__xludf.DUMMYFUNCTION("IFERROR(INDEX(IMPORTXML(""https://finance.yahoo.com/quote/""&amp;A901, ""//td[@data-test='EX_DIVIDEND_DATE-value']""),1),"""")"),"")</f>
        <v/>
      </c>
    </row>
    <row r="902" ht="15.75" customHeight="1">
      <c r="B902" s="3" t="str">
        <f>IFERROR(__xludf.DUMMYFUNCTION("IFERROR(GOOGLEFINANCE(A902,""yield"")*100,"""")"),"")</f>
        <v/>
      </c>
      <c r="C902" s="3" t="str">
        <f>IFERROR(__xludf.DUMMYFUNCTION("IFERROR(GOOGLEFINANCE(A902,""trail_dividend""),"""")"),"")</f>
        <v/>
      </c>
      <c r="D902" s="3" t="str">
        <f>IFERROR(__xludf.DUMMYFUNCTION("IFERROR(INDEX(IMPORTXML(""https://finance.yahoo.com/quote/""&amp;A902, ""//td[@data-test='EX_DIVIDEND_DATE-value']""),1),"""")"),"")</f>
        <v/>
      </c>
    </row>
    <row r="903" ht="15.75" customHeight="1">
      <c r="B903" s="3" t="str">
        <f>IFERROR(__xludf.DUMMYFUNCTION("IFERROR(GOOGLEFINANCE(A903,""yield"")*100,"""")"),"")</f>
        <v/>
      </c>
      <c r="C903" s="3" t="str">
        <f>IFERROR(__xludf.DUMMYFUNCTION("IFERROR(GOOGLEFINANCE(A903,""trail_dividend""),"""")"),"")</f>
        <v/>
      </c>
      <c r="D903" s="3" t="str">
        <f>IFERROR(__xludf.DUMMYFUNCTION("IFERROR(INDEX(IMPORTXML(""https://finance.yahoo.com/quote/""&amp;A903, ""//td[@data-test='EX_DIVIDEND_DATE-value']""),1),"""")"),"")</f>
        <v/>
      </c>
    </row>
    <row r="904" ht="15.75" customHeight="1">
      <c r="B904" s="3" t="str">
        <f>IFERROR(__xludf.DUMMYFUNCTION("IFERROR(GOOGLEFINANCE(A904,""yield"")*100,"""")"),"")</f>
        <v/>
      </c>
      <c r="C904" s="3" t="str">
        <f>IFERROR(__xludf.DUMMYFUNCTION("IFERROR(GOOGLEFINANCE(A904,""trail_dividend""),"""")"),"")</f>
        <v/>
      </c>
      <c r="D904" s="3" t="str">
        <f>IFERROR(__xludf.DUMMYFUNCTION("IFERROR(INDEX(IMPORTXML(""https://finance.yahoo.com/quote/""&amp;A904, ""//td[@data-test='EX_DIVIDEND_DATE-value']""),1),"""")"),"")</f>
        <v/>
      </c>
    </row>
    <row r="905" ht="15.75" customHeight="1">
      <c r="B905" s="3" t="str">
        <f>IFERROR(__xludf.DUMMYFUNCTION("IFERROR(GOOGLEFINANCE(A905,""yield"")*100,"""")"),"")</f>
        <v/>
      </c>
      <c r="C905" s="3" t="str">
        <f>IFERROR(__xludf.DUMMYFUNCTION("IFERROR(GOOGLEFINANCE(A905,""trail_dividend""),"""")"),"")</f>
        <v/>
      </c>
      <c r="D905" s="3" t="str">
        <f>IFERROR(__xludf.DUMMYFUNCTION("IFERROR(INDEX(IMPORTXML(""https://finance.yahoo.com/quote/""&amp;A905, ""//td[@data-test='EX_DIVIDEND_DATE-value']""),1),"""")"),"")</f>
        <v/>
      </c>
    </row>
    <row r="906" ht="15.75" customHeight="1">
      <c r="B906" s="3" t="str">
        <f>IFERROR(__xludf.DUMMYFUNCTION("IFERROR(GOOGLEFINANCE(A906,""yield"")*100,"""")"),"")</f>
        <v/>
      </c>
      <c r="C906" s="3" t="str">
        <f>IFERROR(__xludf.DUMMYFUNCTION("IFERROR(GOOGLEFINANCE(A906,""trail_dividend""),"""")"),"")</f>
        <v/>
      </c>
      <c r="D906" s="3" t="str">
        <f>IFERROR(__xludf.DUMMYFUNCTION("IFERROR(INDEX(IMPORTXML(""https://finance.yahoo.com/quote/""&amp;A906, ""//td[@data-test='EX_DIVIDEND_DATE-value']""),1),"""")"),"")</f>
        <v/>
      </c>
    </row>
    <row r="907" ht="15.75" customHeight="1">
      <c r="B907" s="3" t="str">
        <f>IFERROR(__xludf.DUMMYFUNCTION("IFERROR(GOOGLEFINANCE(A907,""yield"")*100,"""")"),"")</f>
        <v/>
      </c>
      <c r="C907" s="3" t="str">
        <f>IFERROR(__xludf.DUMMYFUNCTION("IFERROR(GOOGLEFINANCE(A907,""trail_dividend""),"""")"),"")</f>
        <v/>
      </c>
      <c r="D907" s="3" t="str">
        <f>IFERROR(__xludf.DUMMYFUNCTION("IFERROR(INDEX(IMPORTXML(""https://finance.yahoo.com/quote/""&amp;A907, ""//td[@data-test='EX_DIVIDEND_DATE-value']""),1),"""")"),"")</f>
        <v/>
      </c>
    </row>
    <row r="908" ht="15.75" customHeight="1">
      <c r="B908" s="3" t="str">
        <f>IFERROR(__xludf.DUMMYFUNCTION("IFERROR(GOOGLEFINANCE(A908,""yield"")*100,"""")"),"")</f>
        <v/>
      </c>
      <c r="C908" s="3" t="str">
        <f>IFERROR(__xludf.DUMMYFUNCTION("IFERROR(GOOGLEFINANCE(A908,""trail_dividend""),"""")"),"")</f>
        <v/>
      </c>
      <c r="D908" s="3" t="str">
        <f>IFERROR(__xludf.DUMMYFUNCTION("IFERROR(INDEX(IMPORTXML(""https://finance.yahoo.com/quote/""&amp;A908, ""//td[@data-test='EX_DIVIDEND_DATE-value']""),1),"""")"),"")</f>
        <v/>
      </c>
    </row>
    <row r="909" ht="15.75" customHeight="1">
      <c r="B909" s="3" t="str">
        <f>IFERROR(__xludf.DUMMYFUNCTION("IFERROR(GOOGLEFINANCE(A909,""yield"")*100,"""")"),"")</f>
        <v/>
      </c>
      <c r="C909" s="3" t="str">
        <f>IFERROR(__xludf.DUMMYFUNCTION("IFERROR(GOOGLEFINANCE(A909,""trail_dividend""),"""")"),"")</f>
        <v/>
      </c>
      <c r="D909" s="3" t="str">
        <f>IFERROR(__xludf.DUMMYFUNCTION("IFERROR(INDEX(IMPORTXML(""https://finance.yahoo.com/quote/""&amp;A909, ""//td[@data-test='EX_DIVIDEND_DATE-value']""),1),"""")"),"")</f>
        <v/>
      </c>
    </row>
    <row r="910" ht="15.75" customHeight="1">
      <c r="B910" s="3" t="str">
        <f>IFERROR(__xludf.DUMMYFUNCTION("IFERROR(GOOGLEFINANCE(A910,""yield"")*100,"""")"),"")</f>
        <v/>
      </c>
      <c r="C910" s="3" t="str">
        <f>IFERROR(__xludf.DUMMYFUNCTION("IFERROR(GOOGLEFINANCE(A910,""trail_dividend""),"""")"),"")</f>
        <v/>
      </c>
      <c r="D910" s="3" t="str">
        <f>IFERROR(__xludf.DUMMYFUNCTION("IFERROR(INDEX(IMPORTXML(""https://finance.yahoo.com/quote/""&amp;A910, ""//td[@data-test='EX_DIVIDEND_DATE-value']""),1),"""")"),"")</f>
        <v/>
      </c>
    </row>
    <row r="911" ht="15.75" customHeight="1">
      <c r="B911" s="3" t="str">
        <f>IFERROR(__xludf.DUMMYFUNCTION("IFERROR(GOOGLEFINANCE(A911,""yield"")*100,"""")"),"")</f>
        <v/>
      </c>
      <c r="C911" s="3" t="str">
        <f>IFERROR(__xludf.DUMMYFUNCTION("IFERROR(GOOGLEFINANCE(A911,""trail_dividend""),"""")"),"")</f>
        <v/>
      </c>
      <c r="D911" s="3" t="str">
        <f>IFERROR(__xludf.DUMMYFUNCTION("IFERROR(INDEX(IMPORTXML(""https://finance.yahoo.com/quote/""&amp;A911, ""//td[@data-test='EX_DIVIDEND_DATE-value']""),1),"""")"),"")</f>
        <v/>
      </c>
    </row>
    <row r="912" ht="15.75" customHeight="1">
      <c r="B912" s="3" t="str">
        <f>IFERROR(__xludf.DUMMYFUNCTION("IFERROR(GOOGLEFINANCE(A912,""yield"")*100,"""")"),"")</f>
        <v/>
      </c>
      <c r="C912" s="3" t="str">
        <f>IFERROR(__xludf.DUMMYFUNCTION("IFERROR(GOOGLEFINANCE(A912,""trail_dividend""),"""")"),"")</f>
        <v/>
      </c>
      <c r="D912" s="3" t="str">
        <f>IFERROR(__xludf.DUMMYFUNCTION("IFERROR(INDEX(IMPORTXML(""https://finance.yahoo.com/quote/""&amp;A912, ""//td[@data-test='EX_DIVIDEND_DATE-value']""),1),"""")"),"")</f>
        <v/>
      </c>
    </row>
    <row r="913" ht="15.75" customHeight="1">
      <c r="B913" s="3" t="str">
        <f>IFERROR(__xludf.DUMMYFUNCTION("IFERROR(GOOGLEFINANCE(A913,""yield"")*100,"""")"),"")</f>
        <v/>
      </c>
      <c r="C913" s="3" t="str">
        <f>IFERROR(__xludf.DUMMYFUNCTION("IFERROR(GOOGLEFINANCE(A913,""trail_dividend""),"""")"),"")</f>
        <v/>
      </c>
      <c r="D913" s="3" t="str">
        <f>IFERROR(__xludf.DUMMYFUNCTION("IFERROR(INDEX(IMPORTXML(""https://finance.yahoo.com/quote/""&amp;A913, ""//td[@data-test='EX_DIVIDEND_DATE-value']""),1),"""")"),"")</f>
        <v/>
      </c>
    </row>
    <row r="914" ht="15.75" customHeight="1">
      <c r="B914" s="3" t="str">
        <f>IFERROR(__xludf.DUMMYFUNCTION("IFERROR(GOOGLEFINANCE(A914,""yield"")*100,"""")"),"")</f>
        <v/>
      </c>
      <c r="C914" s="3" t="str">
        <f>IFERROR(__xludf.DUMMYFUNCTION("IFERROR(GOOGLEFINANCE(A914,""trail_dividend""),"""")"),"")</f>
        <v/>
      </c>
      <c r="D914" s="3" t="str">
        <f>IFERROR(__xludf.DUMMYFUNCTION("IFERROR(INDEX(IMPORTXML(""https://finance.yahoo.com/quote/""&amp;A914, ""//td[@data-test='EX_DIVIDEND_DATE-value']""),1),"""")"),"")</f>
        <v/>
      </c>
    </row>
    <row r="915" ht="15.75" customHeight="1">
      <c r="B915" s="3" t="str">
        <f>IFERROR(__xludf.DUMMYFUNCTION("IFERROR(GOOGLEFINANCE(A915,""yield"")*100,"""")"),"")</f>
        <v/>
      </c>
      <c r="C915" s="3" t="str">
        <f>IFERROR(__xludf.DUMMYFUNCTION("IFERROR(GOOGLEFINANCE(A915,""trail_dividend""),"""")"),"")</f>
        <v/>
      </c>
      <c r="D915" s="3" t="str">
        <f>IFERROR(__xludf.DUMMYFUNCTION("IFERROR(INDEX(IMPORTXML(""https://finance.yahoo.com/quote/""&amp;A915, ""//td[@data-test='EX_DIVIDEND_DATE-value']""),1),"""")"),"")</f>
        <v/>
      </c>
    </row>
    <row r="916" ht="15.75" customHeight="1">
      <c r="B916" s="3" t="str">
        <f>IFERROR(__xludf.DUMMYFUNCTION("IFERROR(GOOGLEFINANCE(A916,""yield"")*100,"""")"),"")</f>
        <v/>
      </c>
      <c r="C916" s="3" t="str">
        <f>IFERROR(__xludf.DUMMYFUNCTION("IFERROR(GOOGLEFINANCE(A916,""trail_dividend""),"""")"),"")</f>
        <v/>
      </c>
      <c r="D916" s="3" t="str">
        <f>IFERROR(__xludf.DUMMYFUNCTION("IFERROR(INDEX(IMPORTXML(""https://finance.yahoo.com/quote/""&amp;A916, ""//td[@data-test='EX_DIVIDEND_DATE-value']""),1),"""")"),"")</f>
        <v/>
      </c>
    </row>
    <row r="917" ht="15.75" customHeight="1">
      <c r="B917" s="3" t="str">
        <f>IFERROR(__xludf.DUMMYFUNCTION("IFERROR(GOOGLEFINANCE(A917,""yield"")*100,"""")"),"")</f>
        <v/>
      </c>
      <c r="C917" s="3" t="str">
        <f>IFERROR(__xludf.DUMMYFUNCTION("IFERROR(GOOGLEFINANCE(A917,""trail_dividend""),"""")"),"")</f>
        <v/>
      </c>
      <c r="D917" s="3" t="str">
        <f>IFERROR(__xludf.DUMMYFUNCTION("IFERROR(INDEX(IMPORTXML(""https://finance.yahoo.com/quote/""&amp;A917, ""//td[@data-test='EX_DIVIDEND_DATE-value']""),1),"""")"),"")</f>
        <v/>
      </c>
    </row>
    <row r="918" ht="15.75" customHeight="1">
      <c r="B918" s="3" t="str">
        <f>IFERROR(__xludf.DUMMYFUNCTION("IFERROR(GOOGLEFINANCE(A918,""yield"")*100,"""")"),"")</f>
        <v/>
      </c>
      <c r="C918" s="3" t="str">
        <f>IFERROR(__xludf.DUMMYFUNCTION("IFERROR(GOOGLEFINANCE(A918,""trail_dividend""),"""")"),"")</f>
        <v/>
      </c>
      <c r="D918" s="3" t="str">
        <f>IFERROR(__xludf.DUMMYFUNCTION("IFERROR(INDEX(IMPORTXML(""https://finance.yahoo.com/quote/""&amp;A918, ""//td[@data-test='EX_DIVIDEND_DATE-value']""),1),"""")"),"")</f>
        <v/>
      </c>
    </row>
    <row r="919" ht="15.75" customHeight="1">
      <c r="B919" s="3" t="str">
        <f>IFERROR(__xludf.DUMMYFUNCTION("IFERROR(GOOGLEFINANCE(A919,""yield"")*100,"""")"),"")</f>
        <v/>
      </c>
      <c r="C919" s="3" t="str">
        <f>IFERROR(__xludf.DUMMYFUNCTION("IFERROR(GOOGLEFINANCE(A919,""trail_dividend""),"""")"),"")</f>
        <v/>
      </c>
      <c r="D919" s="3" t="str">
        <f>IFERROR(__xludf.DUMMYFUNCTION("IFERROR(INDEX(IMPORTXML(""https://finance.yahoo.com/quote/""&amp;A919, ""//td[@data-test='EX_DIVIDEND_DATE-value']""),1),"""")"),"")</f>
        <v/>
      </c>
    </row>
    <row r="920" ht="15.75" customHeight="1">
      <c r="B920" s="3" t="str">
        <f>IFERROR(__xludf.DUMMYFUNCTION("IFERROR(GOOGLEFINANCE(A920,""yield"")*100,"""")"),"")</f>
        <v/>
      </c>
      <c r="C920" s="3" t="str">
        <f>IFERROR(__xludf.DUMMYFUNCTION("IFERROR(GOOGLEFINANCE(A920,""trail_dividend""),"""")"),"")</f>
        <v/>
      </c>
      <c r="D920" s="3" t="str">
        <f>IFERROR(__xludf.DUMMYFUNCTION("IFERROR(INDEX(IMPORTXML(""https://finance.yahoo.com/quote/""&amp;A920, ""//td[@data-test='EX_DIVIDEND_DATE-value']""),1),"""")"),"")</f>
        <v/>
      </c>
    </row>
    <row r="921" ht="15.75" customHeight="1">
      <c r="B921" s="3" t="str">
        <f>IFERROR(__xludf.DUMMYFUNCTION("IFERROR(GOOGLEFINANCE(A921,""yield"")*100,"""")"),"")</f>
        <v/>
      </c>
      <c r="C921" s="3" t="str">
        <f>IFERROR(__xludf.DUMMYFUNCTION("IFERROR(GOOGLEFINANCE(A921,""trail_dividend""),"""")"),"")</f>
        <v/>
      </c>
      <c r="D921" s="3" t="str">
        <f>IFERROR(__xludf.DUMMYFUNCTION("IFERROR(INDEX(IMPORTXML(""https://finance.yahoo.com/quote/""&amp;A921, ""//td[@data-test='EX_DIVIDEND_DATE-value']""),1),"""")"),"")</f>
        <v/>
      </c>
    </row>
    <row r="922" ht="15.75" customHeight="1">
      <c r="B922" s="3" t="str">
        <f>IFERROR(__xludf.DUMMYFUNCTION("IFERROR(GOOGLEFINANCE(A922,""yield"")*100,"""")"),"")</f>
        <v/>
      </c>
      <c r="C922" s="3" t="str">
        <f>IFERROR(__xludf.DUMMYFUNCTION("IFERROR(GOOGLEFINANCE(A922,""trail_dividend""),"""")"),"")</f>
        <v/>
      </c>
      <c r="D922" s="3" t="str">
        <f>IFERROR(__xludf.DUMMYFUNCTION("IFERROR(INDEX(IMPORTXML(""https://finance.yahoo.com/quote/""&amp;A922, ""//td[@data-test='EX_DIVIDEND_DATE-value']""),1),"""")"),"")</f>
        <v/>
      </c>
    </row>
    <row r="923" ht="15.75" customHeight="1">
      <c r="B923" s="3" t="str">
        <f>IFERROR(__xludf.DUMMYFUNCTION("IFERROR(GOOGLEFINANCE(A923,""yield"")*100,"""")"),"")</f>
        <v/>
      </c>
      <c r="C923" s="3" t="str">
        <f>IFERROR(__xludf.DUMMYFUNCTION("IFERROR(GOOGLEFINANCE(A923,""trail_dividend""),"""")"),"")</f>
        <v/>
      </c>
      <c r="D923" s="3" t="str">
        <f>IFERROR(__xludf.DUMMYFUNCTION("IFERROR(INDEX(IMPORTXML(""https://finance.yahoo.com/quote/""&amp;A923, ""//td[@data-test='EX_DIVIDEND_DATE-value']""),1),"""")"),"")</f>
        <v/>
      </c>
    </row>
    <row r="924" ht="15.75" customHeight="1">
      <c r="B924" s="3" t="str">
        <f>IFERROR(__xludf.DUMMYFUNCTION("IFERROR(GOOGLEFINANCE(A924,""yield"")*100,"""")"),"")</f>
        <v/>
      </c>
      <c r="C924" s="3" t="str">
        <f>IFERROR(__xludf.DUMMYFUNCTION("IFERROR(GOOGLEFINANCE(A924,""trail_dividend""),"""")"),"")</f>
        <v/>
      </c>
      <c r="D924" s="3" t="str">
        <f>IFERROR(__xludf.DUMMYFUNCTION("IFERROR(INDEX(IMPORTXML(""https://finance.yahoo.com/quote/""&amp;A924, ""//td[@data-test='EX_DIVIDEND_DATE-value']""),1),"""")"),"")</f>
        <v/>
      </c>
    </row>
    <row r="925" ht="15.75" customHeight="1">
      <c r="B925" s="3" t="str">
        <f>IFERROR(__xludf.DUMMYFUNCTION("IFERROR(GOOGLEFINANCE(A925,""yield"")*100,"""")"),"")</f>
        <v/>
      </c>
      <c r="C925" s="3" t="str">
        <f>IFERROR(__xludf.DUMMYFUNCTION("IFERROR(GOOGLEFINANCE(A925,""trail_dividend""),"""")"),"")</f>
        <v/>
      </c>
      <c r="D925" s="3" t="str">
        <f>IFERROR(__xludf.DUMMYFUNCTION("IFERROR(INDEX(IMPORTXML(""https://finance.yahoo.com/quote/""&amp;A925, ""//td[@data-test='EX_DIVIDEND_DATE-value']""),1),"""")"),"")</f>
        <v/>
      </c>
    </row>
    <row r="926" ht="15.75" customHeight="1">
      <c r="B926" s="3" t="str">
        <f>IFERROR(__xludf.DUMMYFUNCTION("IFERROR(GOOGLEFINANCE(A926,""yield"")*100,"""")"),"")</f>
        <v/>
      </c>
      <c r="C926" s="3" t="str">
        <f>IFERROR(__xludf.DUMMYFUNCTION("IFERROR(GOOGLEFINANCE(A926,""trail_dividend""),"""")"),"")</f>
        <v/>
      </c>
      <c r="D926" s="3" t="str">
        <f>IFERROR(__xludf.DUMMYFUNCTION("IFERROR(INDEX(IMPORTXML(""https://finance.yahoo.com/quote/""&amp;A926, ""//td[@data-test='EX_DIVIDEND_DATE-value']""),1),"""")"),"")</f>
        <v/>
      </c>
    </row>
    <row r="927" ht="15.75" customHeight="1">
      <c r="B927" s="3" t="str">
        <f>IFERROR(__xludf.DUMMYFUNCTION("IFERROR(GOOGLEFINANCE(A927,""yield"")*100,"""")"),"")</f>
        <v/>
      </c>
      <c r="C927" s="3" t="str">
        <f>IFERROR(__xludf.DUMMYFUNCTION("IFERROR(GOOGLEFINANCE(A927,""trail_dividend""),"""")"),"")</f>
        <v/>
      </c>
      <c r="D927" s="3" t="str">
        <f>IFERROR(__xludf.DUMMYFUNCTION("IFERROR(INDEX(IMPORTXML(""https://finance.yahoo.com/quote/""&amp;A927, ""//td[@data-test='EX_DIVIDEND_DATE-value']""),1),"""")"),"")</f>
        <v/>
      </c>
    </row>
    <row r="928" ht="15.75" customHeight="1">
      <c r="B928" s="3" t="str">
        <f>IFERROR(__xludf.DUMMYFUNCTION("IFERROR(GOOGLEFINANCE(A928,""yield"")*100,"""")"),"")</f>
        <v/>
      </c>
      <c r="C928" s="3" t="str">
        <f>IFERROR(__xludf.DUMMYFUNCTION("IFERROR(GOOGLEFINANCE(A928,""trail_dividend""),"""")"),"")</f>
        <v/>
      </c>
      <c r="D928" s="3" t="str">
        <f>IFERROR(__xludf.DUMMYFUNCTION("IFERROR(INDEX(IMPORTXML(""https://finance.yahoo.com/quote/""&amp;A928, ""//td[@data-test='EX_DIVIDEND_DATE-value']""),1),"""")"),"")</f>
        <v/>
      </c>
    </row>
    <row r="929" ht="15.75" customHeight="1">
      <c r="B929" s="3" t="str">
        <f>IFERROR(__xludf.DUMMYFUNCTION("IFERROR(GOOGLEFINANCE(A929,""yield"")*100,"""")"),"")</f>
        <v/>
      </c>
      <c r="C929" s="3" t="str">
        <f>IFERROR(__xludf.DUMMYFUNCTION("IFERROR(GOOGLEFINANCE(A929,""trail_dividend""),"""")"),"")</f>
        <v/>
      </c>
      <c r="D929" s="3" t="str">
        <f>IFERROR(__xludf.DUMMYFUNCTION("IFERROR(INDEX(IMPORTXML(""https://finance.yahoo.com/quote/""&amp;A929, ""//td[@data-test='EX_DIVIDEND_DATE-value']""),1),"""")"),"")</f>
        <v/>
      </c>
    </row>
    <row r="930" ht="15.75" customHeight="1">
      <c r="B930" s="3" t="str">
        <f>IFERROR(__xludf.DUMMYFUNCTION("IFERROR(GOOGLEFINANCE(A930,""yield"")*100,"""")"),"")</f>
        <v/>
      </c>
      <c r="C930" s="3" t="str">
        <f>IFERROR(__xludf.DUMMYFUNCTION("IFERROR(GOOGLEFINANCE(A930,""trail_dividend""),"""")"),"")</f>
        <v/>
      </c>
      <c r="D930" s="3" t="str">
        <f>IFERROR(__xludf.DUMMYFUNCTION("IFERROR(INDEX(IMPORTXML(""https://finance.yahoo.com/quote/""&amp;A930, ""//td[@data-test='EX_DIVIDEND_DATE-value']""),1),"""")"),"")</f>
        <v/>
      </c>
    </row>
    <row r="931" ht="15.75" customHeight="1">
      <c r="B931" s="3" t="str">
        <f>IFERROR(__xludf.DUMMYFUNCTION("IFERROR(GOOGLEFINANCE(A931,""yield"")*100,"""")"),"")</f>
        <v/>
      </c>
      <c r="C931" s="3" t="str">
        <f>IFERROR(__xludf.DUMMYFUNCTION("IFERROR(GOOGLEFINANCE(A931,""trail_dividend""),"""")"),"")</f>
        <v/>
      </c>
      <c r="D931" s="3" t="str">
        <f>IFERROR(__xludf.DUMMYFUNCTION("IFERROR(INDEX(IMPORTXML(""https://finance.yahoo.com/quote/""&amp;A931, ""//td[@data-test='EX_DIVIDEND_DATE-value']""),1),"""")"),"")</f>
        <v/>
      </c>
    </row>
    <row r="932" ht="15.75" customHeight="1">
      <c r="B932" s="3" t="str">
        <f>IFERROR(__xludf.DUMMYFUNCTION("IFERROR(GOOGLEFINANCE(A932,""yield"")*100,"""")"),"")</f>
        <v/>
      </c>
      <c r="C932" s="3" t="str">
        <f>IFERROR(__xludf.DUMMYFUNCTION("IFERROR(GOOGLEFINANCE(A932,""trail_dividend""),"""")"),"")</f>
        <v/>
      </c>
      <c r="D932" s="3" t="str">
        <f>IFERROR(__xludf.DUMMYFUNCTION("IFERROR(INDEX(IMPORTXML(""https://finance.yahoo.com/quote/""&amp;A932, ""//td[@data-test='EX_DIVIDEND_DATE-value']""),1),"""")"),"")</f>
        <v/>
      </c>
    </row>
    <row r="933" ht="15.75" customHeight="1">
      <c r="B933" s="3" t="str">
        <f>IFERROR(__xludf.DUMMYFUNCTION("IFERROR(GOOGLEFINANCE(A933,""yield"")*100,"""")"),"")</f>
        <v/>
      </c>
      <c r="C933" s="3" t="str">
        <f>IFERROR(__xludf.DUMMYFUNCTION("IFERROR(GOOGLEFINANCE(A933,""trail_dividend""),"""")"),"")</f>
        <v/>
      </c>
      <c r="D933" s="3" t="str">
        <f>IFERROR(__xludf.DUMMYFUNCTION("IFERROR(INDEX(IMPORTXML(""https://finance.yahoo.com/quote/""&amp;A933, ""//td[@data-test='EX_DIVIDEND_DATE-value']""),1),"""")"),"")</f>
        <v/>
      </c>
    </row>
    <row r="934" ht="15.75" customHeight="1">
      <c r="B934" s="3" t="str">
        <f>IFERROR(__xludf.DUMMYFUNCTION("IFERROR(GOOGLEFINANCE(A934,""yield"")*100,"""")"),"")</f>
        <v/>
      </c>
      <c r="C934" s="3" t="str">
        <f>IFERROR(__xludf.DUMMYFUNCTION("IFERROR(GOOGLEFINANCE(A934,""trail_dividend""),"""")"),"")</f>
        <v/>
      </c>
      <c r="D934" s="3" t="str">
        <f>IFERROR(__xludf.DUMMYFUNCTION("IFERROR(INDEX(IMPORTXML(""https://finance.yahoo.com/quote/""&amp;A934, ""//td[@data-test='EX_DIVIDEND_DATE-value']""),1),"""")"),"")</f>
        <v/>
      </c>
    </row>
    <row r="935" ht="15.75" customHeight="1">
      <c r="B935" s="3" t="str">
        <f>IFERROR(__xludf.DUMMYFUNCTION("IFERROR(GOOGLEFINANCE(A935,""yield"")*100,"""")"),"")</f>
        <v/>
      </c>
      <c r="C935" s="3" t="str">
        <f>IFERROR(__xludf.DUMMYFUNCTION("IFERROR(GOOGLEFINANCE(A935,""trail_dividend""),"""")"),"")</f>
        <v/>
      </c>
      <c r="D935" s="3" t="str">
        <f>IFERROR(__xludf.DUMMYFUNCTION("IFERROR(INDEX(IMPORTXML(""https://finance.yahoo.com/quote/""&amp;A935, ""//td[@data-test='EX_DIVIDEND_DATE-value']""),1),"""")"),"")</f>
        <v/>
      </c>
    </row>
    <row r="936" ht="15.75" customHeight="1">
      <c r="B936" s="3" t="str">
        <f>IFERROR(__xludf.DUMMYFUNCTION("IFERROR(GOOGLEFINANCE(A936,""yield"")*100,"""")"),"")</f>
        <v/>
      </c>
      <c r="C936" s="3" t="str">
        <f>IFERROR(__xludf.DUMMYFUNCTION("IFERROR(GOOGLEFINANCE(A936,""trail_dividend""),"""")"),"")</f>
        <v/>
      </c>
      <c r="D936" s="3" t="str">
        <f>IFERROR(__xludf.DUMMYFUNCTION("IFERROR(INDEX(IMPORTXML(""https://finance.yahoo.com/quote/""&amp;A936, ""//td[@data-test='EX_DIVIDEND_DATE-value']""),1),"""")"),"")</f>
        <v/>
      </c>
    </row>
    <row r="937" ht="15.75" customHeight="1">
      <c r="B937" s="3" t="str">
        <f>IFERROR(__xludf.DUMMYFUNCTION("IFERROR(GOOGLEFINANCE(A937,""yield"")*100,"""")"),"")</f>
        <v/>
      </c>
      <c r="C937" s="3" t="str">
        <f>IFERROR(__xludf.DUMMYFUNCTION("IFERROR(GOOGLEFINANCE(A937,""trail_dividend""),"""")"),"")</f>
        <v/>
      </c>
      <c r="D937" s="3" t="str">
        <f>IFERROR(__xludf.DUMMYFUNCTION("IFERROR(INDEX(IMPORTXML(""https://finance.yahoo.com/quote/""&amp;A937, ""//td[@data-test='EX_DIVIDEND_DATE-value']""),1),"""")"),"")</f>
        <v/>
      </c>
    </row>
    <row r="938" ht="15.75" customHeight="1">
      <c r="B938" s="3" t="str">
        <f>IFERROR(__xludf.DUMMYFUNCTION("IFERROR(GOOGLEFINANCE(A938,""yield"")*100,"""")"),"")</f>
        <v/>
      </c>
      <c r="C938" s="3" t="str">
        <f>IFERROR(__xludf.DUMMYFUNCTION("IFERROR(GOOGLEFINANCE(A938,""trail_dividend""),"""")"),"")</f>
        <v/>
      </c>
      <c r="D938" s="3" t="str">
        <f>IFERROR(__xludf.DUMMYFUNCTION("IFERROR(INDEX(IMPORTXML(""https://finance.yahoo.com/quote/""&amp;A938, ""//td[@data-test='EX_DIVIDEND_DATE-value']""),1),"""")"),"")</f>
        <v/>
      </c>
    </row>
    <row r="939" ht="15.75" customHeight="1">
      <c r="B939" s="3" t="str">
        <f>IFERROR(__xludf.DUMMYFUNCTION("IFERROR(GOOGLEFINANCE(A939,""yield"")*100,"""")"),"")</f>
        <v/>
      </c>
      <c r="C939" s="3" t="str">
        <f>IFERROR(__xludf.DUMMYFUNCTION("IFERROR(GOOGLEFINANCE(A939,""trail_dividend""),"""")"),"")</f>
        <v/>
      </c>
      <c r="D939" s="3" t="str">
        <f>IFERROR(__xludf.DUMMYFUNCTION("IFERROR(INDEX(IMPORTXML(""https://finance.yahoo.com/quote/""&amp;A939, ""//td[@data-test='EX_DIVIDEND_DATE-value']""),1),"""")"),"")</f>
        <v/>
      </c>
    </row>
    <row r="940" ht="15.75" customHeight="1">
      <c r="B940" s="3" t="str">
        <f>IFERROR(__xludf.DUMMYFUNCTION("IFERROR(GOOGLEFINANCE(A940,""yield"")*100,"""")"),"")</f>
        <v/>
      </c>
      <c r="C940" s="3" t="str">
        <f>IFERROR(__xludf.DUMMYFUNCTION("IFERROR(GOOGLEFINANCE(A940,""trail_dividend""),"""")"),"")</f>
        <v/>
      </c>
      <c r="D940" s="3" t="str">
        <f>IFERROR(__xludf.DUMMYFUNCTION("IFERROR(INDEX(IMPORTXML(""https://finance.yahoo.com/quote/""&amp;A940, ""//td[@data-test='EX_DIVIDEND_DATE-value']""),1),"""")"),"")</f>
        <v/>
      </c>
    </row>
    <row r="941" ht="15.75" customHeight="1">
      <c r="B941" s="3" t="str">
        <f>IFERROR(__xludf.DUMMYFUNCTION("IFERROR(GOOGLEFINANCE(A941,""yield"")*100,"""")"),"")</f>
        <v/>
      </c>
      <c r="C941" s="3" t="str">
        <f>IFERROR(__xludf.DUMMYFUNCTION("IFERROR(GOOGLEFINANCE(A941,""trail_dividend""),"""")"),"")</f>
        <v/>
      </c>
      <c r="D941" s="3" t="str">
        <f>IFERROR(__xludf.DUMMYFUNCTION("IFERROR(INDEX(IMPORTXML(""https://finance.yahoo.com/quote/""&amp;A941, ""//td[@data-test='EX_DIVIDEND_DATE-value']""),1),"""")"),"")</f>
        <v/>
      </c>
    </row>
    <row r="942" ht="15.75" customHeight="1">
      <c r="B942" s="3" t="str">
        <f>IFERROR(__xludf.DUMMYFUNCTION("IFERROR(GOOGLEFINANCE(A942,""yield"")*100,"""")"),"")</f>
        <v/>
      </c>
      <c r="C942" s="3" t="str">
        <f>IFERROR(__xludf.DUMMYFUNCTION("IFERROR(GOOGLEFINANCE(A942,""trail_dividend""),"""")"),"")</f>
        <v/>
      </c>
      <c r="D942" s="3" t="str">
        <f>IFERROR(__xludf.DUMMYFUNCTION("IFERROR(INDEX(IMPORTXML(""https://finance.yahoo.com/quote/""&amp;A942, ""//td[@data-test='EX_DIVIDEND_DATE-value']""),1),"""")"),"")</f>
        <v/>
      </c>
    </row>
    <row r="943" ht="15.75" customHeight="1">
      <c r="B943" s="3" t="str">
        <f>IFERROR(__xludf.DUMMYFUNCTION("IFERROR(GOOGLEFINANCE(A943,""yield"")*100,"""")"),"")</f>
        <v/>
      </c>
      <c r="C943" s="3" t="str">
        <f>IFERROR(__xludf.DUMMYFUNCTION("IFERROR(GOOGLEFINANCE(A943,""trail_dividend""),"""")"),"")</f>
        <v/>
      </c>
      <c r="D943" s="3" t="str">
        <f>IFERROR(__xludf.DUMMYFUNCTION("IFERROR(INDEX(IMPORTXML(""https://finance.yahoo.com/quote/""&amp;A943, ""//td[@data-test='EX_DIVIDEND_DATE-value']""),1),"""")"),"")</f>
        <v/>
      </c>
    </row>
    <row r="944" ht="15.75" customHeight="1">
      <c r="B944" s="3" t="str">
        <f>IFERROR(__xludf.DUMMYFUNCTION("IFERROR(GOOGLEFINANCE(A944,""yield"")*100,"""")"),"")</f>
        <v/>
      </c>
      <c r="C944" s="3" t="str">
        <f>IFERROR(__xludf.DUMMYFUNCTION("IFERROR(GOOGLEFINANCE(A944,""trail_dividend""),"""")"),"")</f>
        <v/>
      </c>
      <c r="D944" s="3" t="str">
        <f>IFERROR(__xludf.DUMMYFUNCTION("IFERROR(INDEX(IMPORTXML(""https://finance.yahoo.com/quote/""&amp;A944, ""//td[@data-test='EX_DIVIDEND_DATE-value']""),1),"""")"),"")</f>
        <v/>
      </c>
    </row>
    <row r="945" ht="15.75" customHeight="1">
      <c r="B945" s="3" t="str">
        <f>IFERROR(__xludf.DUMMYFUNCTION("IFERROR(GOOGLEFINANCE(A945,""yield"")*100,"""")"),"")</f>
        <v/>
      </c>
      <c r="C945" s="3" t="str">
        <f>IFERROR(__xludf.DUMMYFUNCTION("IFERROR(GOOGLEFINANCE(A945,""trail_dividend""),"""")"),"")</f>
        <v/>
      </c>
      <c r="D945" s="3" t="str">
        <f>IFERROR(__xludf.DUMMYFUNCTION("IFERROR(INDEX(IMPORTXML(""https://finance.yahoo.com/quote/""&amp;A945, ""//td[@data-test='EX_DIVIDEND_DATE-value']""),1),"""")"),"")</f>
        <v/>
      </c>
    </row>
    <row r="946" ht="15.75" customHeight="1">
      <c r="B946" s="3" t="str">
        <f>IFERROR(__xludf.DUMMYFUNCTION("IFERROR(GOOGLEFINANCE(A946,""yield"")*100,"""")"),"")</f>
        <v/>
      </c>
      <c r="C946" s="3" t="str">
        <f>IFERROR(__xludf.DUMMYFUNCTION("IFERROR(GOOGLEFINANCE(A946,""trail_dividend""),"""")"),"")</f>
        <v/>
      </c>
      <c r="D946" s="3" t="str">
        <f>IFERROR(__xludf.DUMMYFUNCTION("IFERROR(INDEX(IMPORTXML(""https://finance.yahoo.com/quote/""&amp;A946, ""//td[@data-test='EX_DIVIDEND_DATE-value']""),1),"""")"),"")</f>
        <v/>
      </c>
    </row>
    <row r="947" ht="15.75" customHeight="1">
      <c r="B947" s="3" t="str">
        <f>IFERROR(__xludf.DUMMYFUNCTION("IFERROR(GOOGLEFINANCE(A947,""yield"")*100,"""")"),"")</f>
        <v/>
      </c>
      <c r="C947" s="3" t="str">
        <f>IFERROR(__xludf.DUMMYFUNCTION("IFERROR(GOOGLEFINANCE(A947,""trail_dividend""),"""")"),"")</f>
        <v/>
      </c>
      <c r="D947" s="3" t="str">
        <f>IFERROR(__xludf.DUMMYFUNCTION("IFERROR(INDEX(IMPORTXML(""https://finance.yahoo.com/quote/""&amp;A947, ""//td[@data-test='EX_DIVIDEND_DATE-value']""),1),"""")"),"")</f>
        <v/>
      </c>
    </row>
    <row r="948" ht="15.75" customHeight="1">
      <c r="B948" s="3" t="str">
        <f>IFERROR(__xludf.DUMMYFUNCTION("IFERROR(GOOGLEFINANCE(A948,""yield"")*100,"""")"),"")</f>
        <v/>
      </c>
      <c r="C948" s="3" t="str">
        <f>IFERROR(__xludf.DUMMYFUNCTION("IFERROR(GOOGLEFINANCE(A948,""trail_dividend""),"""")"),"")</f>
        <v/>
      </c>
      <c r="D948" s="3" t="str">
        <f>IFERROR(__xludf.DUMMYFUNCTION("IFERROR(INDEX(IMPORTXML(""https://finance.yahoo.com/quote/""&amp;A948, ""//td[@data-test='EX_DIVIDEND_DATE-value']""),1),"""")"),"")</f>
        <v/>
      </c>
    </row>
    <row r="949" ht="15.75" customHeight="1">
      <c r="B949" s="3" t="str">
        <f>IFERROR(__xludf.DUMMYFUNCTION("IFERROR(GOOGLEFINANCE(A949,""yield"")*100,"""")"),"")</f>
        <v/>
      </c>
      <c r="C949" s="3" t="str">
        <f>IFERROR(__xludf.DUMMYFUNCTION("IFERROR(GOOGLEFINANCE(A949,""trail_dividend""),"""")"),"")</f>
        <v/>
      </c>
      <c r="D949" s="3" t="str">
        <f>IFERROR(__xludf.DUMMYFUNCTION("IFERROR(INDEX(IMPORTXML(""https://finance.yahoo.com/quote/""&amp;A949, ""//td[@data-test='EX_DIVIDEND_DATE-value']""),1),"""")"),"")</f>
        <v/>
      </c>
    </row>
    <row r="950" ht="15.75" customHeight="1">
      <c r="B950" s="3" t="str">
        <f>IFERROR(__xludf.DUMMYFUNCTION("IFERROR(GOOGLEFINANCE(A950,""yield"")*100,"""")"),"")</f>
        <v/>
      </c>
      <c r="C950" s="3" t="str">
        <f>IFERROR(__xludf.DUMMYFUNCTION("IFERROR(GOOGLEFINANCE(A950,""trail_dividend""),"""")"),"")</f>
        <v/>
      </c>
      <c r="D950" s="3" t="str">
        <f>IFERROR(__xludf.DUMMYFUNCTION("IFERROR(INDEX(IMPORTXML(""https://finance.yahoo.com/quote/""&amp;A950, ""//td[@data-test='EX_DIVIDEND_DATE-value']""),1),"""")"),"")</f>
        <v/>
      </c>
    </row>
    <row r="951" ht="15.75" customHeight="1">
      <c r="B951" s="3" t="str">
        <f>IFERROR(__xludf.DUMMYFUNCTION("IFERROR(GOOGLEFINANCE(A951,""yield"")*100,"""")"),"")</f>
        <v/>
      </c>
      <c r="C951" s="3" t="str">
        <f>IFERROR(__xludf.DUMMYFUNCTION("IFERROR(GOOGLEFINANCE(A951,""trail_dividend""),"""")"),"")</f>
        <v/>
      </c>
      <c r="D951" s="3" t="str">
        <f>IFERROR(__xludf.DUMMYFUNCTION("IFERROR(INDEX(IMPORTXML(""https://finance.yahoo.com/quote/""&amp;A951, ""//td[@data-test='EX_DIVIDEND_DATE-value']""),1),"""")"),"")</f>
        <v/>
      </c>
    </row>
    <row r="952" ht="15.75" customHeight="1">
      <c r="B952" s="3" t="str">
        <f>IFERROR(__xludf.DUMMYFUNCTION("IFERROR(GOOGLEFINANCE(A952,""yield"")*100,"""")"),"")</f>
        <v/>
      </c>
      <c r="C952" s="3" t="str">
        <f>IFERROR(__xludf.DUMMYFUNCTION("IFERROR(GOOGLEFINANCE(A952,""trail_dividend""),"""")"),"")</f>
        <v/>
      </c>
      <c r="D952" s="3" t="str">
        <f>IFERROR(__xludf.DUMMYFUNCTION("IFERROR(INDEX(IMPORTXML(""https://finance.yahoo.com/quote/""&amp;A952, ""//td[@data-test='EX_DIVIDEND_DATE-value']""),1),"""")"),"")</f>
        <v/>
      </c>
    </row>
    <row r="953" ht="15.75" customHeight="1">
      <c r="B953" s="3" t="str">
        <f>IFERROR(__xludf.DUMMYFUNCTION("IFERROR(GOOGLEFINANCE(A953,""yield"")*100,"""")"),"")</f>
        <v/>
      </c>
      <c r="C953" s="3" t="str">
        <f>IFERROR(__xludf.DUMMYFUNCTION("IFERROR(GOOGLEFINANCE(A953,""trail_dividend""),"""")"),"")</f>
        <v/>
      </c>
      <c r="D953" s="3" t="str">
        <f>IFERROR(__xludf.DUMMYFUNCTION("IFERROR(INDEX(IMPORTXML(""https://finance.yahoo.com/quote/""&amp;A953, ""//td[@data-test='EX_DIVIDEND_DATE-value']""),1),"""")"),"")</f>
        <v/>
      </c>
    </row>
    <row r="954" ht="15.75" customHeight="1">
      <c r="B954" s="3" t="str">
        <f>IFERROR(__xludf.DUMMYFUNCTION("IFERROR(GOOGLEFINANCE(A954,""yield"")*100,"""")"),"")</f>
        <v/>
      </c>
      <c r="C954" s="3" t="str">
        <f>IFERROR(__xludf.DUMMYFUNCTION("IFERROR(GOOGLEFINANCE(A954,""trail_dividend""),"""")"),"")</f>
        <v/>
      </c>
      <c r="D954" s="3" t="str">
        <f>IFERROR(__xludf.DUMMYFUNCTION("IFERROR(INDEX(IMPORTXML(""https://finance.yahoo.com/quote/""&amp;A954, ""//td[@data-test='EX_DIVIDEND_DATE-value']""),1),"""")"),"")</f>
        <v/>
      </c>
    </row>
    <row r="955" ht="15.75" customHeight="1">
      <c r="B955" s="3" t="str">
        <f>IFERROR(__xludf.DUMMYFUNCTION("IFERROR(GOOGLEFINANCE(A955,""yield"")*100,"""")"),"")</f>
        <v/>
      </c>
      <c r="C955" s="3" t="str">
        <f>IFERROR(__xludf.DUMMYFUNCTION("IFERROR(GOOGLEFINANCE(A955,""trail_dividend""),"""")"),"")</f>
        <v/>
      </c>
      <c r="D955" s="3" t="str">
        <f>IFERROR(__xludf.DUMMYFUNCTION("IFERROR(INDEX(IMPORTXML(""https://finance.yahoo.com/quote/""&amp;A955, ""//td[@data-test='EX_DIVIDEND_DATE-value']""),1),"""")"),"")</f>
        <v/>
      </c>
    </row>
    <row r="956" ht="15.75" customHeight="1">
      <c r="B956" s="3" t="str">
        <f>IFERROR(__xludf.DUMMYFUNCTION("IFERROR(GOOGLEFINANCE(A956,""yield"")*100,"""")"),"")</f>
        <v/>
      </c>
      <c r="C956" s="3" t="str">
        <f>IFERROR(__xludf.DUMMYFUNCTION("IFERROR(GOOGLEFINANCE(A956,""trail_dividend""),"""")"),"")</f>
        <v/>
      </c>
      <c r="D956" s="3" t="str">
        <f>IFERROR(__xludf.DUMMYFUNCTION("IFERROR(INDEX(IMPORTXML(""https://finance.yahoo.com/quote/""&amp;A956, ""//td[@data-test='EX_DIVIDEND_DATE-value']""),1),"""")"),"")</f>
        <v/>
      </c>
    </row>
    <row r="957" ht="15.75" customHeight="1">
      <c r="B957" s="3" t="str">
        <f>IFERROR(__xludf.DUMMYFUNCTION("IFERROR(GOOGLEFINANCE(A957,""yield"")*100,"""")"),"")</f>
        <v/>
      </c>
      <c r="C957" s="3" t="str">
        <f>IFERROR(__xludf.DUMMYFUNCTION("IFERROR(GOOGLEFINANCE(A957,""trail_dividend""),"""")"),"")</f>
        <v/>
      </c>
      <c r="D957" s="3" t="str">
        <f>IFERROR(__xludf.DUMMYFUNCTION("IFERROR(INDEX(IMPORTXML(""https://finance.yahoo.com/quote/""&amp;A957, ""//td[@data-test='EX_DIVIDEND_DATE-value']""),1),"""")"),"")</f>
        <v/>
      </c>
    </row>
    <row r="958" ht="15.75" customHeight="1">
      <c r="B958" s="3" t="str">
        <f>IFERROR(__xludf.DUMMYFUNCTION("IFERROR(GOOGLEFINANCE(A958,""yield"")*100,"""")"),"")</f>
        <v/>
      </c>
      <c r="C958" s="3" t="str">
        <f>IFERROR(__xludf.DUMMYFUNCTION("IFERROR(GOOGLEFINANCE(A958,""trail_dividend""),"""")"),"")</f>
        <v/>
      </c>
      <c r="D958" s="3" t="str">
        <f>IFERROR(__xludf.DUMMYFUNCTION("IFERROR(INDEX(IMPORTXML(""https://finance.yahoo.com/quote/""&amp;A958, ""//td[@data-test='EX_DIVIDEND_DATE-value']""),1),"""")"),"")</f>
        <v/>
      </c>
    </row>
    <row r="959" ht="15.75" customHeight="1">
      <c r="B959" s="3" t="str">
        <f>IFERROR(__xludf.DUMMYFUNCTION("IFERROR(GOOGLEFINANCE(A959,""yield"")*100,"""")"),"")</f>
        <v/>
      </c>
      <c r="C959" s="3" t="str">
        <f>IFERROR(__xludf.DUMMYFUNCTION("IFERROR(GOOGLEFINANCE(A959,""trail_dividend""),"""")"),"")</f>
        <v/>
      </c>
      <c r="D959" s="3" t="str">
        <f>IFERROR(__xludf.DUMMYFUNCTION("IFERROR(INDEX(IMPORTXML(""https://finance.yahoo.com/quote/""&amp;A959, ""//td[@data-test='EX_DIVIDEND_DATE-value']""),1),"""")"),"")</f>
        <v/>
      </c>
    </row>
    <row r="960" ht="15.75" customHeight="1">
      <c r="B960" s="3" t="str">
        <f>IFERROR(__xludf.DUMMYFUNCTION("IFERROR(GOOGLEFINANCE(A960,""yield"")*100,"""")"),"")</f>
        <v/>
      </c>
      <c r="C960" s="3" t="str">
        <f>IFERROR(__xludf.DUMMYFUNCTION("IFERROR(GOOGLEFINANCE(A960,""trail_dividend""),"""")"),"")</f>
        <v/>
      </c>
      <c r="D960" s="3" t="str">
        <f>IFERROR(__xludf.DUMMYFUNCTION("IFERROR(INDEX(IMPORTXML(""https://finance.yahoo.com/quote/""&amp;A960, ""//td[@data-test='EX_DIVIDEND_DATE-value']""),1),"""")"),"")</f>
        <v/>
      </c>
    </row>
    <row r="961" ht="15.75" customHeight="1">
      <c r="B961" s="3" t="str">
        <f>IFERROR(__xludf.DUMMYFUNCTION("IFERROR(GOOGLEFINANCE(A961,""yield"")*100,"""")"),"")</f>
        <v/>
      </c>
      <c r="C961" s="3" t="str">
        <f>IFERROR(__xludf.DUMMYFUNCTION("IFERROR(GOOGLEFINANCE(A961,""trail_dividend""),"""")"),"")</f>
        <v/>
      </c>
      <c r="D961" s="3" t="str">
        <f>IFERROR(__xludf.DUMMYFUNCTION("IFERROR(INDEX(IMPORTXML(""https://finance.yahoo.com/quote/""&amp;A961, ""//td[@data-test='EX_DIVIDEND_DATE-value']""),1),"""")"),"")</f>
        <v/>
      </c>
    </row>
    <row r="962" ht="15.75" customHeight="1">
      <c r="B962" s="3" t="str">
        <f>IFERROR(__xludf.DUMMYFUNCTION("IFERROR(GOOGLEFINANCE(A962,""yield"")*100,"""")"),"")</f>
        <v/>
      </c>
      <c r="C962" s="3" t="str">
        <f>IFERROR(__xludf.DUMMYFUNCTION("IFERROR(GOOGLEFINANCE(A962,""trail_dividend""),"""")"),"")</f>
        <v/>
      </c>
      <c r="D962" s="3" t="str">
        <f>IFERROR(__xludf.DUMMYFUNCTION("IFERROR(INDEX(IMPORTXML(""https://finance.yahoo.com/quote/""&amp;A962, ""//td[@data-test='EX_DIVIDEND_DATE-value']""),1),"""")"),"")</f>
        <v/>
      </c>
    </row>
    <row r="963" ht="15.75" customHeight="1">
      <c r="B963" s="3" t="str">
        <f>IFERROR(__xludf.DUMMYFUNCTION("IFERROR(GOOGLEFINANCE(A963,""yield"")*100,"""")"),"")</f>
        <v/>
      </c>
      <c r="C963" s="3" t="str">
        <f>IFERROR(__xludf.DUMMYFUNCTION("IFERROR(GOOGLEFINANCE(A963,""trail_dividend""),"""")"),"")</f>
        <v/>
      </c>
      <c r="D963" s="3" t="str">
        <f>IFERROR(__xludf.DUMMYFUNCTION("IFERROR(INDEX(IMPORTXML(""https://finance.yahoo.com/quote/""&amp;A963, ""//td[@data-test='EX_DIVIDEND_DATE-value']""),1),"""")"),"")</f>
        <v/>
      </c>
    </row>
    <row r="964" ht="15.75" customHeight="1">
      <c r="B964" s="3" t="str">
        <f>IFERROR(__xludf.DUMMYFUNCTION("IFERROR(GOOGLEFINANCE(A964,""yield"")*100,"""")"),"")</f>
        <v/>
      </c>
      <c r="C964" s="3" t="str">
        <f>IFERROR(__xludf.DUMMYFUNCTION("IFERROR(GOOGLEFINANCE(A964,""trail_dividend""),"""")"),"")</f>
        <v/>
      </c>
      <c r="D964" s="3" t="str">
        <f>IFERROR(__xludf.DUMMYFUNCTION("IFERROR(INDEX(IMPORTXML(""https://finance.yahoo.com/quote/""&amp;A964, ""//td[@data-test='EX_DIVIDEND_DATE-value']""),1),"""")"),"")</f>
        <v/>
      </c>
    </row>
    <row r="965" ht="15.75" customHeight="1">
      <c r="B965" s="3" t="str">
        <f>IFERROR(__xludf.DUMMYFUNCTION("IFERROR(GOOGLEFINANCE(A965,""yield"")*100,"""")"),"")</f>
        <v/>
      </c>
      <c r="C965" s="3" t="str">
        <f>IFERROR(__xludf.DUMMYFUNCTION("IFERROR(GOOGLEFINANCE(A965,""trail_dividend""),"""")"),"")</f>
        <v/>
      </c>
      <c r="D965" s="3" t="str">
        <f>IFERROR(__xludf.DUMMYFUNCTION("IFERROR(INDEX(IMPORTXML(""https://finance.yahoo.com/quote/""&amp;A965, ""//td[@data-test='EX_DIVIDEND_DATE-value']""),1),"""")"),"")</f>
        <v/>
      </c>
    </row>
    <row r="966" ht="15.75" customHeight="1">
      <c r="B966" s="3" t="str">
        <f>IFERROR(__xludf.DUMMYFUNCTION("IFERROR(GOOGLEFINANCE(A966,""yield"")*100,"""")"),"")</f>
        <v/>
      </c>
      <c r="C966" s="3" t="str">
        <f>IFERROR(__xludf.DUMMYFUNCTION("IFERROR(GOOGLEFINANCE(A966,""trail_dividend""),"""")"),"")</f>
        <v/>
      </c>
      <c r="D966" s="3" t="str">
        <f>IFERROR(__xludf.DUMMYFUNCTION("IFERROR(INDEX(IMPORTXML(""https://finance.yahoo.com/quote/""&amp;A966, ""//td[@data-test='EX_DIVIDEND_DATE-value']""),1),"""")"),"")</f>
        <v/>
      </c>
    </row>
    <row r="967" ht="15.75" customHeight="1">
      <c r="B967" s="3" t="str">
        <f>IFERROR(__xludf.DUMMYFUNCTION("IFERROR(GOOGLEFINANCE(A967,""yield"")*100,"""")"),"")</f>
        <v/>
      </c>
      <c r="C967" s="3" t="str">
        <f>IFERROR(__xludf.DUMMYFUNCTION("IFERROR(GOOGLEFINANCE(A967,""trail_dividend""),"""")"),"")</f>
        <v/>
      </c>
      <c r="D967" s="3" t="str">
        <f>IFERROR(__xludf.DUMMYFUNCTION("IFERROR(INDEX(IMPORTXML(""https://finance.yahoo.com/quote/""&amp;A967, ""//td[@data-test='EX_DIVIDEND_DATE-value']""),1),"""")"),"")</f>
        <v/>
      </c>
    </row>
    <row r="968" ht="15.75" customHeight="1">
      <c r="B968" s="3" t="str">
        <f>IFERROR(__xludf.DUMMYFUNCTION("IFERROR(GOOGLEFINANCE(A968,""yield"")*100,"""")"),"")</f>
        <v/>
      </c>
      <c r="C968" s="3" t="str">
        <f>IFERROR(__xludf.DUMMYFUNCTION("IFERROR(GOOGLEFINANCE(A968,""trail_dividend""),"""")"),"")</f>
        <v/>
      </c>
      <c r="D968" s="3" t="str">
        <f>IFERROR(__xludf.DUMMYFUNCTION("IFERROR(INDEX(IMPORTXML(""https://finance.yahoo.com/quote/""&amp;A968, ""//td[@data-test='EX_DIVIDEND_DATE-value']""),1),"""")"),"")</f>
        <v/>
      </c>
    </row>
    <row r="969" ht="15.75" customHeight="1">
      <c r="B969" s="3" t="str">
        <f>IFERROR(__xludf.DUMMYFUNCTION("IFERROR(GOOGLEFINANCE(A969,""yield"")*100,"""")"),"")</f>
        <v/>
      </c>
      <c r="C969" s="3" t="str">
        <f>IFERROR(__xludf.DUMMYFUNCTION("IFERROR(GOOGLEFINANCE(A969,""trail_dividend""),"""")"),"")</f>
        <v/>
      </c>
      <c r="D969" s="3" t="str">
        <f>IFERROR(__xludf.DUMMYFUNCTION("IFERROR(INDEX(IMPORTXML(""https://finance.yahoo.com/quote/""&amp;A969, ""//td[@data-test='EX_DIVIDEND_DATE-value']""),1),"""")"),"")</f>
        <v/>
      </c>
    </row>
    <row r="970" ht="15.75" customHeight="1">
      <c r="B970" s="3" t="str">
        <f>IFERROR(__xludf.DUMMYFUNCTION("IFERROR(GOOGLEFINANCE(A970,""yield"")*100,"""")"),"")</f>
        <v/>
      </c>
      <c r="C970" s="3" t="str">
        <f>IFERROR(__xludf.DUMMYFUNCTION("IFERROR(GOOGLEFINANCE(A970,""trail_dividend""),"""")"),"")</f>
        <v/>
      </c>
      <c r="D970" s="3" t="str">
        <f>IFERROR(__xludf.DUMMYFUNCTION("IFERROR(INDEX(IMPORTXML(""https://finance.yahoo.com/quote/""&amp;A970, ""//td[@data-test='EX_DIVIDEND_DATE-value']""),1),"""")"),"")</f>
        <v/>
      </c>
    </row>
    <row r="971" ht="15.75" customHeight="1">
      <c r="B971" s="3" t="str">
        <f>IFERROR(__xludf.DUMMYFUNCTION("IFERROR(GOOGLEFINANCE(A971,""yield"")*100,"""")"),"")</f>
        <v/>
      </c>
      <c r="C971" s="3" t="str">
        <f>IFERROR(__xludf.DUMMYFUNCTION("IFERROR(GOOGLEFINANCE(A971,""trail_dividend""),"""")"),"")</f>
        <v/>
      </c>
      <c r="D971" s="3" t="str">
        <f>IFERROR(__xludf.DUMMYFUNCTION("IFERROR(INDEX(IMPORTXML(""https://finance.yahoo.com/quote/""&amp;A971, ""//td[@data-test='EX_DIVIDEND_DATE-value']""),1),"""")"),"")</f>
        <v/>
      </c>
    </row>
    <row r="972" ht="15.75" customHeight="1">
      <c r="B972" s="3" t="str">
        <f>IFERROR(__xludf.DUMMYFUNCTION("IFERROR(GOOGLEFINANCE(A972,""yield"")*100,"""")"),"")</f>
        <v/>
      </c>
      <c r="C972" s="3" t="str">
        <f>IFERROR(__xludf.DUMMYFUNCTION("IFERROR(GOOGLEFINANCE(A972,""trail_dividend""),"""")"),"")</f>
        <v/>
      </c>
      <c r="D972" s="3" t="str">
        <f>IFERROR(__xludf.DUMMYFUNCTION("IFERROR(INDEX(IMPORTXML(""https://finance.yahoo.com/quote/""&amp;A972, ""//td[@data-test='EX_DIVIDEND_DATE-value']""),1),"""")"),"")</f>
        <v/>
      </c>
    </row>
    <row r="973" ht="15.75" customHeight="1">
      <c r="B973" s="3" t="str">
        <f>IFERROR(__xludf.DUMMYFUNCTION("IFERROR(GOOGLEFINANCE(A973,""yield"")*100,"""")"),"")</f>
        <v/>
      </c>
      <c r="C973" s="3" t="str">
        <f>IFERROR(__xludf.DUMMYFUNCTION("IFERROR(GOOGLEFINANCE(A973,""trail_dividend""),"""")"),"")</f>
        <v/>
      </c>
      <c r="D973" s="3" t="str">
        <f>IFERROR(__xludf.DUMMYFUNCTION("IFERROR(INDEX(IMPORTXML(""https://finance.yahoo.com/quote/""&amp;A973, ""//td[@data-test='EX_DIVIDEND_DATE-value']""),1),"""")"),"")</f>
        <v/>
      </c>
    </row>
    <row r="974" ht="15.75" customHeight="1">
      <c r="B974" s="3" t="str">
        <f>IFERROR(__xludf.DUMMYFUNCTION("IFERROR(GOOGLEFINANCE(A974,""yield"")*100,"""")"),"")</f>
        <v/>
      </c>
      <c r="C974" s="3" t="str">
        <f>IFERROR(__xludf.DUMMYFUNCTION("IFERROR(GOOGLEFINANCE(A974,""trail_dividend""),"""")"),"")</f>
        <v/>
      </c>
      <c r="D974" s="3" t="str">
        <f>IFERROR(__xludf.DUMMYFUNCTION("IFERROR(INDEX(IMPORTXML(""https://finance.yahoo.com/quote/""&amp;A974, ""//td[@data-test='EX_DIVIDEND_DATE-value']""),1),"""")"),"")</f>
        <v/>
      </c>
    </row>
    <row r="975" ht="15.75" customHeight="1">
      <c r="B975" s="3" t="str">
        <f>IFERROR(__xludf.DUMMYFUNCTION("IFERROR(GOOGLEFINANCE(A975,""yield"")*100,"""")"),"")</f>
        <v/>
      </c>
      <c r="C975" s="3" t="str">
        <f>IFERROR(__xludf.DUMMYFUNCTION("IFERROR(GOOGLEFINANCE(A975,""trail_dividend""),"""")"),"")</f>
        <v/>
      </c>
      <c r="D975" s="3" t="str">
        <f>IFERROR(__xludf.DUMMYFUNCTION("IFERROR(INDEX(IMPORTXML(""https://finance.yahoo.com/quote/""&amp;A975, ""//td[@data-test='EX_DIVIDEND_DATE-value']""),1),"""")"),"")</f>
        <v/>
      </c>
    </row>
    <row r="976" ht="15.75" customHeight="1">
      <c r="B976" s="3" t="str">
        <f>IFERROR(__xludf.DUMMYFUNCTION("IFERROR(GOOGLEFINANCE(A976,""yield"")*100,"""")"),"")</f>
        <v/>
      </c>
      <c r="C976" s="3" t="str">
        <f>IFERROR(__xludf.DUMMYFUNCTION("IFERROR(GOOGLEFINANCE(A976,""trail_dividend""),"""")"),"")</f>
        <v/>
      </c>
      <c r="D976" s="3" t="str">
        <f>IFERROR(__xludf.DUMMYFUNCTION("IFERROR(INDEX(IMPORTXML(""https://finance.yahoo.com/quote/""&amp;A976, ""//td[@data-test='EX_DIVIDEND_DATE-value']""),1),"""")"),"")</f>
        <v/>
      </c>
    </row>
    <row r="977" ht="15.75" customHeight="1">
      <c r="B977" s="3" t="str">
        <f>IFERROR(__xludf.DUMMYFUNCTION("IFERROR(GOOGLEFINANCE(A977,""yield"")*100,"""")"),"")</f>
        <v/>
      </c>
      <c r="C977" s="3" t="str">
        <f>IFERROR(__xludf.DUMMYFUNCTION("IFERROR(GOOGLEFINANCE(A977,""trail_dividend""),"""")"),"")</f>
        <v/>
      </c>
      <c r="D977" s="3" t="str">
        <f>IFERROR(__xludf.DUMMYFUNCTION("IFERROR(INDEX(IMPORTXML(""https://finance.yahoo.com/quote/""&amp;A977, ""//td[@data-test='EX_DIVIDEND_DATE-value']""),1),"""")"),"")</f>
        <v/>
      </c>
    </row>
    <row r="978" ht="15.75" customHeight="1">
      <c r="B978" s="3" t="str">
        <f>IFERROR(__xludf.DUMMYFUNCTION("IFERROR(GOOGLEFINANCE(A978,""yield"")*100,"""")"),"")</f>
        <v/>
      </c>
      <c r="C978" s="3" t="str">
        <f>IFERROR(__xludf.DUMMYFUNCTION("IFERROR(GOOGLEFINANCE(A978,""trail_dividend""),"""")"),"")</f>
        <v/>
      </c>
      <c r="D978" s="3" t="str">
        <f>IFERROR(__xludf.DUMMYFUNCTION("IFERROR(INDEX(IMPORTXML(""https://finance.yahoo.com/quote/""&amp;A978, ""//td[@data-test='EX_DIVIDEND_DATE-value']""),1),"""")"),"")</f>
        <v/>
      </c>
    </row>
    <row r="979" ht="15.75" customHeight="1">
      <c r="B979" s="3" t="str">
        <f>IFERROR(__xludf.DUMMYFUNCTION("IFERROR(GOOGLEFINANCE(A979,""yield"")*100,"""")"),"")</f>
        <v/>
      </c>
      <c r="C979" s="3" t="str">
        <f>IFERROR(__xludf.DUMMYFUNCTION("IFERROR(GOOGLEFINANCE(A979,""trail_dividend""),"""")"),"")</f>
        <v/>
      </c>
      <c r="D979" s="3" t="str">
        <f>IFERROR(__xludf.DUMMYFUNCTION("IFERROR(INDEX(IMPORTXML(""https://finance.yahoo.com/quote/""&amp;A979, ""//td[@data-test='EX_DIVIDEND_DATE-value']""),1),"""")"),"")</f>
        <v/>
      </c>
    </row>
    <row r="980" ht="15.75" customHeight="1">
      <c r="B980" s="3" t="str">
        <f>IFERROR(__xludf.DUMMYFUNCTION("IFERROR(GOOGLEFINANCE(A980,""yield"")*100,"""")"),"")</f>
        <v/>
      </c>
      <c r="C980" s="3" t="str">
        <f>IFERROR(__xludf.DUMMYFUNCTION("IFERROR(GOOGLEFINANCE(A980,""trail_dividend""),"""")"),"")</f>
        <v/>
      </c>
      <c r="D980" s="3" t="str">
        <f>IFERROR(__xludf.DUMMYFUNCTION("IFERROR(INDEX(IMPORTXML(""https://finance.yahoo.com/quote/""&amp;A980, ""//td[@data-test='EX_DIVIDEND_DATE-value']""),1),"""")"),"")</f>
        <v/>
      </c>
    </row>
    <row r="981" ht="15.75" customHeight="1">
      <c r="B981" s="3" t="str">
        <f>IFERROR(__xludf.DUMMYFUNCTION("IFERROR(GOOGLEFINANCE(A981,""yield"")*100,"""")"),"")</f>
        <v/>
      </c>
      <c r="C981" s="3" t="str">
        <f>IFERROR(__xludf.DUMMYFUNCTION("IFERROR(GOOGLEFINANCE(A981,""trail_dividend""),"""")"),"")</f>
        <v/>
      </c>
      <c r="D981" s="3" t="str">
        <f>IFERROR(__xludf.DUMMYFUNCTION("IFERROR(INDEX(IMPORTXML(""https://finance.yahoo.com/quote/""&amp;A981, ""//td[@data-test='EX_DIVIDEND_DATE-value']""),1),"""")"),"")</f>
        <v/>
      </c>
    </row>
    <row r="982" ht="15.75" customHeight="1">
      <c r="B982" s="3" t="str">
        <f>IFERROR(__xludf.DUMMYFUNCTION("IFERROR(GOOGLEFINANCE(A982,""yield"")*100,"""")"),"")</f>
        <v/>
      </c>
      <c r="C982" s="3" t="str">
        <f>IFERROR(__xludf.DUMMYFUNCTION("IFERROR(GOOGLEFINANCE(A982,""trail_dividend""),"""")"),"")</f>
        <v/>
      </c>
      <c r="D982" s="3" t="str">
        <f>IFERROR(__xludf.DUMMYFUNCTION("IFERROR(INDEX(IMPORTXML(""https://finance.yahoo.com/quote/""&amp;A982, ""//td[@data-test='EX_DIVIDEND_DATE-value']""),1),"""")"),"")</f>
        <v/>
      </c>
    </row>
    <row r="983" ht="15.75" customHeight="1">
      <c r="B983" s="3" t="str">
        <f>IFERROR(__xludf.DUMMYFUNCTION("IFERROR(GOOGLEFINANCE(A983,""yield"")*100,"""")"),"")</f>
        <v/>
      </c>
      <c r="C983" s="3" t="str">
        <f>IFERROR(__xludf.DUMMYFUNCTION("IFERROR(GOOGLEFINANCE(A983,""trail_dividend""),"""")"),"")</f>
        <v/>
      </c>
      <c r="D983" s="3" t="str">
        <f>IFERROR(__xludf.DUMMYFUNCTION("IFERROR(INDEX(IMPORTXML(""https://finance.yahoo.com/quote/""&amp;A983, ""//td[@data-test='EX_DIVIDEND_DATE-value']""),1),"""")"),"")</f>
        <v/>
      </c>
    </row>
    <row r="984" ht="15.75" customHeight="1">
      <c r="B984" s="3" t="str">
        <f>IFERROR(__xludf.DUMMYFUNCTION("IFERROR(GOOGLEFINANCE(A984,""yield"")*100,"""")"),"")</f>
        <v/>
      </c>
      <c r="C984" s="3" t="str">
        <f>IFERROR(__xludf.DUMMYFUNCTION("IFERROR(GOOGLEFINANCE(A984,""trail_dividend""),"""")"),"")</f>
        <v/>
      </c>
      <c r="D984" s="3" t="str">
        <f>IFERROR(__xludf.DUMMYFUNCTION("IFERROR(INDEX(IMPORTXML(""https://finance.yahoo.com/quote/""&amp;A984, ""//td[@data-test='EX_DIVIDEND_DATE-value']""),1),"""")"),"")</f>
        <v/>
      </c>
    </row>
    <row r="985" ht="15.75" customHeight="1">
      <c r="B985" s="3" t="str">
        <f>IFERROR(__xludf.DUMMYFUNCTION("IFERROR(GOOGLEFINANCE(A985,""yield"")*100,"""")"),"")</f>
        <v/>
      </c>
      <c r="C985" s="3" t="str">
        <f>IFERROR(__xludf.DUMMYFUNCTION("IFERROR(GOOGLEFINANCE(A985,""trail_dividend""),"""")"),"")</f>
        <v/>
      </c>
      <c r="D985" s="3" t="str">
        <f>IFERROR(__xludf.DUMMYFUNCTION("IFERROR(INDEX(IMPORTXML(""https://finance.yahoo.com/quote/""&amp;A985, ""//td[@data-test='EX_DIVIDEND_DATE-value']""),1),"""")"),"")</f>
        <v/>
      </c>
    </row>
    <row r="986" ht="15.75" customHeight="1">
      <c r="B986" s="3" t="str">
        <f>IFERROR(__xludf.DUMMYFUNCTION("IFERROR(GOOGLEFINANCE(A986,""yield"")*100,"""")"),"")</f>
        <v/>
      </c>
      <c r="C986" s="3" t="str">
        <f>IFERROR(__xludf.DUMMYFUNCTION("IFERROR(GOOGLEFINANCE(A986,""trail_dividend""),"""")"),"")</f>
        <v/>
      </c>
      <c r="D986" s="3" t="str">
        <f>IFERROR(__xludf.DUMMYFUNCTION("IFERROR(INDEX(IMPORTXML(""https://finance.yahoo.com/quote/""&amp;A986, ""//td[@data-test='EX_DIVIDEND_DATE-value']""),1),"""")"),"")</f>
        <v/>
      </c>
    </row>
    <row r="987" ht="15.75" customHeight="1">
      <c r="B987" s="3" t="str">
        <f>IFERROR(__xludf.DUMMYFUNCTION("IFERROR(GOOGLEFINANCE(A987,""yield"")*100,"""")"),"")</f>
        <v/>
      </c>
      <c r="C987" s="3" t="str">
        <f>IFERROR(__xludf.DUMMYFUNCTION("IFERROR(GOOGLEFINANCE(A987,""trail_dividend""),"""")"),"")</f>
        <v/>
      </c>
      <c r="D987" s="3" t="str">
        <f>IFERROR(__xludf.DUMMYFUNCTION("IFERROR(INDEX(IMPORTXML(""https://finance.yahoo.com/quote/""&amp;A987, ""//td[@data-test='EX_DIVIDEND_DATE-value']""),1),"""")"),"")</f>
        <v/>
      </c>
    </row>
    <row r="988" ht="15.75" customHeight="1">
      <c r="B988" s="3" t="str">
        <f>IFERROR(__xludf.DUMMYFUNCTION("IFERROR(GOOGLEFINANCE(A988,""yield"")*100,"""")"),"")</f>
        <v/>
      </c>
      <c r="C988" s="3" t="str">
        <f>IFERROR(__xludf.DUMMYFUNCTION("IFERROR(GOOGLEFINANCE(A988,""trail_dividend""),"""")"),"")</f>
        <v/>
      </c>
      <c r="D988" s="3" t="str">
        <f>IFERROR(__xludf.DUMMYFUNCTION("IFERROR(INDEX(IMPORTXML(""https://finance.yahoo.com/quote/""&amp;A988, ""//td[@data-test='EX_DIVIDEND_DATE-value']""),1),"""")"),"")</f>
        <v/>
      </c>
    </row>
    <row r="989" ht="15.75" customHeight="1">
      <c r="B989" s="3" t="str">
        <f>IFERROR(__xludf.DUMMYFUNCTION("IFERROR(GOOGLEFINANCE(A989,""yield"")*100,"""")"),"")</f>
        <v/>
      </c>
      <c r="C989" s="3" t="str">
        <f>IFERROR(__xludf.DUMMYFUNCTION("IFERROR(GOOGLEFINANCE(A989,""trail_dividend""),"""")"),"")</f>
        <v/>
      </c>
      <c r="D989" s="3" t="str">
        <f>IFERROR(__xludf.DUMMYFUNCTION("IFERROR(INDEX(IMPORTXML(""https://finance.yahoo.com/quote/""&amp;A989, ""//td[@data-test='EX_DIVIDEND_DATE-value']""),1),"""")"),"")</f>
        <v/>
      </c>
    </row>
    <row r="990" ht="15.75" customHeight="1">
      <c r="B990" s="3" t="str">
        <f>IFERROR(__xludf.DUMMYFUNCTION("IFERROR(GOOGLEFINANCE(A990,""yield"")*100,"""")"),"")</f>
        <v/>
      </c>
      <c r="C990" s="3" t="str">
        <f>IFERROR(__xludf.DUMMYFUNCTION("IFERROR(GOOGLEFINANCE(A990,""trail_dividend""),"""")"),"")</f>
        <v/>
      </c>
      <c r="D990" s="3" t="str">
        <f>IFERROR(__xludf.DUMMYFUNCTION("IFERROR(INDEX(IMPORTXML(""https://finance.yahoo.com/quote/""&amp;A990, ""//td[@data-test='EX_DIVIDEND_DATE-value']""),1),"""")"),"")</f>
        <v/>
      </c>
    </row>
    <row r="991" ht="15.75" customHeight="1">
      <c r="B991" s="3" t="str">
        <f>IFERROR(__xludf.DUMMYFUNCTION("IFERROR(GOOGLEFINANCE(A991,""yield"")*100,"""")"),"")</f>
        <v/>
      </c>
      <c r="C991" s="3" t="str">
        <f>IFERROR(__xludf.DUMMYFUNCTION("IFERROR(GOOGLEFINANCE(A991,""trail_dividend""),"""")"),"")</f>
        <v/>
      </c>
      <c r="D991" s="3" t="str">
        <f>IFERROR(__xludf.DUMMYFUNCTION("IFERROR(INDEX(IMPORTXML(""https://finance.yahoo.com/quote/""&amp;A991, ""//td[@data-test='EX_DIVIDEND_DATE-value']""),1),"""")"),"")</f>
        <v/>
      </c>
    </row>
    <row r="992" ht="15.75" customHeight="1">
      <c r="B992" s="3" t="str">
        <f>IFERROR(__xludf.DUMMYFUNCTION("IFERROR(GOOGLEFINANCE(A992,""yield"")*100,"""")"),"")</f>
        <v/>
      </c>
      <c r="C992" s="3" t="str">
        <f>IFERROR(__xludf.DUMMYFUNCTION("IFERROR(GOOGLEFINANCE(A992,""trail_dividend""),"""")"),"")</f>
        <v/>
      </c>
      <c r="D992" s="3" t="str">
        <f>IFERROR(__xludf.DUMMYFUNCTION("IFERROR(INDEX(IMPORTXML(""https://finance.yahoo.com/quote/""&amp;A992, ""//td[@data-test='EX_DIVIDEND_DATE-value']""),1),"""")"),"")</f>
        <v/>
      </c>
    </row>
    <row r="993" ht="15.75" customHeight="1">
      <c r="B993" s="3" t="str">
        <f>IFERROR(__xludf.DUMMYFUNCTION("IFERROR(GOOGLEFINANCE(A993,""yield"")*100,"""")"),"")</f>
        <v/>
      </c>
      <c r="C993" s="3" t="str">
        <f>IFERROR(__xludf.DUMMYFUNCTION("IFERROR(GOOGLEFINANCE(A993,""trail_dividend""),"""")"),"")</f>
        <v/>
      </c>
      <c r="D993" s="3" t="str">
        <f>IFERROR(__xludf.DUMMYFUNCTION("IFERROR(INDEX(IMPORTXML(""https://finance.yahoo.com/quote/""&amp;A993, ""//td[@data-test='EX_DIVIDEND_DATE-value']""),1),"""")"),"")</f>
        <v/>
      </c>
    </row>
    <row r="994" ht="15.75" customHeight="1">
      <c r="B994" s="3" t="str">
        <f>IFERROR(__xludf.DUMMYFUNCTION("IFERROR(GOOGLEFINANCE(A994,""yield"")*100,"""")"),"")</f>
        <v/>
      </c>
      <c r="C994" s="3" t="str">
        <f>IFERROR(__xludf.DUMMYFUNCTION("IFERROR(GOOGLEFINANCE(A994,""trail_dividend""),"""")"),"")</f>
        <v/>
      </c>
      <c r="D994" s="3" t="str">
        <f>IFERROR(__xludf.DUMMYFUNCTION("IFERROR(INDEX(IMPORTXML(""https://finance.yahoo.com/quote/""&amp;A994, ""//td[@data-test='EX_DIVIDEND_DATE-value']""),1),"""")"),"")</f>
        <v/>
      </c>
    </row>
    <row r="995" ht="15.75" customHeight="1">
      <c r="B995" s="3" t="str">
        <f>IFERROR(__xludf.DUMMYFUNCTION("IFERROR(GOOGLEFINANCE(A995,""yield"")*100,"""")"),"")</f>
        <v/>
      </c>
      <c r="C995" s="3" t="str">
        <f>IFERROR(__xludf.DUMMYFUNCTION("IFERROR(GOOGLEFINANCE(A995,""trail_dividend""),"""")"),"")</f>
        <v/>
      </c>
      <c r="D995" s="3" t="str">
        <f>IFERROR(__xludf.DUMMYFUNCTION("IFERROR(INDEX(IMPORTXML(""https://finance.yahoo.com/quote/""&amp;A995, ""//td[@data-test='EX_DIVIDEND_DATE-value']""),1),"""")"),"")</f>
        <v/>
      </c>
    </row>
    <row r="996" ht="15.75" customHeight="1">
      <c r="B996" s="3" t="str">
        <f>IFERROR(__xludf.DUMMYFUNCTION("IFERROR(GOOGLEFINANCE(A996,""yield"")*100,"""")"),"")</f>
        <v/>
      </c>
      <c r="C996" s="3" t="str">
        <f>IFERROR(__xludf.DUMMYFUNCTION("IFERROR(GOOGLEFINANCE(A996,""trail_dividend""),"""")"),"")</f>
        <v/>
      </c>
      <c r="D996" s="3" t="str">
        <f>IFERROR(__xludf.DUMMYFUNCTION("IFERROR(INDEX(IMPORTXML(""https://finance.yahoo.com/quote/""&amp;A996, ""//td[@data-test='EX_DIVIDEND_DATE-value']""),1),"""")"),"")</f>
        <v/>
      </c>
    </row>
    <row r="997" ht="15.75" customHeight="1">
      <c r="B997" s="3" t="str">
        <f>IFERROR(__xludf.DUMMYFUNCTION("IFERROR(GOOGLEFINANCE(A997,""yield"")*100,"""")"),"")</f>
        <v/>
      </c>
      <c r="C997" s="3" t="str">
        <f>IFERROR(__xludf.DUMMYFUNCTION("IFERROR(GOOGLEFINANCE(A997,""trail_dividend""),"""")"),"")</f>
        <v/>
      </c>
      <c r="D997" s="3" t="str">
        <f>IFERROR(__xludf.DUMMYFUNCTION("IFERROR(INDEX(IMPORTXML(""https://finance.yahoo.com/quote/""&amp;A997, ""//td[@data-test='EX_DIVIDEND_DATE-value']""),1),"""")"),"")</f>
        <v/>
      </c>
    </row>
    <row r="998" ht="15.75" customHeight="1">
      <c r="B998" s="3" t="str">
        <f>IFERROR(__xludf.DUMMYFUNCTION("IFERROR(GOOGLEFINANCE(A998,""yield"")*100,"""")"),"")</f>
        <v/>
      </c>
      <c r="C998" s="3" t="str">
        <f>IFERROR(__xludf.DUMMYFUNCTION("IFERROR(GOOGLEFINANCE(A998,""trail_dividend""),"""")"),"")</f>
        <v/>
      </c>
      <c r="D998" s="3" t="str">
        <f>IFERROR(__xludf.DUMMYFUNCTION("IFERROR(INDEX(IMPORTXML(""https://finance.yahoo.com/quote/""&amp;A998, ""//td[@data-test='EX_DIVIDEND_DATE-value']""),1),"""")"),"")</f>
        <v/>
      </c>
    </row>
    <row r="999" ht="15.75" customHeight="1">
      <c r="B999" s="3" t="str">
        <f>IFERROR(__xludf.DUMMYFUNCTION("IFERROR(GOOGLEFINANCE(A999,""yield"")*100,"""")"),"")</f>
        <v/>
      </c>
      <c r="C999" s="3" t="str">
        <f>IFERROR(__xludf.DUMMYFUNCTION("IFERROR(GOOGLEFINANCE(A999,""trail_dividend""),"""")"),"")</f>
        <v/>
      </c>
      <c r="D999" s="3" t="str">
        <f>IFERROR(__xludf.DUMMYFUNCTION("IFERROR(INDEX(IMPORTXML(""https://finance.yahoo.com/quote/""&amp;A999, ""//td[@data-test='EX_DIVIDEND_DATE-value']""),1),"""")"),"")</f>
        <v/>
      </c>
    </row>
    <row r="1000" ht="15.75" customHeight="1">
      <c r="B1000" s="3" t="str">
        <f>IFERROR(__xludf.DUMMYFUNCTION("IFERROR(GOOGLEFINANCE(A1000,""yield"")*100,"""")"),"")</f>
        <v/>
      </c>
      <c r="C1000" s="3" t="str">
        <f>IFERROR(__xludf.DUMMYFUNCTION("IFERROR(GOOGLEFINANCE(A1000,""trail_dividend""),"""")"),"")</f>
        <v/>
      </c>
      <c r="D1000" s="3" t="str">
        <f>IFERROR(__xludf.DUMMYFUNCTION("IFERROR(INDEX(IMPORTXML(""https://finance.yahoo.com/quote/""&amp;A1000, ""//td[@data-test='EX_DIVIDEND_DATE-value']""),1),"""")"),"")</f>
        <v/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3.43"/>
    <col customWidth="1" min="3" max="3" width="13.86"/>
    <col customWidth="1" min="4" max="4" width="16.43"/>
    <col customWidth="1" min="5" max="5" width="16.71"/>
    <col customWidth="1" min="7" max="7" width="16.71"/>
    <col customWidth="1" min="8" max="8" width="19.43"/>
    <col customWidth="1" min="10" max="10" width="29.43"/>
    <col customWidth="1" min="13" max="13" width="26.57"/>
  </cols>
  <sheetData>
    <row r="1">
      <c r="A1" s="9" t="s">
        <v>80</v>
      </c>
      <c r="B1" s="9" t="s">
        <v>1</v>
      </c>
      <c r="C1" s="9" t="s">
        <v>81</v>
      </c>
      <c r="D1" s="9" t="s">
        <v>82</v>
      </c>
      <c r="E1" s="9" t="s">
        <v>83</v>
      </c>
    </row>
    <row r="2">
      <c r="A2" s="10" t="s">
        <v>84</v>
      </c>
      <c r="B2" s="12">
        <v>0.0</v>
      </c>
      <c r="C2" s="16"/>
      <c r="E2" s="17">
        <v>45906.4708930787</v>
      </c>
      <c r="G2" s="16"/>
      <c r="H2" s="9" t="s">
        <v>85</v>
      </c>
      <c r="I2" s="9" t="s">
        <v>1</v>
      </c>
      <c r="J2" s="16"/>
      <c r="M2" s="16"/>
    </row>
    <row r="3">
      <c r="A3" s="10" t="s">
        <v>86</v>
      </c>
      <c r="B3" s="12">
        <v>0.0</v>
      </c>
      <c r="E3" s="17">
        <v>45906.4708930787</v>
      </c>
      <c r="G3" s="16"/>
      <c r="H3" s="10" t="s">
        <v>84</v>
      </c>
      <c r="I3" s="12">
        <v>0.0</v>
      </c>
      <c r="J3" s="16"/>
      <c r="M3" s="16"/>
    </row>
    <row r="4">
      <c r="A4" s="10" t="s">
        <v>87</v>
      </c>
      <c r="B4" s="12">
        <v>0.0</v>
      </c>
      <c r="E4" s="17">
        <v>45906.4708930787</v>
      </c>
      <c r="G4" s="16"/>
      <c r="H4" s="10" t="s">
        <v>88</v>
      </c>
      <c r="I4" s="12">
        <v>0.0</v>
      </c>
      <c r="J4" s="16"/>
      <c r="M4" s="16"/>
    </row>
    <row r="5">
      <c r="A5" s="10" t="s">
        <v>89</v>
      </c>
      <c r="B5" s="12">
        <v>0.0</v>
      </c>
      <c r="E5" s="17">
        <v>45906.4708930787</v>
      </c>
      <c r="H5" s="10" t="s">
        <v>90</v>
      </c>
      <c r="I5" s="12">
        <v>0.0</v>
      </c>
      <c r="J5" s="16"/>
      <c r="M5" s="16"/>
    </row>
    <row r="6">
      <c r="H6" s="10" t="s">
        <v>86</v>
      </c>
      <c r="I6" s="12">
        <v>0.0</v>
      </c>
      <c r="J6" s="16"/>
      <c r="M6" s="16"/>
    </row>
    <row r="7">
      <c r="A7" s="16"/>
      <c r="B7" s="16"/>
      <c r="D7" s="16"/>
      <c r="E7" s="16"/>
      <c r="J7" s="16"/>
      <c r="M7" s="16"/>
    </row>
    <row r="8">
      <c r="A8" s="9" t="s">
        <v>91</v>
      </c>
      <c r="B8" s="9" t="s">
        <v>92</v>
      </c>
      <c r="D8" s="9" t="s">
        <v>93</v>
      </c>
      <c r="E8" s="9" t="s">
        <v>94</v>
      </c>
      <c r="M8" s="16"/>
    </row>
    <row r="9">
      <c r="A9" s="10" t="s">
        <v>95</v>
      </c>
      <c r="B9" s="10">
        <v>60.0</v>
      </c>
      <c r="D9" s="4">
        <v>45906.0</v>
      </c>
      <c r="E9" s="12">
        <v>0.0</v>
      </c>
      <c r="M9" s="16"/>
    </row>
    <row r="10">
      <c r="A10" s="10" t="s">
        <v>96</v>
      </c>
      <c r="B10" s="10">
        <v>40.0</v>
      </c>
      <c r="D10" s="4">
        <v>45936.0</v>
      </c>
      <c r="E10" s="12">
        <v>0.0</v>
      </c>
      <c r="J10" s="16"/>
    </row>
    <row r="11">
      <c r="A11" s="10" t="s">
        <v>97</v>
      </c>
      <c r="B11" s="12">
        <v>0.0</v>
      </c>
      <c r="D11" s="4">
        <v>45967.0</v>
      </c>
      <c r="E11" s="12">
        <v>0.0</v>
      </c>
      <c r="J11" s="16"/>
    </row>
    <row r="12">
      <c r="D12" s="4">
        <v>45997.0</v>
      </c>
      <c r="E12" s="12">
        <v>0.0</v>
      </c>
      <c r="J12" s="16"/>
    </row>
    <row r="13">
      <c r="D13" s="4">
        <v>46028.0</v>
      </c>
      <c r="E13" s="12">
        <v>0.0</v>
      </c>
      <c r="J13" s="16"/>
    </row>
    <row r="14">
      <c r="D14" s="4">
        <v>46059.0</v>
      </c>
      <c r="E14" s="12">
        <v>0.0</v>
      </c>
      <c r="J14" s="16"/>
    </row>
    <row r="15">
      <c r="D15" s="4">
        <v>46087.0</v>
      </c>
      <c r="E15" s="12">
        <v>0.0</v>
      </c>
    </row>
    <row r="16">
      <c r="D16" s="4">
        <v>46118.0</v>
      </c>
      <c r="E16" s="12">
        <v>0.0</v>
      </c>
    </row>
    <row r="17">
      <c r="D17" s="4">
        <v>46148.0</v>
      </c>
      <c r="E17" s="12">
        <v>0.0</v>
      </c>
    </row>
    <row r="18">
      <c r="D18" s="4">
        <v>46179.0</v>
      </c>
      <c r="E18" s="12">
        <v>0.0</v>
      </c>
    </row>
    <row r="19">
      <c r="D19" s="4">
        <v>46209.0</v>
      </c>
      <c r="E19" s="12">
        <v>0.0</v>
      </c>
    </row>
    <row r="20">
      <c r="D20" s="4">
        <v>46240.0</v>
      </c>
      <c r="E20" s="12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7.14"/>
    <col customWidth="1" min="3" max="4" width="12.0"/>
    <col customWidth="1" min="5" max="6" width="18.0"/>
    <col customWidth="1" min="7" max="7" width="19.29"/>
    <col customWidth="1" min="8" max="8" width="26.0"/>
    <col customWidth="1" min="9" max="9" width="12.0"/>
    <col customWidth="1" min="10" max="10" width="14.0"/>
    <col customWidth="1" min="11" max="11" width="18.0"/>
    <col customWidth="1" min="12" max="12" width="10.0"/>
    <col customWidth="1" min="13" max="29" width="8.71"/>
  </cols>
  <sheetData>
    <row r="1">
      <c r="A1" s="1" t="s">
        <v>69</v>
      </c>
      <c r="B1" s="18" t="s">
        <v>98</v>
      </c>
      <c r="C1" s="1" t="s">
        <v>99</v>
      </c>
      <c r="D1" s="18" t="s">
        <v>100</v>
      </c>
      <c r="E1" s="18" t="s">
        <v>101</v>
      </c>
      <c r="F1" s="18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</row>
    <row r="2">
      <c r="A2" s="3" t="s">
        <v>72</v>
      </c>
      <c r="B2" s="10" t="s">
        <v>109</v>
      </c>
      <c r="C2" s="3">
        <v>16.0</v>
      </c>
      <c r="E2" s="13"/>
      <c r="F2" s="13">
        <f>IFERROR(VLOOKUP(A2, Prices!A:B, 2, FALSE), )</f>
        <v>19.95</v>
      </c>
      <c r="G2" s="3">
        <f>IFERROR(VLOOKUP(A2, Dividends!$A:$B, 2, FALSE),
       IFERROR( (VLOOKUP(A2, Dividends!$A:$C, 3, FALSE) / VLOOKUP(A2, Prices!$A:$B, 2, FALSE)) * 100,
                Inputs!$B$4*100 ))</f>
        <v>65</v>
      </c>
      <c r="H2" s="3">
        <f>IFERROR(SUMIF(Purchases!B:B, A2, Purchases!D:D), 0)</f>
        <v>0</v>
      </c>
      <c r="I2" s="3">
        <f t="shared" ref="I2:I1000" si="1">C2+H2</f>
        <v>16</v>
      </c>
      <c r="J2" s="13">
        <f t="shared" ref="J2:J1000" si="2">IF(I2&gt;0, I2*F2, 0)</f>
        <v>319.2</v>
      </c>
      <c r="K2" s="13">
        <f>IF(J2&gt;0,
        J2 * IF(G2&gt;0, G2/100,
            IFERROR( VLOOKUP(A2, Dividends!$A:$C, 3, FALSE) / VLOOKUP(A2, Prices!$A:$B, 2, FALSE), Inputs!$B$4)
        ) / 12,
        0)</f>
        <v>17.29</v>
      </c>
      <c r="L2" s="19">
        <f t="shared" ref="L2:L1000" si="3">IFERROR(J2 / SUM($J$2:$J1000), 0)</f>
        <v>0.1590687105</v>
      </c>
    </row>
    <row r="3">
      <c r="A3" s="3" t="s">
        <v>73</v>
      </c>
      <c r="B3" s="10" t="s">
        <v>109</v>
      </c>
      <c r="C3" s="3">
        <v>14.0</v>
      </c>
      <c r="E3" s="13"/>
      <c r="F3" s="13">
        <f>IFERROR(VLOOKUP(A3, Prices!A:B, 2, FALSE), )</f>
        <v>23.14</v>
      </c>
      <c r="G3" s="3">
        <f>IFERROR(VLOOKUP(A3, Dividends!$A:$B, 2, FALSE),
       IFERROR( (VLOOKUP(A3, Dividends!$A:$C, 3, FALSE) / VLOOKUP(A3, Prices!$A:$B, 2, FALSE)) * 100,
                Inputs!$B$4*100 ))</f>
        <v>80.92912705</v>
      </c>
      <c r="H3" s="3">
        <f>IFERROR(SUMIF(Purchases!B:B, A3, Purchases!D:D), 0)</f>
        <v>0</v>
      </c>
      <c r="I3" s="3">
        <f t="shared" si="1"/>
        <v>14</v>
      </c>
      <c r="J3" s="13">
        <f t="shared" si="2"/>
        <v>323.96</v>
      </c>
      <c r="K3" s="13">
        <f>IF(J3&gt;0,
        J3 * IF(G3&gt;0, G3/100,
            IFERROR( VLOOKUP(A3, Dividends!$A:$C, 3, FALSE) / VLOOKUP(A3, Prices!$A:$B, 2, FALSE), Inputs!$B$4)
        ) / 12,
        0)</f>
        <v>21.84816667</v>
      </c>
      <c r="L3" s="19">
        <f t="shared" si="3"/>
        <v>0.1614407878</v>
      </c>
    </row>
    <row r="4">
      <c r="A4" s="3" t="s">
        <v>43</v>
      </c>
      <c r="B4" s="10" t="s">
        <v>109</v>
      </c>
      <c r="C4" s="3">
        <v>116.0</v>
      </c>
      <c r="E4" s="13"/>
      <c r="F4" s="13">
        <f>IFERROR(VLOOKUP(A4, Prices!A:B, 2, FALSE), )</f>
        <v>5.55</v>
      </c>
      <c r="G4" s="3">
        <f>IFERROR(VLOOKUP(A4, Dividends!$A:$B, 2, FALSE),
       IFERROR( (VLOOKUP(A4, Dividends!$A:$C, 3, FALSE) / VLOOKUP(A4, Prices!$A:$B, 2, FALSE)) * 100,
                Inputs!$B$4*100 ))</f>
        <v>132.3063063</v>
      </c>
      <c r="H4" s="3">
        <f>IFERROR(SUMIF(Purchases!B:B, A4, Purchases!D:D), 0)</f>
        <v>0</v>
      </c>
      <c r="I4" s="3">
        <f t="shared" si="1"/>
        <v>116</v>
      </c>
      <c r="J4" s="13">
        <f t="shared" si="2"/>
        <v>643.8</v>
      </c>
      <c r="K4" s="13">
        <f>IF(J4&gt;0,
        J4 * IF(G4&gt;0, G4/100,
            IFERROR( VLOOKUP(A4, Dividends!$A:$C, 3, FALSE) / VLOOKUP(A4, Prices!$A:$B, 2, FALSE), Inputs!$B$4)
        ) / 12,
        0)</f>
        <v>70.98233333</v>
      </c>
      <c r="L4" s="19">
        <f t="shared" si="3"/>
        <v>0.320828433</v>
      </c>
    </row>
    <row r="5">
      <c r="A5" s="3" t="s">
        <v>74</v>
      </c>
      <c r="B5" s="10" t="s">
        <v>109</v>
      </c>
      <c r="C5" s="3">
        <v>17.0</v>
      </c>
      <c r="E5" s="13"/>
      <c r="F5" s="13">
        <f>IFERROR(VLOOKUP(A5, Prices!A:B, 2, FALSE), )</f>
        <v>18.75</v>
      </c>
      <c r="G5" s="3">
        <f>IFERROR(VLOOKUP(A5, Dividends!$A:$B, 2, FALSE),
       IFERROR( (VLOOKUP(A5, Dividends!$A:$C, 3, FALSE) / VLOOKUP(A5, Prices!$A:$B, 2, FALSE)) * 100,
                Inputs!$B$4*100 ))</f>
        <v>25.95733333</v>
      </c>
      <c r="H5" s="3">
        <f>IFERROR(SUMIF(Purchases!B:B, A5, Purchases!D:D), 0)</f>
        <v>0</v>
      </c>
      <c r="I5" s="3">
        <f t="shared" si="1"/>
        <v>17</v>
      </c>
      <c r="J5" s="13">
        <f t="shared" si="2"/>
        <v>318.75</v>
      </c>
      <c r="K5" s="13">
        <f>IF(J5&gt;0,
        J5 * IF(G5&gt;0, G5/100,
            IFERROR( VLOOKUP(A5, Dividends!$A:$C, 3, FALSE) / VLOOKUP(A5, Prices!$A:$B, 2, FALSE), Inputs!$B$4)
        ) / 12,
        0)</f>
        <v>6.894916667</v>
      </c>
      <c r="L5" s="19">
        <f t="shared" si="3"/>
        <v>0.1588444595</v>
      </c>
    </row>
    <row r="6">
      <c r="A6" s="3" t="s">
        <v>75</v>
      </c>
      <c r="B6" s="10" t="s">
        <v>110</v>
      </c>
      <c r="C6" s="3">
        <v>2.0</v>
      </c>
      <c r="E6" s="13"/>
      <c r="F6" s="13">
        <f>IFERROR(VLOOKUP(A6, Prices!A:B, 2, FALSE), )</f>
        <v>62.2</v>
      </c>
      <c r="G6" s="3">
        <f>IFERROR(VLOOKUP(A6, Dividends!$A:$B, 2, FALSE),
       IFERROR( (VLOOKUP(A6, Dividends!$A:$C, 3, FALSE) / VLOOKUP(A6, Prices!$A:$B, 2, FALSE)) * 100,
                Inputs!$B$4*100 ))</f>
        <v>77.80868167</v>
      </c>
      <c r="H6" s="3">
        <f>IFERROR(SUMIF(Purchases!B:B, A6, Purchases!D:D), 0)</f>
        <v>0</v>
      </c>
      <c r="I6" s="3">
        <f t="shared" si="1"/>
        <v>2</v>
      </c>
      <c r="J6" s="13">
        <f t="shared" si="2"/>
        <v>124.4</v>
      </c>
      <c r="K6" s="13">
        <f>IF(J6&gt;0,
        J6 * IF(G6&gt;0, G6/100,
            IFERROR( VLOOKUP(A6, Dividends!$A:$C, 3, FALSE) / VLOOKUP(A6, Prices!$A:$B, 2, FALSE), Inputs!$B$4)
        ) / 12,
        0)</f>
        <v>8.066166667</v>
      </c>
      <c r="L6" s="19">
        <f t="shared" si="3"/>
        <v>0.06199294357</v>
      </c>
    </row>
    <row r="7">
      <c r="A7" s="3" t="s">
        <v>76</v>
      </c>
      <c r="B7" s="10" t="s">
        <v>110</v>
      </c>
      <c r="C7" s="3">
        <v>7.0</v>
      </c>
      <c r="E7" s="13"/>
      <c r="F7" s="13">
        <f>IFERROR(VLOOKUP(A7, Prices!A:B, 2, FALSE), )</f>
        <v>39.51</v>
      </c>
      <c r="G7" s="3">
        <f>IFERROR(VLOOKUP(A7, Dividends!$A:$B, 2, FALSE),
       IFERROR( (VLOOKUP(A7, Dividends!$A:$C, 3, FALSE) / VLOOKUP(A7, Prices!$A:$B, 2, FALSE)) * 100,
                Inputs!$B$4*100 ))</f>
        <v>34.85952923</v>
      </c>
      <c r="H7" s="3">
        <f>IFERROR(SUMIF(Purchases!B:B, A7, Purchases!D:D), 0)</f>
        <v>0</v>
      </c>
      <c r="I7" s="3">
        <f t="shared" si="1"/>
        <v>7</v>
      </c>
      <c r="J7" s="13">
        <f t="shared" si="2"/>
        <v>276.57</v>
      </c>
      <c r="K7" s="13">
        <f>IF(J7&gt;0,
        J7 * IF(G7&gt;0, G7/100,
            IFERROR( VLOOKUP(A7, Dividends!$A:$C, 3, FALSE) / VLOOKUP(A7, Prices!$A:$B, 2, FALSE), Inputs!$B$4)
        ) / 12,
        0)</f>
        <v>8.03425</v>
      </c>
      <c r="L7" s="19">
        <f t="shared" si="3"/>
        <v>0.1378246656</v>
      </c>
    </row>
    <row r="8">
      <c r="A8" s="20" t="s">
        <v>111</v>
      </c>
      <c r="F8" s="3" t="str">
        <f>IFERROR(VLOOKUP(A8, Prices!A:B, 2, FALSE), )</f>
        <v/>
      </c>
      <c r="G8" s="3">
        <f>IFERROR(VLOOKUP(A8, Dividends!$A:$B, 2, FALSE),
       IFERROR( (VLOOKUP(A8, Dividends!$A:$C, 3, FALSE) / VLOOKUP(A8, Prices!$A:$B, 2, FALSE)) * 100,
                Inputs!$B$4*100 ))</f>
        <v>65</v>
      </c>
      <c r="H8" s="3">
        <f>IFERROR(SUMIF(Purchases!B:B, A8, Purchases!D:D), 0)</f>
        <v>0</v>
      </c>
      <c r="I8" s="3">
        <f t="shared" si="1"/>
        <v>0</v>
      </c>
      <c r="J8" s="13">
        <f t="shared" si="2"/>
        <v>0</v>
      </c>
      <c r="K8" s="13">
        <f>IF(J8&gt;0,
        J8 * IF(G8&gt;0, G8/100,
            IFERROR( VLOOKUP(A8, Dividends!$A:$C, 3, FALSE) / VLOOKUP(A8, Prices!$A:$B, 2, FALSE), Inputs!$B$4)
        ) / 12,
        0)</f>
        <v>0</v>
      </c>
      <c r="L8" s="19">
        <f t="shared" si="3"/>
        <v>0</v>
      </c>
    </row>
    <row r="9">
      <c r="F9" s="3" t="str">
        <f>IFERROR(VLOOKUP(A9, Prices!A:B, 2, FALSE), )</f>
        <v/>
      </c>
      <c r="G9" s="3">
        <f>IFERROR(VLOOKUP(A9, Dividends!$A:$B, 2, FALSE),
       IFERROR( (VLOOKUP(A9, Dividends!$A:$C, 3, FALSE) / VLOOKUP(A9, Prices!$A:$B, 2, FALSE)) * 100,
                Inputs!$B$4*100 ))</f>
        <v>65</v>
      </c>
      <c r="H9" s="3">
        <f>IFERROR(SUMIF(Purchases!B:B, A9, Purchases!D:D), 0)</f>
        <v>0</v>
      </c>
      <c r="I9" s="3">
        <f t="shared" si="1"/>
        <v>0</v>
      </c>
      <c r="J9" s="3">
        <f t="shared" si="2"/>
        <v>0</v>
      </c>
      <c r="K9" s="3">
        <f>IF(J9&gt;0,
        J9 * IF(G9&gt;0, G9/100,
            IFERROR( VLOOKUP(A9, Dividends!$A:$C, 3, FALSE) / VLOOKUP(A9, Prices!$A:$B, 2, FALSE), Inputs!$B$4)
        ) / 12,
        0)</f>
        <v>0</v>
      </c>
      <c r="L9" s="3">
        <f t="shared" si="3"/>
        <v>0</v>
      </c>
    </row>
    <row r="10">
      <c r="F10" s="3" t="str">
        <f>IFERROR(VLOOKUP(A10, Prices!A:B, 2, FALSE), )</f>
        <v/>
      </c>
      <c r="G10" s="3">
        <f>IFERROR(VLOOKUP(A10, Dividends!$A:$B, 2, FALSE),
       IFERROR( (VLOOKUP(A10, Dividends!$A:$C, 3, FALSE) / VLOOKUP(A10, Prices!$A:$B, 2, FALSE)) * 100,
                Inputs!$B$4*100 ))</f>
        <v>65</v>
      </c>
      <c r="H10" s="3">
        <f>IFERROR(SUMIF(Purchases!B:B, A10, Purchases!D:D), 0)</f>
        <v>0</v>
      </c>
      <c r="I10" s="3">
        <f t="shared" si="1"/>
        <v>0</v>
      </c>
      <c r="J10" s="3">
        <f t="shared" si="2"/>
        <v>0</v>
      </c>
      <c r="K10" s="3">
        <f>IF(J10&gt;0,
        J10 * IF(G10&gt;0, G10/100,
            IFERROR( VLOOKUP(A10, Dividends!$A:$C, 3, FALSE) / VLOOKUP(A10, Prices!$A:$B, 2, FALSE), Inputs!$B$4)
        ) / 12,
        0)</f>
        <v>0</v>
      </c>
      <c r="L10" s="3">
        <f t="shared" si="3"/>
        <v>0</v>
      </c>
    </row>
    <row r="11">
      <c r="F11" s="3" t="str">
        <f>IFERROR(VLOOKUP(A11, Prices!A:B, 2, FALSE), )</f>
        <v/>
      </c>
      <c r="G11" s="3">
        <f>IFERROR(VLOOKUP(A11, Dividends!$A:$B, 2, FALSE),
       IFERROR( (VLOOKUP(A11, Dividends!$A:$C, 3, FALSE) / VLOOKUP(A11, Prices!$A:$B, 2, FALSE)) * 100,
                Inputs!$B$4*100 ))</f>
        <v>65</v>
      </c>
      <c r="H11" s="3">
        <f>IFERROR(SUMIF(Purchases!B:B, A11, Purchases!D:D), 0)</f>
        <v>0</v>
      </c>
      <c r="I11" s="3">
        <f t="shared" si="1"/>
        <v>0</v>
      </c>
      <c r="J11" s="3">
        <f t="shared" si="2"/>
        <v>0</v>
      </c>
      <c r="K11" s="3">
        <f>IF(J11&gt;0,
        J11 * IF(G11&gt;0, G11/100,
            IFERROR( VLOOKUP(A11, Dividends!$A:$C, 3, FALSE) / VLOOKUP(A11, Prices!$A:$B, 2, FALSE), Inputs!$B$4)
        ) / 12,
        0)</f>
        <v>0</v>
      </c>
      <c r="L11" s="3">
        <f t="shared" si="3"/>
        <v>0</v>
      </c>
    </row>
    <row r="12">
      <c r="F12" s="3" t="str">
        <f>IFERROR(VLOOKUP(A12, Prices!A:B, 2, FALSE), )</f>
        <v/>
      </c>
      <c r="G12" s="3">
        <f>IFERROR(VLOOKUP(A12, Dividends!$A:$B, 2, FALSE),
       IFERROR( (VLOOKUP(A12, Dividends!$A:$C, 3, FALSE) / VLOOKUP(A12, Prices!$A:$B, 2, FALSE)) * 100,
                Inputs!$B$4*100 ))</f>
        <v>65</v>
      </c>
      <c r="H12" s="3">
        <f>IFERROR(SUMIF(Purchases!B:B, A12, Purchases!D:D), 0)</f>
        <v>0</v>
      </c>
      <c r="I12" s="3">
        <f t="shared" si="1"/>
        <v>0</v>
      </c>
      <c r="J12" s="3">
        <f t="shared" si="2"/>
        <v>0</v>
      </c>
      <c r="K12" s="3">
        <f>IF(J12&gt;0,
        J12 * IF(G12&gt;0, G12/100,
            IFERROR( VLOOKUP(A12, Dividends!$A:$C, 3, FALSE) / VLOOKUP(A12, Prices!$A:$B, 2, FALSE), Inputs!$B$4)
        ) / 12,
        0)</f>
        <v>0</v>
      </c>
      <c r="L12" s="3">
        <f t="shared" si="3"/>
        <v>0</v>
      </c>
    </row>
    <row r="13">
      <c r="F13" s="3" t="str">
        <f>IFERROR(VLOOKUP(A13, Prices!A:B, 2, FALSE), )</f>
        <v/>
      </c>
      <c r="G13" s="3">
        <f>IFERROR(VLOOKUP(A13, Dividends!$A:$B, 2, FALSE),
       IFERROR( (VLOOKUP(A13, Dividends!$A:$C, 3, FALSE) / VLOOKUP(A13, Prices!$A:$B, 2, FALSE)) * 100,
                Inputs!$B$4*100 ))</f>
        <v>65</v>
      </c>
      <c r="H13" s="3">
        <f>IFERROR(SUMIF(Purchases!B:B, A13, Purchases!D:D), 0)</f>
        <v>0</v>
      </c>
      <c r="I13" s="3">
        <f t="shared" si="1"/>
        <v>0</v>
      </c>
      <c r="J13" s="3">
        <f t="shared" si="2"/>
        <v>0</v>
      </c>
      <c r="K13" s="3">
        <f>IF(J13&gt;0,
        J13 * IF(G13&gt;0, G13/100,
            IFERROR( VLOOKUP(A13, Dividends!$A:$C, 3, FALSE) / VLOOKUP(A13, Prices!$A:$B, 2, FALSE), Inputs!$B$4)
        ) / 12,
        0)</f>
        <v>0</v>
      </c>
      <c r="L13" s="3">
        <f t="shared" si="3"/>
        <v>0</v>
      </c>
    </row>
    <row r="14">
      <c r="F14" s="3" t="str">
        <f>IFERROR(VLOOKUP(A14, Prices!A:B, 2, FALSE), )</f>
        <v/>
      </c>
      <c r="G14" s="3">
        <f>IFERROR(VLOOKUP(A14, Dividends!$A:$B, 2, FALSE),
       IFERROR( (VLOOKUP(A14, Dividends!$A:$C, 3, FALSE) / VLOOKUP(A14, Prices!$A:$B, 2, FALSE)) * 100,
                Inputs!$B$4*100 ))</f>
        <v>65</v>
      </c>
      <c r="H14" s="3">
        <f>IFERROR(SUMIF(Purchases!B:B, A14, Purchases!D:D), 0)</f>
        <v>0</v>
      </c>
      <c r="I14" s="3">
        <f t="shared" si="1"/>
        <v>0</v>
      </c>
      <c r="J14" s="3">
        <f t="shared" si="2"/>
        <v>0</v>
      </c>
      <c r="K14" s="3">
        <f>IF(J14&gt;0,
        J14 * IF(G14&gt;0, G14/100,
            IFERROR( VLOOKUP(A14, Dividends!$A:$C, 3, FALSE) / VLOOKUP(A14, Prices!$A:$B, 2, FALSE), Inputs!$B$4)
        ) / 12,
        0)</f>
        <v>0</v>
      </c>
      <c r="L14" s="3">
        <f t="shared" si="3"/>
        <v>0</v>
      </c>
    </row>
    <row r="15">
      <c r="F15" s="3" t="str">
        <f>IFERROR(VLOOKUP(A15, Prices!A:B, 2, FALSE), )</f>
        <v/>
      </c>
      <c r="G15" s="3">
        <f>IFERROR(VLOOKUP(A15, Dividends!$A:$B, 2, FALSE),
       IFERROR( (VLOOKUP(A15, Dividends!$A:$C, 3, FALSE) / VLOOKUP(A15, Prices!$A:$B, 2, FALSE)) * 100,
                Inputs!$B$4*100 ))</f>
        <v>65</v>
      </c>
      <c r="H15" s="3">
        <f>IFERROR(SUMIF(Purchases!B:B, A15, Purchases!D:D), 0)</f>
        <v>0</v>
      </c>
      <c r="I15" s="3">
        <f t="shared" si="1"/>
        <v>0</v>
      </c>
      <c r="J15" s="3">
        <f t="shared" si="2"/>
        <v>0</v>
      </c>
      <c r="K15" s="3">
        <f>IF(J15&gt;0,
        J15 * IF(G15&gt;0, G15/100,
            IFERROR( VLOOKUP(A15, Dividends!$A:$C, 3, FALSE) / VLOOKUP(A15, Prices!$A:$B, 2, FALSE), Inputs!$B$4)
        ) / 12,
        0)</f>
        <v>0</v>
      </c>
      <c r="L15" s="3">
        <f t="shared" si="3"/>
        <v>0</v>
      </c>
    </row>
    <row r="16">
      <c r="F16" s="3" t="str">
        <f>IFERROR(VLOOKUP(A16, Prices!A:B, 2, FALSE), )</f>
        <v/>
      </c>
      <c r="G16" s="3">
        <f>IFERROR(VLOOKUP(A16, Dividends!$A:$B, 2, FALSE),
       IFERROR( (VLOOKUP(A16, Dividends!$A:$C, 3, FALSE) / VLOOKUP(A16, Prices!$A:$B, 2, FALSE)) * 100,
                Inputs!$B$4*100 ))</f>
        <v>65</v>
      </c>
      <c r="H16" s="3">
        <f>IFERROR(SUMIF(Purchases!B:B, A16, Purchases!D:D), 0)</f>
        <v>0</v>
      </c>
      <c r="I16" s="3">
        <f t="shared" si="1"/>
        <v>0</v>
      </c>
      <c r="J16" s="3">
        <f t="shared" si="2"/>
        <v>0</v>
      </c>
      <c r="K16" s="3">
        <f>IF(J16&gt;0,
        J16 * IF(G16&gt;0, G16/100,
            IFERROR( VLOOKUP(A16, Dividends!$A:$C, 3, FALSE) / VLOOKUP(A16, Prices!$A:$B, 2, FALSE), Inputs!$B$4)
        ) / 12,
        0)</f>
        <v>0</v>
      </c>
      <c r="L16" s="3">
        <f t="shared" si="3"/>
        <v>0</v>
      </c>
    </row>
    <row r="17">
      <c r="F17" s="3" t="str">
        <f>IFERROR(VLOOKUP(A17, Prices!A:B, 2, FALSE), )</f>
        <v/>
      </c>
      <c r="G17" s="3">
        <f>IFERROR(VLOOKUP(A17, Dividends!$A:$B, 2, FALSE),
       IFERROR( (VLOOKUP(A17, Dividends!$A:$C, 3, FALSE) / VLOOKUP(A17, Prices!$A:$B, 2, FALSE)) * 100,
                Inputs!$B$4*100 ))</f>
        <v>65</v>
      </c>
      <c r="H17" s="3">
        <f>IFERROR(SUMIF(Purchases!B:B, A17, Purchases!D:D), 0)</f>
        <v>0</v>
      </c>
      <c r="I17" s="3">
        <f t="shared" si="1"/>
        <v>0</v>
      </c>
      <c r="J17" s="3">
        <f t="shared" si="2"/>
        <v>0</v>
      </c>
      <c r="K17" s="3">
        <f>IF(J17&gt;0,
        J17 * IF(G17&gt;0, G17/100,
            IFERROR( VLOOKUP(A17, Dividends!$A:$C, 3, FALSE) / VLOOKUP(A17, Prices!$A:$B, 2, FALSE), Inputs!$B$4)
        ) / 12,
        0)</f>
        <v>0</v>
      </c>
      <c r="L17" s="3">
        <f t="shared" si="3"/>
        <v>0</v>
      </c>
    </row>
    <row r="18">
      <c r="F18" s="3" t="str">
        <f>IFERROR(VLOOKUP(A18, Prices!A:B, 2, FALSE), )</f>
        <v/>
      </c>
      <c r="G18" s="3">
        <f>IFERROR(VLOOKUP(A18, Dividends!$A:$B, 2, FALSE),
       IFERROR( (VLOOKUP(A18, Dividends!$A:$C, 3, FALSE) / VLOOKUP(A18, Prices!$A:$B, 2, FALSE)) * 100,
                Inputs!$B$4*100 ))</f>
        <v>65</v>
      </c>
      <c r="H18" s="3">
        <f>IFERROR(SUMIF(Purchases!B:B, A18, Purchases!D:D), 0)</f>
        <v>0</v>
      </c>
      <c r="I18" s="3">
        <f t="shared" si="1"/>
        <v>0</v>
      </c>
      <c r="J18" s="3">
        <f t="shared" si="2"/>
        <v>0</v>
      </c>
      <c r="K18" s="3">
        <f>IF(J18&gt;0,
        J18 * IF(G18&gt;0, G18/100,
            IFERROR( VLOOKUP(A18, Dividends!$A:$C, 3, FALSE) / VLOOKUP(A18, Prices!$A:$B, 2, FALSE), Inputs!$B$4)
        ) / 12,
        0)</f>
        <v>0</v>
      </c>
      <c r="L18" s="3">
        <f t="shared" si="3"/>
        <v>0</v>
      </c>
    </row>
    <row r="19">
      <c r="F19" s="3" t="str">
        <f>IFERROR(VLOOKUP(A19, Prices!A:B, 2, FALSE), )</f>
        <v/>
      </c>
      <c r="G19" s="3">
        <f>IFERROR(VLOOKUP(A19, Dividends!$A:$B, 2, FALSE),
       IFERROR( (VLOOKUP(A19, Dividends!$A:$C, 3, FALSE) / VLOOKUP(A19, Prices!$A:$B, 2, FALSE)) * 100,
                Inputs!$B$4*100 ))</f>
        <v>65</v>
      </c>
      <c r="H19" s="3">
        <f>IFERROR(SUMIF(Purchases!B:B, A19, Purchases!D:D), 0)</f>
        <v>0</v>
      </c>
      <c r="I19" s="3">
        <f t="shared" si="1"/>
        <v>0</v>
      </c>
      <c r="J19" s="3">
        <f t="shared" si="2"/>
        <v>0</v>
      </c>
      <c r="K19" s="3">
        <f>IF(J19&gt;0,
        J19 * IF(G19&gt;0, G19/100,
            IFERROR( VLOOKUP(A19, Dividends!$A:$C, 3, FALSE) / VLOOKUP(A19, Prices!$A:$B, 2, FALSE), Inputs!$B$4)
        ) / 12,
        0)</f>
        <v>0</v>
      </c>
      <c r="L19" s="3">
        <f t="shared" si="3"/>
        <v>0</v>
      </c>
    </row>
    <row r="20">
      <c r="F20" s="3" t="str">
        <f>IFERROR(VLOOKUP(A20, Prices!A:B, 2, FALSE), )</f>
        <v/>
      </c>
      <c r="G20" s="3">
        <f>IFERROR(VLOOKUP(A20, Dividends!$A:$B, 2, FALSE),
       IFERROR( (VLOOKUP(A20, Dividends!$A:$C, 3, FALSE) / VLOOKUP(A20, Prices!$A:$B, 2, FALSE)) * 100,
                Inputs!$B$4*100 ))</f>
        <v>65</v>
      </c>
      <c r="H20" s="3">
        <f>IFERROR(SUMIF(Purchases!B:B, A20, Purchases!D:D), 0)</f>
        <v>0</v>
      </c>
      <c r="I20" s="3">
        <f t="shared" si="1"/>
        <v>0</v>
      </c>
      <c r="J20" s="3">
        <f t="shared" si="2"/>
        <v>0</v>
      </c>
      <c r="K20" s="3">
        <f>IF(J20&gt;0,
        J20 * IF(G20&gt;0, G20/100,
            IFERROR( VLOOKUP(A20, Dividends!$A:$C, 3, FALSE) / VLOOKUP(A20, Prices!$A:$B, 2, FALSE), Inputs!$B$4)
        ) / 12,
        0)</f>
        <v>0</v>
      </c>
      <c r="L20" s="3">
        <f t="shared" si="3"/>
        <v>0</v>
      </c>
    </row>
    <row r="21" ht="15.75" customHeight="1">
      <c r="F21" s="3" t="str">
        <f>IFERROR(VLOOKUP(A21, Prices!A:B, 2, FALSE), )</f>
        <v/>
      </c>
      <c r="G21" s="3">
        <f>IFERROR(VLOOKUP(A21, Dividends!$A:$B, 2, FALSE),
       IFERROR( (VLOOKUP(A21, Dividends!$A:$C, 3, FALSE) / VLOOKUP(A21, Prices!$A:$B, 2, FALSE)) * 100,
                Inputs!$B$4*100 ))</f>
        <v>65</v>
      </c>
      <c r="H21" s="3">
        <f>IFERROR(SUMIF(Purchases!B:B, A21, Purchases!D:D), 0)</f>
        <v>0</v>
      </c>
      <c r="I21" s="3">
        <f t="shared" si="1"/>
        <v>0</v>
      </c>
      <c r="J21" s="3">
        <f t="shared" si="2"/>
        <v>0</v>
      </c>
      <c r="K21" s="3">
        <f>IF(J21&gt;0,
        J21 * IF(G21&gt;0, G21/100,
            IFERROR( VLOOKUP(A21, Dividends!$A:$C, 3, FALSE) / VLOOKUP(A21, Prices!$A:$B, 2, FALSE), Inputs!$B$4)
        ) / 12,
        0)</f>
        <v>0</v>
      </c>
      <c r="L21" s="3">
        <f t="shared" si="3"/>
        <v>0</v>
      </c>
    </row>
    <row r="22" ht="15.75" customHeight="1">
      <c r="F22" s="3" t="str">
        <f>IFERROR(VLOOKUP(A22, Prices!A:B, 2, FALSE), )</f>
        <v/>
      </c>
      <c r="G22" s="3">
        <f>IFERROR(VLOOKUP(A22, Dividends!$A:$B, 2, FALSE),
       IFERROR( (VLOOKUP(A22, Dividends!$A:$C, 3, FALSE) / VLOOKUP(A22, Prices!$A:$B, 2, FALSE)) * 100,
                Inputs!$B$4*100 ))</f>
        <v>65</v>
      </c>
      <c r="H22" s="3">
        <f>IFERROR(SUMIF(Purchases!B:B, A22, Purchases!D:D), 0)</f>
        <v>0</v>
      </c>
      <c r="I22" s="3">
        <f t="shared" si="1"/>
        <v>0</v>
      </c>
      <c r="J22" s="3">
        <f t="shared" si="2"/>
        <v>0</v>
      </c>
      <c r="K22" s="3">
        <f>IF(J22&gt;0,
        J22 * IF(G22&gt;0, G22/100,
            IFERROR( VLOOKUP(A22, Dividends!$A:$C, 3, FALSE) / VLOOKUP(A22, Prices!$A:$B, 2, FALSE), Inputs!$B$4)
        ) / 12,
        0)</f>
        <v>0</v>
      </c>
      <c r="L22" s="3">
        <f t="shared" si="3"/>
        <v>0</v>
      </c>
    </row>
    <row r="23" ht="15.75" customHeight="1">
      <c r="F23" s="3" t="str">
        <f>IFERROR(VLOOKUP(A23, Prices!A:B, 2, FALSE), )</f>
        <v/>
      </c>
      <c r="G23" s="3">
        <f>IFERROR(VLOOKUP(A23, Dividends!$A:$B, 2, FALSE),
       IFERROR( (VLOOKUP(A23, Dividends!$A:$C, 3, FALSE) / VLOOKUP(A23, Prices!$A:$B, 2, FALSE)) * 100,
                Inputs!$B$4*100 ))</f>
        <v>65</v>
      </c>
      <c r="H23" s="3">
        <f>IFERROR(SUMIF(Purchases!B:B, A23, Purchases!D:D), 0)</f>
        <v>0</v>
      </c>
      <c r="I23" s="3">
        <f t="shared" si="1"/>
        <v>0</v>
      </c>
      <c r="J23" s="3">
        <f t="shared" si="2"/>
        <v>0</v>
      </c>
      <c r="K23" s="3">
        <f>IF(J23&gt;0,
        J23 * IF(G23&gt;0, G23/100,
            IFERROR( VLOOKUP(A23, Dividends!$A:$C, 3, FALSE) / VLOOKUP(A23, Prices!$A:$B, 2, FALSE), Inputs!$B$4)
        ) / 12,
        0)</f>
        <v>0</v>
      </c>
      <c r="L23" s="3">
        <f t="shared" si="3"/>
        <v>0</v>
      </c>
    </row>
    <row r="24" ht="15.75" customHeight="1">
      <c r="F24" s="3" t="str">
        <f>IFERROR(VLOOKUP(A24, Prices!A:B, 2, FALSE), )</f>
        <v/>
      </c>
      <c r="G24" s="3">
        <f>IFERROR(VLOOKUP(A24, Dividends!$A:$B, 2, FALSE),
       IFERROR( (VLOOKUP(A24, Dividends!$A:$C, 3, FALSE) / VLOOKUP(A24, Prices!$A:$B, 2, FALSE)) * 100,
                Inputs!$B$4*100 ))</f>
        <v>65</v>
      </c>
      <c r="H24" s="3">
        <f>IFERROR(SUMIF(Purchases!B:B, A24, Purchases!D:D), 0)</f>
        <v>0</v>
      </c>
      <c r="I24" s="3">
        <f t="shared" si="1"/>
        <v>0</v>
      </c>
      <c r="J24" s="3">
        <f t="shared" si="2"/>
        <v>0</v>
      </c>
      <c r="K24" s="3">
        <f>IF(J24&gt;0,
        J24 * IF(G24&gt;0, G24/100,
            IFERROR( VLOOKUP(A24, Dividends!$A:$C, 3, FALSE) / VLOOKUP(A24, Prices!$A:$B, 2, FALSE), Inputs!$B$4)
        ) / 12,
        0)</f>
        <v>0</v>
      </c>
      <c r="L24" s="3">
        <f t="shared" si="3"/>
        <v>0</v>
      </c>
    </row>
    <row r="25" ht="15.75" customHeight="1">
      <c r="F25" s="3" t="str">
        <f>IFERROR(VLOOKUP(A25, Prices!A:B, 2, FALSE), )</f>
        <v/>
      </c>
      <c r="G25" s="3">
        <f>IFERROR(VLOOKUP(A25, Dividends!$A:$B, 2, FALSE),
       IFERROR( (VLOOKUP(A25, Dividends!$A:$C, 3, FALSE) / VLOOKUP(A25, Prices!$A:$B, 2, FALSE)) * 100,
                Inputs!$B$4*100 ))</f>
        <v>65</v>
      </c>
      <c r="H25" s="3">
        <f>IFERROR(SUMIF(Purchases!B:B, A25, Purchases!D:D), 0)</f>
        <v>0</v>
      </c>
      <c r="I25" s="3">
        <f t="shared" si="1"/>
        <v>0</v>
      </c>
      <c r="J25" s="3">
        <f t="shared" si="2"/>
        <v>0</v>
      </c>
      <c r="K25" s="3">
        <f>IF(J25&gt;0,
        J25 * IF(G25&gt;0, G25/100,
            IFERROR( VLOOKUP(A25, Dividends!$A:$C, 3, FALSE) / VLOOKUP(A25, Prices!$A:$B, 2, FALSE), Inputs!$B$4)
        ) / 12,
        0)</f>
        <v>0</v>
      </c>
      <c r="L25" s="3">
        <f t="shared" si="3"/>
        <v>0</v>
      </c>
    </row>
    <row r="26" ht="15.75" customHeight="1">
      <c r="F26" s="3" t="str">
        <f>IFERROR(VLOOKUP(A26, Prices!A:B, 2, FALSE), )</f>
        <v/>
      </c>
      <c r="G26" s="3">
        <f>IFERROR(VLOOKUP(A26, Dividends!$A:$B, 2, FALSE),
       IFERROR( (VLOOKUP(A26, Dividends!$A:$C, 3, FALSE) / VLOOKUP(A26, Prices!$A:$B, 2, FALSE)) * 100,
                Inputs!$B$4*100 ))</f>
        <v>65</v>
      </c>
      <c r="H26" s="3">
        <f>IFERROR(SUMIF(Purchases!B:B, A26, Purchases!D:D), 0)</f>
        <v>0</v>
      </c>
      <c r="I26" s="3">
        <f t="shared" si="1"/>
        <v>0</v>
      </c>
      <c r="J26" s="3">
        <f t="shared" si="2"/>
        <v>0</v>
      </c>
      <c r="K26" s="3">
        <f>IF(J26&gt;0,
        J26 * IF(G26&gt;0, G26/100,
            IFERROR( VLOOKUP(A26, Dividends!$A:$C, 3, FALSE) / VLOOKUP(A26, Prices!$A:$B, 2, FALSE), Inputs!$B$4)
        ) / 12,
        0)</f>
        <v>0</v>
      </c>
      <c r="L26" s="3">
        <f t="shared" si="3"/>
        <v>0</v>
      </c>
    </row>
    <row r="27" ht="15.75" customHeight="1">
      <c r="F27" s="3" t="str">
        <f>IFERROR(VLOOKUP(A27, Prices!A:B, 2, FALSE), )</f>
        <v/>
      </c>
      <c r="G27" s="3">
        <f>IFERROR(VLOOKUP(A27, Dividends!$A:$B, 2, FALSE),
       IFERROR( (VLOOKUP(A27, Dividends!$A:$C, 3, FALSE) / VLOOKUP(A27, Prices!$A:$B, 2, FALSE)) * 100,
                Inputs!$B$4*100 ))</f>
        <v>65</v>
      </c>
      <c r="H27" s="3">
        <f>IFERROR(SUMIF(Purchases!B:B, A27, Purchases!D:D), 0)</f>
        <v>0</v>
      </c>
      <c r="I27" s="3">
        <f t="shared" si="1"/>
        <v>0</v>
      </c>
      <c r="J27" s="3">
        <f t="shared" si="2"/>
        <v>0</v>
      </c>
      <c r="K27" s="3">
        <f>IF(J27&gt;0,
        J27 * IF(G27&gt;0, G27/100,
            IFERROR( VLOOKUP(A27, Dividends!$A:$C, 3, FALSE) / VLOOKUP(A27, Prices!$A:$B, 2, FALSE), Inputs!$B$4)
        ) / 12,
        0)</f>
        <v>0</v>
      </c>
      <c r="L27" s="3">
        <f t="shared" si="3"/>
        <v>0</v>
      </c>
    </row>
    <row r="28" ht="15.75" customHeight="1">
      <c r="F28" s="3" t="str">
        <f>IFERROR(VLOOKUP(A28, Prices!A:B, 2, FALSE), )</f>
        <v/>
      </c>
      <c r="G28" s="3">
        <f>IFERROR(VLOOKUP(A28, Dividends!$A:$B, 2, FALSE),
       IFERROR( (VLOOKUP(A28, Dividends!$A:$C, 3, FALSE) / VLOOKUP(A28, Prices!$A:$B, 2, FALSE)) * 100,
                Inputs!$B$4*100 ))</f>
        <v>65</v>
      </c>
      <c r="H28" s="3">
        <f>IFERROR(SUMIF(Purchases!B:B, A28, Purchases!D:D), 0)</f>
        <v>0</v>
      </c>
      <c r="I28" s="3">
        <f t="shared" si="1"/>
        <v>0</v>
      </c>
      <c r="J28" s="3">
        <f t="shared" si="2"/>
        <v>0</v>
      </c>
      <c r="K28" s="3">
        <f>IF(J28&gt;0,
        J28 * IF(G28&gt;0, G28/100,
            IFERROR( VLOOKUP(A28, Dividends!$A:$C, 3, FALSE) / VLOOKUP(A28, Prices!$A:$B, 2, FALSE), Inputs!$B$4)
        ) / 12,
        0)</f>
        <v>0</v>
      </c>
      <c r="L28" s="3">
        <f t="shared" si="3"/>
        <v>0</v>
      </c>
    </row>
    <row r="29" ht="15.75" customHeight="1">
      <c r="F29" s="3" t="str">
        <f>IFERROR(VLOOKUP(A29, Prices!A:B, 2, FALSE), )</f>
        <v/>
      </c>
      <c r="G29" s="3">
        <f>IFERROR(VLOOKUP(A29, Dividends!$A:$B, 2, FALSE),
       IFERROR( (VLOOKUP(A29, Dividends!$A:$C, 3, FALSE) / VLOOKUP(A29, Prices!$A:$B, 2, FALSE)) * 100,
                Inputs!$B$4*100 ))</f>
        <v>65</v>
      </c>
      <c r="H29" s="3">
        <f>IFERROR(SUMIF(Purchases!B:B, A29, Purchases!D:D), 0)</f>
        <v>0</v>
      </c>
      <c r="I29" s="3">
        <f t="shared" si="1"/>
        <v>0</v>
      </c>
      <c r="J29" s="3">
        <f t="shared" si="2"/>
        <v>0</v>
      </c>
      <c r="K29" s="3">
        <f>IF(J29&gt;0,
        J29 * IF(G29&gt;0, G29/100,
            IFERROR( VLOOKUP(A29, Dividends!$A:$C, 3, FALSE) / VLOOKUP(A29, Prices!$A:$B, 2, FALSE), Inputs!$B$4)
        ) / 12,
        0)</f>
        <v>0</v>
      </c>
      <c r="L29" s="3">
        <f t="shared" si="3"/>
        <v>0</v>
      </c>
    </row>
    <row r="30" ht="15.75" customHeight="1">
      <c r="F30" s="3" t="str">
        <f>IFERROR(VLOOKUP(A30, Prices!A:B, 2, FALSE), )</f>
        <v/>
      </c>
      <c r="G30" s="3">
        <f>IFERROR(VLOOKUP(A30, Dividends!$A:$B, 2, FALSE),
       IFERROR( (VLOOKUP(A30, Dividends!$A:$C, 3, FALSE) / VLOOKUP(A30, Prices!$A:$B, 2, FALSE)) * 100,
                Inputs!$B$4*100 ))</f>
        <v>65</v>
      </c>
      <c r="H30" s="3">
        <f>IFERROR(SUMIF(Purchases!B:B, A30, Purchases!D:D), 0)</f>
        <v>0</v>
      </c>
      <c r="I30" s="3">
        <f t="shared" si="1"/>
        <v>0</v>
      </c>
      <c r="J30" s="3">
        <f t="shared" si="2"/>
        <v>0</v>
      </c>
      <c r="K30" s="3">
        <f>IF(J30&gt;0,
        J30 * IF(G30&gt;0, G30/100,
            IFERROR( VLOOKUP(A30, Dividends!$A:$C, 3, FALSE) / VLOOKUP(A30, Prices!$A:$B, 2, FALSE), Inputs!$B$4)
        ) / 12,
        0)</f>
        <v>0</v>
      </c>
      <c r="L30" s="3">
        <f t="shared" si="3"/>
        <v>0</v>
      </c>
    </row>
    <row r="31" ht="15.75" customHeight="1">
      <c r="F31" s="3" t="str">
        <f>IFERROR(VLOOKUP(A31, Prices!A:B, 2, FALSE), )</f>
        <v/>
      </c>
      <c r="G31" s="3">
        <f>IFERROR(VLOOKUP(A31, Dividends!$A:$B, 2, FALSE),
       IFERROR( (VLOOKUP(A31, Dividends!$A:$C, 3, FALSE) / VLOOKUP(A31, Prices!$A:$B, 2, FALSE)) * 100,
                Inputs!$B$4*100 ))</f>
        <v>65</v>
      </c>
      <c r="H31" s="3">
        <f>IFERROR(SUMIF(Purchases!B:B, A31, Purchases!D:D), 0)</f>
        <v>0</v>
      </c>
      <c r="I31" s="3">
        <f t="shared" si="1"/>
        <v>0</v>
      </c>
      <c r="J31" s="3">
        <f t="shared" si="2"/>
        <v>0</v>
      </c>
      <c r="K31" s="3">
        <f>IF(J31&gt;0,
        J31 * IF(G31&gt;0, G31/100,
            IFERROR( VLOOKUP(A31, Dividends!$A:$C, 3, FALSE) / VLOOKUP(A31, Prices!$A:$B, 2, FALSE), Inputs!$B$4)
        ) / 12,
        0)</f>
        <v>0</v>
      </c>
      <c r="L31" s="3">
        <f t="shared" si="3"/>
        <v>0</v>
      </c>
    </row>
    <row r="32" ht="15.75" customHeight="1">
      <c r="F32" s="3" t="str">
        <f>IFERROR(VLOOKUP(A32, Prices!A:B, 2, FALSE), )</f>
        <v/>
      </c>
      <c r="G32" s="3">
        <f>IFERROR(VLOOKUP(A32, Dividends!$A:$B, 2, FALSE),
       IFERROR( (VLOOKUP(A32, Dividends!$A:$C, 3, FALSE) / VLOOKUP(A32, Prices!$A:$B, 2, FALSE)) * 100,
                Inputs!$B$4*100 ))</f>
        <v>65</v>
      </c>
      <c r="H32" s="3">
        <f>IFERROR(SUMIF(Purchases!B:B, A32, Purchases!D:D), 0)</f>
        <v>0</v>
      </c>
      <c r="I32" s="3">
        <f t="shared" si="1"/>
        <v>0</v>
      </c>
      <c r="J32" s="3">
        <f t="shared" si="2"/>
        <v>0</v>
      </c>
      <c r="K32" s="3">
        <f>IF(J32&gt;0,
        J32 * IF(G32&gt;0, G32/100,
            IFERROR( VLOOKUP(A32, Dividends!$A:$C, 3, FALSE) / VLOOKUP(A32, Prices!$A:$B, 2, FALSE), Inputs!$B$4)
        ) / 12,
        0)</f>
        <v>0</v>
      </c>
      <c r="L32" s="3">
        <f t="shared" si="3"/>
        <v>0</v>
      </c>
    </row>
    <row r="33" ht="15.75" customHeight="1">
      <c r="F33" s="3" t="str">
        <f>IFERROR(VLOOKUP(A33, Prices!A:B, 2, FALSE), )</f>
        <v/>
      </c>
      <c r="G33" s="3">
        <f>IFERROR(VLOOKUP(A33, Dividends!$A:$B, 2, FALSE),
       IFERROR( (VLOOKUP(A33, Dividends!$A:$C, 3, FALSE) / VLOOKUP(A33, Prices!$A:$B, 2, FALSE)) * 100,
                Inputs!$B$4*100 ))</f>
        <v>65</v>
      </c>
      <c r="H33" s="3">
        <f>IFERROR(SUMIF(Purchases!B:B, A33, Purchases!D:D), 0)</f>
        <v>0</v>
      </c>
      <c r="I33" s="3">
        <f t="shared" si="1"/>
        <v>0</v>
      </c>
      <c r="J33" s="3">
        <f t="shared" si="2"/>
        <v>0</v>
      </c>
      <c r="K33" s="3">
        <f>IF(J33&gt;0,
        J33 * IF(G33&gt;0, G33/100,
            IFERROR( VLOOKUP(A33, Dividends!$A:$C, 3, FALSE) / VLOOKUP(A33, Prices!$A:$B, 2, FALSE), Inputs!$B$4)
        ) / 12,
        0)</f>
        <v>0</v>
      </c>
      <c r="L33" s="3">
        <f t="shared" si="3"/>
        <v>0</v>
      </c>
    </row>
    <row r="34" ht="15.75" customHeight="1">
      <c r="F34" s="3" t="str">
        <f>IFERROR(VLOOKUP(A34, Prices!A:B, 2, FALSE), )</f>
        <v/>
      </c>
      <c r="G34" s="3">
        <f>IFERROR(VLOOKUP(A34, Dividends!$A:$B, 2, FALSE),
       IFERROR( (VLOOKUP(A34, Dividends!$A:$C, 3, FALSE) / VLOOKUP(A34, Prices!$A:$B, 2, FALSE)) * 100,
                Inputs!$B$4*100 ))</f>
        <v>65</v>
      </c>
      <c r="H34" s="3">
        <f>IFERROR(SUMIF(Purchases!B:B, A34, Purchases!D:D), 0)</f>
        <v>0</v>
      </c>
      <c r="I34" s="3">
        <f t="shared" si="1"/>
        <v>0</v>
      </c>
      <c r="J34" s="3">
        <f t="shared" si="2"/>
        <v>0</v>
      </c>
      <c r="K34" s="3">
        <f>IF(J34&gt;0,
        J34 * IF(G34&gt;0, G34/100,
            IFERROR( VLOOKUP(A34, Dividends!$A:$C, 3, FALSE) / VLOOKUP(A34, Prices!$A:$B, 2, FALSE), Inputs!$B$4)
        ) / 12,
        0)</f>
        <v>0</v>
      </c>
      <c r="L34" s="3">
        <f t="shared" si="3"/>
        <v>0</v>
      </c>
    </row>
    <row r="35" ht="15.75" customHeight="1">
      <c r="F35" s="3" t="str">
        <f>IFERROR(VLOOKUP(A35, Prices!A:B, 2, FALSE), )</f>
        <v/>
      </c>
      <c r="G35" s="3">
        <f>IFERROR(VLOOKUP(A35, Dividends!$A:$B, 2, FALSE),
       IFERROR( (VLOOKUP(A35, Dividends!$A:$C, 3, FALSE) / VLOOKUP(A35, Prices!$A:$B, 2, FALSE)) * 100,
                Inputs!$B$4*100 ))</f>
        <v>65</v>
      </c>
      <c r="H35" s="3">
        <f>IFERROR(SUMIF(Purchases!B:B, A35, Purchases!D:D), 0)</f>
        <v>0</v>
      </c>
      <c r="I35" s="3">
        <f t="shared" si="1"/>
        <v>0</v>
      </c>
      <c r="J35" s="3">
        <f t="shared" si="2"/>
        <v>0</v>
      </c>
      <c r="K35" s="3">
        <f>IF(J35&gt;0,
        J35 * IF(G35&gt;0, G35/100,
            IFERROR( VLOOKUP(A35, Dividends!$A:$C, 3, FALSE) / VLOOKUP(A35, Prices!$A:$B, 2, FALSE), Inputs!$B$4)
        ) / 12,
        0)</f>
        <v>0</v>
      </c>
      <c r="L35" s="3">
        <f t="shared" si="3"/>
        <v>0</v>
      </c>
    </row>
    <row r="36" ht="15.75" customHeight="1">
      <c r="F36" s="3" t="str">
        <f>IFERROR(VLOOKUP(A36, Prices!A:B, 2, FALSE), )</f>
        <v/>
      </c>
      <c r="G36" s="3">
        <f>IFERROR(VLOOKUP(A36, Dividends!$A:$B, 2, FALSE),
       IFERROR( (VLOOKUP(A36, Dividends!$A:$C, 3, FALSE) / VLOOKUP(A36, Prices!$A:$B, 2, FALSE)) * 100,
                Inputs!$B$4*100 ))</f>
        <v>65</v>
      </c>
      <c r="H36" s="3">
        <f>IFERROR(SUMIF(Purchases!B:B, A36, Purchases!D:D), 0)</f>
        <v>0</v>
      </c>
      <c r="I36" s="3">
        <f t="shared" si="1"/>
        <v>0</v>
      </c>
      <c r="J36" s="3">
        <f t="shared" si="2"/>
        <v>0</v>
      </c>
      <c r="K36" s="3">
        <f>IF(J36&gt;0,
        J36 * IF(G36&gt;0, G36/100,
            IFERROR( VLOOKUP(A36, Dividends!$A:$C, 3, FALSE) / VLOOKUP(A36, Prices!$A:$B, 2, FALSE), Inputs!$B$4)
        ) / 12,
        0)</f>
        <v>0</v>
      </c>
      <c r="L36" s="3">
        <f t="shared" si="3"/>
        <v>0</v>
      </c>
    </row>
    <row r="37" ht="15.75" customHeight="1">
      <c r="F37" s="3" t="str">
        <f>IFERROR(VLOOKUP(A37, Prices!A:B, 2, FALSE), )</f>
        <v/>
      </c>
      <c r="G37" s="3">
        <f>IFERROR(VLOOKUP(A37, Dividends!$A:$B, 2, FALSE),
       IFERROR( (VLOOKUP(A37, Dividends!$A:$C, 3, FALSE) / VLOOKUP(A37, Prices!$A:$B, 2, FALSE)) * 100,
                Inputs!$B$4*100 ))</f>
        <v>65</v>
      </c>
      <c r="H37" s="3">
        <f>IFERROR(SUMIF(Purchases!B:B, A37, Purchases!D:D), 0)</f>
        <v>0</v>
      </c>
      <c r="I37" s="3">
        <f t="shared" si="1"/>
        <v>0</v>
      </c>
      <c r="J37" s="3">
        <f t="shared" si="2"/>
        <v>0</v>
      </c>
      <c r="K37" s="3">
        <f>IF(J37&gt;0,
        J37 * IF(G37&gt;0, G37/100,
            IFERROR( VLOOKUP(A37, Dividends!$A:$C, 3, FALSE) / VLOOKUP(A37, Prices!$A:$B, 2, FALSE), Inputs!$B$4)
        ) / 12,
        0)</f>
        <v>0</v>
      </c>
      <c r="L37" s="3">
        <f t="shared" si="3"/>
        <v>0</v>
      </c>
    </row>
    <row r="38" ht="15.75" customHeight="1">
      <c r="F38" s="3" t="str">
        <f>IFERROR(VLOOKUP(A38, Prices!A:B, 2, FALSE), )</f>
        <v/>
      </c>
      <c r="G38" s="3">
        <f>IFERROR(VLOOKUP(A38, Dividends!$A:$B, 2, FALSE),
       IFERROR( (VLOOKUP(A38, Dividends!$A:$C, 3, FALSE) / VLOOKUP(A38, Prices!$A:$B, 2, FALSE)) * 100,
                Inputs!$B$4*100 ))</f>
        <v>65</v>
      </c>
      <c r="H38" s="3">
        <f>IFERROR(SUMIF(Purchases!B:B, A38, Purchases!D:D), 0)</f>
        <v>0</v>
      </c>
      <c r="I38" s="3">
        <f t="shared" si="1"/>
        <v>0</v>
      </c>
      <c r="J38" s="3">
        <f t="shared" si="2"/>
        <v>0</v>
      </c>
      <c r="K38" s="3">
        <f>IF(J38&gt;0,
        J38 * IF(G38&gt;0, G38/100,
            IFERROR( VLOOKUP(A38, Dividends!$A:$C, 3, FALSE) / VLOOKUP(A38, Prices!$A:$B, 2, FALSE), Inputs!$B$4)
        ) / 12,
        0)</f>
        <v>0</v>
      </c>
      <c r="L38" s="3">
        <f t="shared" si="3"/>
        <v>0</v>
      </c>
    </row>
    <row r="39" ht="15.75" customHeight="1">
      <c r="F39" s="3" t="str">
        <f>IFERROR(VLOOKUP(A39, Prices!A:B, 2, FALSE), )</f>
        <v/>
      </c>
      <c r="G39" s="3">
        <f>IFERROR(VLOOKUP(A39, Dividends!$A:$B, 2, FALSE),
       IFERROR( (VLOOKUP(A39, Dividends!$A:$C, 3, FALSE) / VLOOKUP(A39, Prices!$A:$B, 2, FALSE)) * 100,
                Inputs!$B$4*100 ))</f>
        <v>65</v>
      </c>
      <c r="H39" s="3">
        <f>IFERROR(SUMIF(Purchases!B:B, A39, Purchases!D:D), 0)</f>
        <v>0</v>
      </c>
      <c r="I39" s="3">
        <f t="shared" si="1"/>
        <v>0</v>
      </c>
      <c r="J39" s="3">
        <f t="shared" si="2"/>
        <v>0</v>
      </c>
      <c r="K39" s="3">
        <f>IF(J39&gt;0,
        J39 * IF(G39&gt;0, G39/100,
            IFERROR( VLOOKUP(A39, Dividends!$A:$C, 3, FALSE) / VLOOKUP(A39, Prices!$A:$B, 2, FALSE), Inputs!$B$4)
        ) / 12,
        0)</f>
        <v>0</v>
      </c>
      <c r="L39" s="3">
        <f t="shared" si="3"/>
        <v>0</v>
      </c>
    </row>
    <row r="40" ht="15.75" customHeight="1">
      <c r="F40" s="3" t="str">
        <f>IFERROR(VLOOKUP(A40, Prices!A:B, 2, FALSE), )</f>
        <v/>
      </c>
      <c r="G40" s="3">
        <f>IFERROR(VLOOKUP(A40, Dividends!$A:$B, 2, FALSE),
       IFERROR( (VLOOKUP(A40, Dividends!$A:$C, 3, FALSE) / VLOOKUP(A40, Prices!$A:$B, 2, FALSE)) * 100,
                Inputs!$B$4*100 ))</f>
        <v>65</v>
      </c>
      <c r="H40" s="3">
        <f>IFERROR(SUMIF(Purchases!B:B, A40, Purchases!D:D), 0)</f>
        <v>0</v>
      </c>
      <c r="I40" s="3">
        <f t="shared" si="1"/>
        <v>0</v>
      </c>
      <c r="J40" s="3">
        <f t="shared" si="2"/>
        <v>0</v>
      </c>
      <c r="K40" s="3">
        <f>IF(J40&gt;0,
        J40 * IF(G40&gt;0, G40/100,
            IFERROR( VLOOKUP(A40, Dividends!$A:$C, 3, FALSE) / VLOOKUP(A40, Prices!$A:$B, 2, FALSE), Inputs!$B$4)
        ) / 12,
        0)</f>
        <v>0</v>
      </c>
      <c r="L40" s="3">
        <f t="shared" si="3"/>
        <v>0</v>
      </c>
    </row>
    <row r="41" ht="15.75" customHeight="1">
      <c r="F41" s="3" t="str">
        <f>IFERROR(VLOOKUP(A41, Prices!A:B, 2, FALSE), )</f>
        <v/>
      </c>
      <c r="G41" s="3">
        <f>IFERROR(VLOOKUP(A41, Dividends!$A:$B, 2, FALSE),
       IFERROR( (VLOOKUP(A41, Dividends!$A:$C, 3, FALSE) / VLOOKUP(A41, Prices!$A:$B, 2, FALSE)) * 100,
                Inputs!$B$4*100 ))</f>
        <v>65</v>
      </c>
      <c r="H41" s="3">
        <f>IFERROR(SUMIF(Purchases!B:B, A41, Purchases!D:D), 0)</f>
        <v>0</v>
      </c>
      <c r="I41" s="3">
        <f t="shared" si="1"/>
        <v>0</v>
      </c>
      <c r="J41" s="3">
        <f t="shared" si="2"/>
        <v>0</v>
      </c>
      <c r="K41" s="3">
        <f>IF(J41&gt;0,
        J41 * IF(G41&gt;0, G41/100,
            IFERROR( VLOOKUP(A41, Dividends!$A:$C, 3, FALSE) / VLOOKUP(A41, Prices!$A:$B, 2, FALSE), Inputs!$B$4)
        ) / 12,
        0)</f>
        <v>0</v>
      </c>
      <c r="L41" s="3">
        <f t="shared" si="3"/>
        <v>0</v>
      </c>
    </row>
    <row r="42" ht="15.75" customHeight="1">
      <c r="F42" s="3" t="str">
        <f>IFERROR(VLOOKUP(A42, Prices!A:B, 2, FALSE), )</f>
        <v/>
      </c>
      <c r="G42" s="3">
        <f>IFERROR(VLOOKUP(A42, Dividends!$A:$B, 2, FALSE),
       IFERROR( (VLOOKUP(A42, Dividends!$A:$C, 3, FALSE) / VLOOKUP(A42, Prices!$A:$B, 2, FALSE)) * 100,
                Inputs!$B$4*100 ))</f>
        <v>65</v>
      </c>
      <c r="H42" s="3">
        <f>IFERROR(SUMIF(Purchases!B:B, A42, Purchases!D:D), 0)</f>
        <v>0</v>
      </c>
      <c r="I42" s="3">
        <f t="shared" si="1"/>
        <v>0</v>
      </c>
      <c r="J42" s="3">
        <f t="shared" si="2"/>
        <v>0</v>
      </c>
      <c r="K42" s="3">
        <f>IF(J42&gt;0,
        J42 * IF(G42&gt;0, G42/100,
            IFERROR( VLOOKUP(A42, Dividends!$A:$C, 3, FALSE) / VLOOKUP(A42, Prices!$A:$B, 2, FALSE), Inputs!$B$4)
        ) / 12,
        0)</f>
        <v>0</v>
      </c>
      <c r="L42" s="3">
        <f t="shared" si="3"/>
        <v>0</v>
      </c>
    </row>
    <row r="43" ht="15.75" customHeight="1">
      <c r="F43" s="3" t="str">
        <f>IFERROR(VLOOKUP(A43, Prices!A:B, 2, FALSE), )</f>
        <v/>
      </c>
      <c r="G43" s="3">
        <f>IFERROR(VLOOKUP(A43, Dividends!$A:$B, 2, FALSE),
       IFERROR( (VLOOKUP(A43, Dividends!$A:$C, 3, FALSE) / VLOOKUP(A43, Prices!$A:$B, 2, FALSE)) * 100,
                Inputs!$B$4*100 ))</f>
        <v>65</v>
      </c>
      <c r="H43" s="3">
        <f>IFERROR(SUMIF(Purchases!B:B, A43, Purchases!D:D), 0)</f>
        <v>0</v>
      </c>
      <c r="I43" s="3">
        <f t="shared" si="1"/>
        <v>0</v>
      </c>
      <c r="J43" s="3">
        <f t="shared" si="2"/>
        <v>0</v>
      </c>
      <c r="K43" s="3">
        <f>IF(J43&gt;0,
        J43 * IF(G43&gt;0, G43/100,
            IFERROR( VLOOKUP(A43, Dividends!$A:$C, 3, FALSE) / VLOOKUP(A43, Prices!$A:$B, 2, FALSE), Inputs!$B$4)
        ) / 12,
        0)</f>
        <v>0</v>
      </c>
      <c r="L43" s="3">
        <f t="shared" si="3"/>
        <v>0</v>
      </c>
    </row>
    <row r="44" ht="15.75" customHeight="1">
      <c r="F44" s="3" t="str">
        <f>IFERROR(VLOOKUP(A44, Prices!A:B, 2, FALSE), )</f>
        <v/>
      </c>
      <c r="G44" s="3">
        <f>IFERROR(VLOOKUP(A44, Dividends!$A:$B, 2, FALSE),
       IFERROR( (VLOOKUP(A44, Dividends!$A:$C, 3, FALSE) / VLOOKUP(A44, Prices!$A:$B, 2, FALSE)) * 100,
                Inputs!$B$4*100 ))</f>
        <v>65</v>
      </c>
      <c r="H44" s="3">
        <f>IFERROR(SUMIF(Purchases!B:B, A44, Purchases!D:D), 0)</f>
        <v>0</v>
      </c>
      <c r="I44" s="3">
        <f t="shared" si="1"/>
        <v>0</v>
      </c>
      <c r="J44" s="3">
        <f t="shared" si="2"/>
        <v>0</v>
      </c>
      <c r="K44" s="3">
        <f>IF(J44&gt;0,
        J44 * IF(G44&gt;0, G44/100,
            IFERROR( VLOOKUP(A44, Dividends!$A:$C, 3, FALSE) / VLOOKUP(A44, Prices!$A:$B, 2, FALSE), Inputs!$B$4)
        ) / 12,
        0)</f>
        <v>0</v>
      </c>
      <c r="L44" s="3">
        <f t="shared" si="3"/>
        <v>0</v>
      </c>
    </row>
    <row r="45" ht="15.75" customHeight="1">
      <c r="F45" s="3" t="str">
        <f>IFERROR(VLOOKUP(A45, Prices!A:B, 2, FALSE), )</f>
        <v/>
      </c>
      <c r="G45" s="3">
        <f>IFERROR(VLOOKUP(A45, Dividends!$A:$B, 2, FALSE),
       IFERROR( (VLOOKUP(A45, Dividends!$A:$C, 3, FALSE) / VLOOKUP(A45, Prices!$A:$B, 2, FALSE)) * 100,
                Inputs!$B$4*100 ))</f>
        <v>65</v>
      </c>
      <c r="H45" s="3">
        <f>IFERROR(SUMIF(Purchases!B:B, A45, Purchases!D:D), 0)</f>
        <v>0</v>
      </c>
      <c r="I45" s="3">
        <f t="shared" si="1"/>
        <v>0</v>
      </c>
      <c r="J45" s="3">
        <f t="shared" si="2"/>
        <v>0</v>
      </c>
      <c r="K45" s="3">
        <f>IF(J45&gt;0,
        J45 * IF(G45&gt;0, G45/100,
            IFERROR( VLOOKUP(A45, Dividends!$A:$C, 3, FALSE) / VLOOKUP(A45, Prices!$A:$B, 2, FALSE), Inputs!$B$4)
        ) / 12,
        0)</f>
        <v>0</v>
      </c>
      <c r="L45" s="3">
        <f t="shared" si="3"/>
        <v>0</v>
      </c>
    </row>
    <row r="46" ht="15.75" customHeight="1">
      <c r="F46" s="3" t="str">
        <f>IFERROR(VLOOKUP(A46, Prices!A:B, 2, FALSE), )</f>
        <v/>
      </c>
      <c r="G46" s="3">
        <f>IFERROR(VLOOKUP(A46, Dividends!$A:$B, 2, FALSE),
       IFERROR( (VLOOKUP(A46, Dividends!$A:$C, 3, FALSE) / VLOOKUP(A46, Prices!$A:$B, 2, FALSE)) * 100,
                Inputs!$B$4*100 ))</f>
        <v>65</v>
      </c>
      <c r="H46" s="3">
        <f>IFERROR(SUMIF(Purchases!B:B, A46, Purchases!D:D), 0)</f>
        <v>0</v>
      </c>
      <c r="I46" s="3">
        <f t="shared" si="1"/>
        <v>0</v>
      </c>
      <c r="J46" s="3">
        <f t="shared" si="2"/>
        <v>0</v>
      </c>
      <c r="K46" s="3">
        <f>IF(J46&gt;0,
        J46 * IF(G46&gt;0, G46/100,
            IFERROR( VLOOKUP(A46, Dividends!$A:$C, 3, FALSE) / VLOOKUP(A46, Prices!$A:$B, 2, FALSE), Inputs!$B$4)
        ) / 12,
        0)</f>
        <v>0</v>
      </c>
      <c r="L46" s="3">
        <f t="shared" si="3"/>
        <v>0</v>
      </c>
    </row>
    <row r="47" ht="15.75" customHeight="1">
      <c r="F47" s="3" t="str">
        <f>IFERROR(VLOOKUP(A47, Prices!A:B, 2, FALSE), )</f>
        <v/>
      </c>
      <c r="G47" s="3">
        <f>IFERROR(VLOOKUP(A47, Dividends!$A:$B, 2, FALSE),
       IFERROR( (VLOOKUP(A47, Dividends!$A:$C, 3, FALSE) / VLOOKUP(A47, Prices!$A:$B, 2, FALSE)) * 100,
                Inputs!$B$4*100 ))</f>
        <v>65</v>
      </c>
      <c r="H47" s="3">
        <f>IFERROR(SUMIF(Purchases!B:B, A47, Purchases!D:D), 0)</f>
        <v>0</v>
      </c>
      <c r="I47" s="3">
        <f t="shared" si="1"/>
        <v>0</v>
      </c>
      <c r="J47" s="3">
        <f t="shared" si="2"/>
        <v>0</v>
      </c>
      <c r="K47" s="3">
        <f>IF(J47&gt;0,
        J47 * IF(G47&gt;0, G47/100,
            IFERROR( VLOOKUP(A47, Dividends!$A:$C, 3, FALSE) / VLOOKUP(A47, Prices!$A:$B, 2, FALSE), Inputs!$B$4)
        ) / 12,
        0)</f>
        <v>0</v>
      </c>
      <c r="L47" s="3">
        <f t="shared" si="3"/>
        <v>0</v>
      </c>
    </row>
    <row r="48" ht="15.75" customHeight="1">
      <c r="F48" s="3" t="str">
        <f>IFERROR(VLOOKUP(A48, Prices!A:B, 2, FALSE), )</f>
        <v/>
      </c>
      <c r="G48" s="3">
        <f>IFERROR(VLOOKUP(A48, Dividends!$A:$B, 2, FALSE),
       IFERROR( (VLOOKUP(A48, Dividends!$A:$C, 3, FALSE) / VLOOKUP(A48, Prices!$A:$B, 2, FALSE)) * 100,
                Inputs!$B$4*100 ))</f>
        <v>65</v>
      </c>
      <c r="H48" s="3">
        <f>IFERROR(SUMIF(Purchases!B:B, A48, Purchases!D:D), 0)</f>
        <v>0</v>
      </c>
      <c r="I48" s="3">
        <f t="shared" si="1"/>
        <v>0</v>
      </c>
      <c r="J48" s="3">
        <f t="shared" si="2"/>
        <v>0</v>
      </c>
      <c r="K48" s="3">
        <f>IF(J48&gt;0,
        J48 * IF(G48&gt;0, G48/100,
            IFERROR( VLOOKUP(A48, Dividends!$A:$C, 3, FALSE) / VLOOKUP(A48, Prices!$A:$B, 2, FALSE), Inputs!$B$4)
        ) / 12,
        0)</f>
        <v>0</v>
      </c>
      <c r="L48" s="3">
        <f t="shared" si="3"/>
        <v>0</v>
      </c>
    </row>
    <row r="49" ht="15.75" customHeight="1">
      <c r="F49" s="3" t="str">
        <f>IFERROR(VLOOKUP(A49, Prices!A:B, 2, FALSE), )</f>
        <v/>
      </c>
      <c r="G49" s="3">
        <f>IFERROR(VLOOKUP(A49, Dividends!$A:$B, 2, FALSE),
       IFERROR( (VLOOKUP(A49, Dividends!$A:$C, 3, FALSE) / VLOOKUP(A49, Prices!$A:$B, 2, FALSE)) * 100,
                Inputs!$B$4*100 ))</f>
        <v>65</v>
      </c>
      <c r="H49" s="3">
        <f>IFERROR(SUMIF(Purchases!B:B, A49, Purchases!D:D), 0)</f>
        <v>0</v>
      </c>
      <c r="I49" s="3">
        <f t="shared" si="1"/>
        <v>0</v>
      </c>
      <c r="J49" s="3">
        <f t="shared" si="2"/>
        <v>0</v>
      </c>
      <c r="K49" s="3">
        <f>IF(J49&gt;0,
        J49 * IF(G49&gt;0, G49/100,
            IFERROR( VLOOKUP(A49, Dividends!$A:$C, 3, FALSE) / VLOOKUP(A49, Prices!$A:$B, 2, FALSE), Inputs!$B$4)
        ) / 12,
        0)</f>
        <v>0</v>
      </c>
      <c r="L49" s="3">
        <f t="shared" si="3"/>
        <v>0</v>
      </c>
    </row>
    <row r="50" ht="15.75" customHeight="1">
      <c r="F50" s="3" t="str">
        <f>IFERROR(VLOOKUP(A50, Prices!A:B, 2, FALSE), )</f>
        <v/>
      </c>
      <c r="G50" s="3">
        <f>IFERROR(VLOOKUP(A50, Dividends!$A:$B, 2, FALSE),
       IFERROR( (VLOOKUP(A50, Dividends!$A:$C, 3, FALSE) / VLOOKUP(A50, Prices!$A:$B, 2, FALSE)) * 100,
                Inputs!$B$4*100 ))</f>
        <v>65</v>
      </c>
      <c r="H50" s="3">
        <f>IFERROR(SUMIF(Purchases!B:B, A50, Purchases!D:D), 0)</f>
        <v>0</v>
      </c>
      <c r="I50" s="3">
        <f t="shared" si="1"/>
        <v>0</v>
      </c>
      <c r="J50" s="3">
        <f t="shared" si="2"/>
        <v>0</v>
      </c>
      <c r="K50" s="3">
        <f>IF(J50&gt;0,
        J50 * IF(G50&gt;0, G50/100,
            IFERROR( VLOOKUP(A50, Dividends!$A:$C, 3, FALSE) / VLOOKUP(A50, Prices!$A:$B, 2, FALSE), Inputs!$B$4)
        ) / 12,
        0)</f>
        <v>0</v>
      </c>
      <c r="L50" s="3">
        <f t="shared" si="3"/>
        <v>0</v>
      </c>
    </row>
    <row r="51" ht="15.75" customHeight="1">
      <c r="F51" s="3" t="str">
        <f>IFERROR(VLOOKUP(A51, Prices!A:B, 2, FALSE), )</f>
        <v/>
      </c>
      <c r="G51" s="3">
        <f>IFERROR(VLOOKUP(A51, Dividends!$A:$B, 2, FALSE),
       IFERROR( (VLOOKUP(A51, Dividends!$A:$C, 3, FALSE) / VLOOKUP(A51, Prices!$A:$B, 2, FALSE)) * 100,
                Inputs!$B$4*100 ))</f>
        <v>65</v>
      </c>
      <c r="H51" s="3">
        <f>IFERROR(SUMIF(Purchases!B:B, A51, Purchases!D:D), 0)</f>
        <v>0</v>
      </c>
      <c r="I51" s="3">
        <f t="shared" si="1"/>
        <v>0</v>
      </c>
      <c r="J51" s="3">
        <f t="shared" si="2"/>
        <v>0</v>
      </c>
      <c r="K51" s="3">
        <f>IF(J51&gt;0,
        J51 * IF(G51&gt;0, G51/100,
            IFERROR( VLOOKUP(A51, Dividends!$A:$C, 3, FALSE) / VLOOKUP(A51, Prices!$A:$B, 2, FALSE), Inputs!$B$4)
        ) / 12,
        0)</f>
        <v>0</v>
      </c>
      <c r="L51" s="3">
        <f t="shared" si="3"/>
        <v>0</v>
      </c>
    </row>
    <row r="52" ht="15.75" customHeight="1">
      <c r="F52" s="3" t="str">
        <f>IFERROR(VLOOKUP(A52, Prices!A:B, 2, FALSE), )</f>
        <v/>
      </c>
      <c r="G52" s="3">
        <f>IFERROR(VLOOKUP(A52, Dividends!$A:$B, 2, FALSE),
       IFERROR( (VLOOKUP(A52, Dividends!$A:$C, 3, FALSE) / VLOOKUP(A52, Prices!$A:$B, 2, FALSE)) * 100,
                Inputs!$B$4*100 ))</f>
        <v>65</v>
      </c>
      <c r="H52" s="3">
        <f>IFERROR(SUMIF(Purchases!B:B, A52, Purchases!D:D), 0)</f>
        <v>0</v>
      </c>
      <c r="I52" s="3">
        <f t="shared" si="1"/>
        <v>0</v>
      </c>
      <c r="J52" s="3">
        <f t="shared" si="2"/>
        <v>0</v>
      </c>
      <c r="K52" s="3">
        <f>IF(J52&gt;0,
        J52 * IF(G52&gt;0, G52/100,
            IFERROR( VLOOKUP(A52, Dividends!$A:$C, 3, FALSE) / VLOOKUP(A52, Prices!$A:$B, 2, FALSE), Inputs!$B$4)
        ) / 12,
        0)</f>
        <v>0</v>
      </c>
      <c r="L52" s="3">
        <f t="shared" si="3"/>
        <v>0</v>
      </c>
    </row>
    <row r="53" ht="15.75" customHeight="1">
      <c r="F53" s="3" t="str">
        <f>IFERROR(VLOOKUP(A53, Prices!A:B, 2, FALSE), )</f>
        <v/>
      </c>
      <c r="G53" s="3">
        <f>IFERROR(VLOOKUP(A53, Dividends!$A:$B, 2, FALSE),
       IFERROR( (VLOOKUP(A53, Dividends!$A:$C, 3, FALSE) / VLOOKUP(A53, Prices!$A:$B, 2, FALSE)) * 100,
                Inputs!$B$4*100 ))</f>
        <v>65</v>
      </c>
      <c r="H53" s="3">
        <f>IFERROR(SUMIF(Purchases!B:B, A53, Purchases!D:D), 0)</f>
        <v>0</v>
      </c>
      <c r="I53" s="3">
        <f t="shared" si="1"/>
        <v>0</v>
      </c>
      <c r="J53" s="3">
        <f t="shared" si="2"/>
        <v>0</v>
      </c>
      <c r="K53" s="3">
        <f>IF(J53&gt;0,
        J53 * IF(G53&gt;0, G53/100,
            IFERROR( VLOOKUP(A53, Dividends!$A:$C, 3, FALSE) / VLOOKUP(A53, Prices!$A:$B, 2, FALSE), Inputs!$B$4)
        ) / 12,
        0)</f>
        <v>0</v>
      </c>
      <c r="L53" s="3">
        <f t="shared" si="3"/>
        <v>0</v>
      </c>
    </row>
    <row r="54" ht="15.75" customHeight="1">
      <c r="F54" s="3" t="str">
        <f>IFERROR(VLOOKUP(A54, Prices!A:B, 2, FALSE), )</f>
        <v/>
      </c>
      <c r="G54" s="3">
        <f>IFERROR(VLOOKUP(A54, Dividends!$A:$B, 2, FALSE),
       IFERROR( (VLOOKUP(A54, Dividends!$A:$C, 3, FALSE) / VLOOKUP(A54, Prices!$A:$B, 2, FALSE)) * 100,
                Inputs!$B$4*100 ))</f>
        <v>65</v>
      </c>
      <c r="H54" s="3">
        <f>IFERROR(SUMIF(Purchases!B:B, A54, Purchases!D:D), 0)</f>
        <v>0</v>
      </c>
      <c r="I54" s="3">
        <f t="shared" si="1"/>
        <v>0</v>
      </c>
      <c r="J54" s="3">
        <f t="shared" si="2"/>
        <v>0</v>
      </c>
      <c r="K54" s="3">
        <f>IF(J54&gt;0,
        J54 * IF(G54&gt;0, G54/100,
            IFERROR( VLOOKUP(A54, Dividends!$A:$C, 3, FALSE) / VLOOKUP(A54, Prices!$A:$B, 2, FALSE), Inputs!$B$4)
        ) / 12,
        0)</f>
        <v>0</v>
      </c>
      <c r="L54" s="3">
        <f t="shared" si="3"/>
        <v>0</v>
      </c>
    </row>
    <row r="55" ht="15.75" customHeight="1">
      <c r="F55" s="3" t="str">
        <f>IFERROR(VLOOKUP(A55, Prices!A:B, 2, FALSE), )</f>
        <v/>
      </c>
      <c r="G55" s="3">
        <f>IFERROR(VLOOKUP(A55, Dividends!$A:$B, 2, FALSE),
       IFERROR( (VLOOKUP(A55, Dividends!$A:$C, 3, FALSE) / VLOOKUP(A55, Prices!$A:$B, 2, FALSE)) * 100,
                Inputs!$B$4*100 ))</f>
        <v>65</v>
      </c>
      <c r="H55" s="3">
        <f>IFERROR(SUMIF(Purchases!B:B, A55, Purchases!D:D), 0)</f>
        <v>0</v>
      </c>
      <c r="I55" s="3">
        <f t="shared" si="1"/>
        <v>0</v>
      </c>
      <c r="J55" s="3">
        <f t="shared" si="2"/>
        <v>0</v>
      </c>
      <c r="K55" s="3">
        <f>IF(J55&gt;0,
        J55 * IF(G55&gt;0, G55/100,
            IFERROR( VLOOKUP(A55, Dividends!$A:$C, 3, FALSE) / VLOOKUP(A55, Prices!$A:$B, 2, FALSE), Inputs!$B$4)
        ) / 12,
        0)</f>
        <v>0</v>
      </c>
      <c r="L55" s="3">
        <f t="shared" si="3"/>
        <v>0</v>
      </c>
    </row>
    <row r="56" ht="15.75" customHeight="1">
      <c r="F56" s="3" t="str">
        <f>IFERROR(VLOOKUP(A56, Prices!A:B, 2, FALSE), )</f>
        <v/>
      </c>
      <c r="G56" s="3">
        <f>IFERROR(VLOOKUP(A56, Dividends!$A:$B, 2, FALSE),
       IFERROR( (VLOOKUP(A56, Dividends!$A:$C, 3, FALSE) / VLOOKUP(A56, Prices!$A:$B, 2, FALSE)) * 100,
                Inputs!$B$4*100 ))</f>
        <v>65</v>
      </c>
      <c r="H56" s="3">
        <f>IFERROR(SUMIF(Purchases!B:B, A56, Purchases!D:D), 0)</f>
        <v>0</v>
      </c>
      <c r="I56" s="3">
        <f t="shared" si="1"/>
        <v>0</v>
      </c>
      <c r="J56" s="3">
        <f t="shared" si="2"/>
        <v>0</v>
      </c>
      <c r="K56" s="3">
        <f>IF(J56&gt;0,
        J56 * IF(G56&gt;0, G56/100,
            IFERROR( VLOOKUP(A56, Dividends!$A:$C, 3, FALSE) / VLOOKUP(A56, Prices!$A:$B, 2, FALSE), Inputs!$B$4)
        ) / 12,
        0)</f>
        <v>0</v>
      </c>
      <c r="L56" s="3">
        <f t="shared" si="3"/>
        <v>0</v>
      </c>
    </row>
    <row r="57" ht="15.75" customHeight="1">
      <c r="F57" s="3" t="str">
        <f>IFERROR(VLOOKUP(A57, Prices!A:B, 2, FALSE), )</f>
        <v/>
      </c>
      <c r="G57" s="3">
        <f>IFERROR(VLOOKUP(A57, Dividends!$A:$B, 2, FALSE),
       IFERROR( (VLOOKUP(A57, Dividends!$A:$C, 3, FALSE) / VLOOKUP(A57, Prices!$A:$B, 2, FALSE)) * 100,
                Inputs!$B$4*100 ))</f>
        <v>65</v>
      </c>
      <c r="H57" s="3">
        <f>IFERROR(SUMIF(Purchases!B:B, A57, Purchases!D:D), 0)</f>
        <v>0</v>
      </c>
      <c r="I57" s="3">
        <f t="shared" si="1"/>
        <v>0</v>
      </c>
      <c r="J57" s="3">
        <f t="shared" si="2"/>
        <v>0</v>
      </c>
      <c r="K57" s="3">
        <f>IF(J57&gt;0,
        J57 * IF(G57&gt;0, G57/100,
            IFERROR( VLOOKUP(A57, Dividends!$A:$C, 3, FALSE) / VLOOKUP(A57, Prices!$A:$B, 2, FALSE), Inputs!$B$4)
        ) / 12,
        0)</f>
        <v>0</v>
      </c>
      <c r="L57" s="3">
        <f t="shared" si="3"/>
        <v>0</v>
      </c>
    </row>
    <row r="58" ht="15.75" customHeight="1">
      <c r="F58" s="3" t="str">
        <f>IFERROR(VLOOKUP(A58, Prices!A:B, 2, FALSE), )</f>
        <v/>
      </c>
      <c r="G58" s="3">
        <f>IFERROR(VLOOKUP(A58, Dividends!$A:$B, 2, FALSE),
       IFERROR( (VLOOKUP(A58, Dividends!$A:$C, 3, FALSE) / VLOOKUP(A58, Prices!$A:$B, 2, FALSE)) * 100,
                Inputs!$B$4*100 ))</f>
        <v>65</v>
      </c>
      <c r="H58" s="3">
        <f>IFERROR(SUMIF(Purchases!B:B, A58, Purchases!D:D), 0)</f>
        <v>0</v>
      </c>
      <c r="I58" s="3">
        <f t="shared" si="1"/>
        <v>0</v>
      </c>
      <c r="J58" s="3">
        <f t="shared" si="2"/>
        <v>0</v>
      </c>
      <c r="K58" s="3">
        <f>IF(J58&gt;0,
        J58 * IF(G58&gt;0, G58/100,
            IFERROR( VLOOKUP(A58, Dividends!$A:$C, 3, FALSE) / VLOOKUP(A58, Prices!$A:$B, 2, FALSE), Inputs!$B$4)
        ) / 12,
        0)</f>
        <v>0</v>
      </c>
      <c r="L58" s="3">
        <f t="shared" si="3"/>
        <v>0</v>
      </c>
    </row>
    <row r="59" ht="15.75" customHeight="1">
      <c r="F59" s="3" t="str">
        <f>IFERROR(VLOOKUP(A59, Prices!A:B, 2, FALSE), )</f>
        <v/>
      </c>
      <c r="G59" s="3">
        <f>IFERROR(VLOOKUP(A59, Dividends!$A:$B, 2, FALSE),
       IFERROR( (VLOOKUP(A59, Dividends!$A:$C, 3, FALSE) / VLOOKUP(A59, Prices!$A:$B, 2, FALSE)) * 100,
                Inputs!$B$4*100 ))</f>
        <v>65</v>
      </c>
      <c r="H59" s="3">
        <f>IFERROR(SUMIF(Purchases!B:B, A59, Purchases!D:D), 0)</f>
        <v>0</v>
      </c>
      <c r="I59" s="3">
        <f t="shared" si="1"/>
        <v>0</v>
      </c>
      <c r="J59" s="3">
        <f t="shared" si="2"/>
        <v>0</v>
      </c>
      <c r="K59" s="3">
        <f>IF(J59&gt;0,
        J59 * IF(G59&gt;0, G59/100,
            IFERROR( VLOOKUP(A59, Dividends!$A:$C, 3, FALSE) / VLOOKUP(A59, Prices!$A:$B, 2, FALSE), Inputs!$B$4)
        ) / 12,
        0)</f>
        <v>0</v>
      </c>
      <c r="L59" s="3">
        <f t="shared" si="3"/>
        <v>0</v>
      </c>
    </row>
    <row r="60" ht="15.75" customHeight="1">
      <c r="F60" s="3" t="str">
        <f>IFERROR(VLOOKUP(A60, Prices!A:B, 2, FALSE), )</f>
        <v/>
      </c>
      <c r="G60" s="3">
        <f>IFERROR(VLOOKUP(A60, Dividends!$A:$B, 2, FALSE),
       IFERROR( (VLOOKUP(A60, Dividends!$A:$C, 3, FALSE) / VLOOKUP(A60, Prices!$A:$B, 2, FALSE)) * 100,
                Inputs!$B$4*100 ))</f>
        <v>65</v>
      </c>
      <c r="H60" s="3">
        <f>IFERROR(SUMIF(Purchases!B:B, A60, Purchases!D:D), 0)</f>
        <v>0</v>
      </c>
      <c r="I60" s="3">
        <f t="shared" si="1"/>
        <v>0</v>
      </c>
      <c r="J60" s="3">
        <f t="shared" si="2"/>
        <v>0</v>
      </c>
      <c r="K60" s="3">
        <f>IF(J60&gt;0,
        J60 * IF(G60&gt;0, G60/100,
            IFERROR( VLOOKUP(A60, Dividends!$A:$C, 3, FALSE) / VLOOKUP(A60, Prices!$A:$B, 2, FALSE), Inputs!$B$4)
        ) / 12,
        0)</f>
        <v>0</v>
      </c>
      <c r="L60" s="3">
        <f t="shared" si="3"/>
        <v>0</v>
      </c>
    </row>
    <row r="61" ht="15.75" customHeight="1">
      <c r="F61" s="3" t="str">
        <f>IFERROR(VLOOKUP(A61, Prices!A:B, 2, FALSE), )</f>
        <v/>
      </c>
      <c r="G61" s="3">
        <f>IFERROR(VLOOKUP(A61, Dividends!$A:$B, 2, FALSE),
       IFERROR( (VLOOKUP(A61, Dividends!$A:$C, 3, FALSE) / VLOOKUP(A61, Prices!$A:$B, 2, FALSE)) * 100,
                Inputs!$B$4*100 ))</f>
        <v>65</v>
      </c>
      <c r="H61" s="3">
        <f>IFERROR(SUMIF(Purchases!B:B, A61, Purchases!D:D), 0)</f>
        <v>0</v>
      </c>
      <c r="I61" s="3">
        <f t="shared" si="1"/>
        <v>0</v>
      </c>
      <c r="J61" s="3">
        <f t="shared" si="2"/>
        <v>0</v>
      </c>
      <c r="K61" s="3">
        <f>IF(J61&gt;0,
        J61 * IF(G61&gt;0, G61/100,
            IFERROR( VLOOKUP(A61, Dividends!$A:$C, 3, FALSE) / VLOOKUP(A61, Prices!$A:$B, 2, FALSE), Inputs!$B$4)
        ) / 12,
        0)</f>
        <v>0</v>
      </c>
      <c r="L61" s="3">
        <f t="shared" si="3"/>
        <v>0</v>
      </c>
    </row>
    <row r="62" ht="15.75" customHeight="1">
      <c r="F62" s="3" t="str">
        <f>IFERROR(VLOOKUP(A62, Prices!A:B, 2, FALSE), )</f>
        <v/>
      </c>
      <c r="G62" s="3">
        <f>IFERROR(VLOOKUP(A62, Dividends!$A:$B, 2, FALSE),
       IFERROR( (VLOOKUP(A62, Dividends!$A:$C, 3, FALSE) / VLOOKUP(A62, Prices!$A:$B, 2, FALSE)) * 100,
                Inputs!$B$4*100 ))</f>
        <v>65</v>
      </c>
      <c r="H62" s="3">
        <f>IFERROR(SUMIF(Purchases!B:B, A62, Purchases!D:D), 0)</f>
        <v>0</v>
      </c>
      <c r="I62" s="3">
        <f t="shared" si="1"/>
        <v>0</v>
      </c>
      <c r="J62" s="3">
        <f t="shared" si="2"/>
        <v>0</v>
      </c>
      <c r="K62" s="3">
        <f>IF(J62&gt;0,
        J62 * IF(G62&gt;0, G62/100,
            IFERROR( VLOOKUP(A62, Dividends!$A:$C, 3, FALSE) / VLOOKUP(A62, Prices!$A:$B, 2, FALSE), Inputs!$B$4)
        ) / 12,
        0)</f>
        <v>0</v>
      </c>
      <c r="L62" s="3">
        <f t="shared" si="3"/>
        <v>0</v>
      </c>
    </row>
    <row r="63" ht="15.75" customHeight="1">
      <c r="F63" s="3" t="str">
        <f>IFERROR(VLOOKUP(A63, Prices!A:B, 2, FALSE), )</f>
        <v/>
      </c>
      <c r="G63" s="3">
        <f>IFERROR(VLOOKUP(A63, Dividends!$A:$B, 2, FALSE),
       IFERROR( (VLOOKUP(A63, Dividends!$A:$C, 3, FALSE) / VLOOKUP(A63, Prices!$A:$B, 2, FALSE)) * 100,
                Inputs!$B$4*100 ))</f>
        <v>65</v>
      </c>
      <c r="H63" s="3">
        <f>IFERROR(SUMIF(Purchases!B:B, A63, Purchases!D:D), 0)</f>
        <v>0</v>
      </c>
      <c r="I63" s="3">
        <f t="shared" si="1"/>
        <v>0</v>
      </c>
      <c r="J63" s="3">
        <f t="shared" si="2"/>
        <v>0</v>
      </c>
      <c r="K63" s="3">
        <f>IF(J63&gt;0,
        J63 * IF(G63&gt;0, G63/100,
            IFERROR( VLOOKUP(A63, Dividends!$A:$C, 3, FALSE) / VLOOKUP(A63, Prices!$A:$B, 2, FALSE), Inputs!$B$4)
        ) / 12,
        0)</f>
        <v>0</v>
      </c>
      <c r="L63" s="3">
        <f t="shared" si="3"/>
        <v>0</v>
      </c>
    </row>
    <row r="64" ht="15.75" customHeight="1">
      <c r="F64" s="3" t="str">
        <f>IFERROR(VLOOKUP(A64, Prices!A:B, 2, FALSE), )</f>
        <v/>
      </c>
      <c r="G64" s="3">
        <f>IFERROR(VLOOKUP(A64, Dividends!$A:$B, 2, FALSE),
       IFERROR( (VLOOKUP(A64, Dividends!$A:$C, 3, FALSE) / VLOOKUP(A64, Prices!$A:$B, 2, FALSE)) * 100,
                Inputs!$B$4*100 ))</f>
        <v>65</v>
      </c>
      <c r="H64" s="3">
        <f>IFERROR(SUMIF(Purchases!B:B, A64, Purchases!D:D), 0)</f>
        <v>0</v>
      </c>
      <c r="I64" s="3">
        <f t="shared" si="1"/>
        <v>0</v>
      </c>
      <c r="J64" s="3">
        <f t="shared" si="2"/>
        <v>0</v>
      </c>
      <c r="K64" s="3">
        <f>IF(J64&gt;0,
        J64 * IF(G64&gt;0, G64/100,
            IFERROR( VLOOKUP(A64, Dividends!$A:$C, 3, FALSE) / VLOOKUP(A64, Prices!$A:$B, 2, FALSE), Inputs!$B$4)
        ) / 12,
        0)</f>
        <v>0</v>
      </c>
      <c r="L64" s="3">
        <f t="shared" si="3"/>
        <v>0</v>
      </c>
    </row>
    <row r="65" ht="15.75" customHeight="1">
      <c r="F65" s="3" t="str">
        <f>IFERROR(VLOOKUP(A65, Prices!A:B, 2, FALSE), )</f>
        <v/>
      </c>
      <c r="G65" s="3">
        <f>IFERROR(VLOOKUP(A65, Dividends!$A:$B, 2, FALSE),
       IFERROR( (VLOOKUP(A65, Dividends!$A:$C, 3, FALSE) / VLOOKUP(A65, Prices!$A:$B, 2, FALSE)) * 100,
                Inputs!$B$4*100 ))</f>
        <v>65</v>
      </c>
      <c r="H65" s="3">
        <f>IFERROR(SUMIF(Purchases!B:B, A65, Purchases!D:D), 0)</f>
        <v>0</v>
      </c>
      <c r="I65" s="3">
        <f t="shared" si="1"/>
        <v>0</v>
      </c>
      <c r="J65" s="3">
        <f t="shared" si="2"/>
        <v>0</v>
      </c>
      <c r="K65" s="3">
        <f>IF(J65&gt;0,
        J65 * IF(G65&gt;0, G65/100,
            IFERROR( VLOOKUP(A65, Dividends!$A:$C, 3, FALSE) / VLOOKUP(A65, Prices!$A:$B, 2, FALSE), Inputs!$B$4)
        ) / 12,
        0)</f>
        <v>0</v>
      </c>
      <c r="L65" s="3">
        <f t="shared" si="3"/>
        <v>0</v>
      </c>
    </row>
    <row r="66" ht="15.75" customHeight="1">
      <c r="F66" s="3" t="str">
        <f>IFERROR(VLOOKUP(A66, Prices!A:B, 2, FALSE), )</f>
        <v/>
      </c>
      <c r="G66" s="3">
        <f>IFERROR(VLOOKUP(A66, Dividends!$A:$B, 2, FALSE),
       IFERROR( (VLOOKUP(A66, Dividends!$A:$C, 3, FALSE) / VLOOKUP(A66, Prices!$A:$B, 2, FALSE)) * 100,
                Inputs!$B$4*100 ))</f>
        <v>65</v>
      </c>
      <c r="H66" s="3">
        <f>IFERROR(SUMIF(Purchases!B:B, A66, Purchases!D:D), 0)</f>
        <v>0</v>
      </c>
      <c r="I66" s="3">
        <f t="shared" si="1"/>
        <v>0</v>
      </c>
      <c r="J66" s="3">
        <f t="shared" si="2"/>
        <v>0</v>
      </c>
      <c r="K66" s="3">
        <f>IF(J66&gt;0,
        J66 * IF(G66&gt;0, G66/100,
            IFERROR( VLOOKUP(A66, Dividends!$A:$C, 3, FALSE) / VLOOKUP(A66, Prices!$A:$B, 2, FALSE), Inputs!$B$4)
        ) / 12,
        0)</f>
        <v>0</v>
      </c>
      <c r="L66" s="3">
        <f t="shared" si="3"/>
        <v>0</v>
      </c>
    </row>
    <row r="67" ht="15.75" customHeight="1">
      <c r="F67" s="3" t="str">
        <f>IFERROR(VLOOKUP(A67, Prices!A:B, 2, FALSE), )</f>
        <v/>
      </c>
      <c r="G67" s="3">
        <f>IFERROR(VLOOKUP(A67, Dividends!$A:$B, 2, FALSE),
       IFERROR( (VLOOKUP(A67, Dividends!$A:$C, 3, FALSE) / VLOOKUP(A67, Prices!$A:$B, 2, FALSE)) * 100,
                Inputs!$B$4*100 ))</f>
        <v>65</v>
      </c>
      <c r="H67" s="3">
        <f>IFERROR(SUMIF(Purchases!B:B, A67, Purchases!D:D), 0)</f>
        <v>0</v>
      </c>
      <c r="I67" s="3">
        <f t="shared" si="1"/>
        <v>0</v>
      </c>
      <c r="J67" s="3">
        <f t="shared" si="2"/>
        <v>0</v>
      </c>
      <c r="K67" s="3">
        <f>IF(J67&gt;0,
        J67 * IF(G67&gt;0, G67/100,
            IFERROR( VLOOKUP(A67, Dividends!$A:$C, 3, FALSE) / VLOOKUP(A67, Prices!$A:$B, 2, FALSE), Inputs!$B$4)
        ) / 12,
        0)</f>
        <v>0</v>
      </c>
      <c r="L67" s="3">
        <f t="shared" si="3"/>
        <v>0</v>
      </c>
    </row>
    <row r="68" ht="15.75" customHeight="1">
      <c r="F68" s="3" t="str">
        <f>IFERROR(VLOOKUP(A68, Prices!A:B, 2, FALSE), )</f>
        <v/>
      </c>
      <c r="G68" s="3">
        <f>IFERROR(VLOOKUP(A68, Dividends!$A:$B, 2, FALSE),
       IFERROR( (VLOOKUP(A68, Dividends!$A:$C, 3, FALSE) / VLOOKUP(A68, Prices!$A:$B, 2, FALSE)) * 100,
                Inputs!$B$4*100 ))</f>
        <v>65</v>
      </c>
      <c r="H68" s="3">
        <f>IFERROR(SUMIF(Purchases!B:B, A68, Purchases!D:D), 0)</f>
        <v>0</v>
      </c>
      <c r="I68" s="3">
        <f t="shared" si="1"/>
        <v>0</v>
      </c>
      <c r="J68" s="3">
        <f t="shared" si="2"/>
        <v>0</v>
      </c>
      <c r="K68" s="3">
        <f>IF(J68&gt;0,
        J68 * IF(G68&gt;0, G68/100,
            IFERROR( VLOOKUP(A68, Dividends!$A:$C, 3, FALSE) / VLOOKUP(A68, Prices!$A:$B, 2, FALSE), Inputs!$B$4)
        ) / 12,
        0)</f>
        <v>0</v>
      </c>
      <c r="L68" s="3">
        <f t="shared" si="3"/>
        <v>0</v>
      </c>
    </row>
    <row r="69" ht="15.75" customHeight="1">
      <c r="F69" s="3" t="str">
        <f>IFERROR(VLOOKUP(A69, Prices!A:B, 2, FALSE), )</f>
        <v/>
      </c>
      <c r="G69" s="3">
        <f>IFERROR(VLOOKUP(A69, Dividends!$A:$B, 2, FALSE),
       IFERROR( (VLOOKUP(A69, Dividends!$A:$C, 3, FALSE) / VLOOKUP(A69, Prices!$A:$B, 2, FALSE)) * 100,
                Inputs!$B$4*100 ))</f>
        <v>65</v>
      </c>
      <c r="H69" s="3">
        <f>IFERROR(SUMIF(Purchases!B:B, A69, Purchases!D:D), 0)</f>
        <v>0</v>
      </c>
      <c r="I69" s="3">
        <f t="shared" si="1"/>
        <v>0</v>
      </c>
      <c r="J69" s="3">
        <f t="shared" si="2"/>
        <v>0</v>
      </c>
      <c r="K69" s="3">
        <f>IF(J69&gt;0,
        J69 * IF(G69&gt;0, G69/100,
            IFERROR( VLOOKUP(A69, Dividends!$A:$C, 3, FALSE) / VLOOKUP(A69, Prices!$A:$B, 2, FALSE), Inputs!$B$4)
        ) / 12,
        0)</f>
        <v>0</v>
      </c>
      <c r="L69" s="3">
        <f t="shared" si="3"/>
        <v>0</v>
      </c>
    </row>
    <row r="70" ht="15.75" customHeight="1">
      <c r="F70" s="3" t="str">
        <f>IFERROR(VLOOKUP(A70, Prices!A:B, 2, FALSE), )</f>
        <v/>
      </c>
      <c r="G70" s="3">
        <f>IFERROR(VLOOKUP(A70, Dividends!$A:$B, 2, FALSE),
       IFERROR( (VLOOKUP(A70, Dividends!$A:$C, 3, FALSE) / VLOOKUP(A70, Prices!$A:$B, 2, FALSE)) * 100,
                Inputs!$B$4*100 ))</f>
        <v>65</v>
      </c>
      <c r="H70" s="3">
        <f>IFERROR(SUMIF(Purchases!B:B, A70, Purchases!D:D), 0)</f>
        <v>0</v>
      </c>
      <c r="I70" s="3">
        <f t="shared" si="1"/>
        <v>0</v>
      </c>
      <c r="J70" s="3">
        <f t="shared" si="2"/>
        <v>0</v>
      </c>
      <c r="K70" s="3">
        <f>IF(J70&gt;0,
        J70 * IF(G70&gt;0, G70/100,
            IFERROR( VLOOKUP(A70, Dividends!$A:$C, 3, FALSE) / VLOOKUP(A70, Prices!$A:$B, 2, FALSE), Inputs!$B$4)
        ) / 12,
        0)</f>
        <v>0</v>
      </c>
      <c r="L70" s="3">
        <f t="shared" si="3"/>
        <v>0</v>
      </c>
    </row>
    <row r="71" ht="15.75" customHeight="1">
      <c r="F71" s="3" t="str">
        <f>IFERROR(VLOOKUP(A71, Prices!A:B, 2, FALSE), )</f>
        <v/>
      </c>
      <c r="G71" s="3">
        <f>IFERROR(VLOOKUP(A71, Dividends!$A:$B, 2, FALSE),
       IFERROR( (VLOOKUP(A71, Dividends!$A:$C, 3, FALSE) / VLOOKUP(A71, Prices!$A:$B, 2, FALSE)) * 100,
                Inputs!$B$4*100 ))</f>
        <v>65</v>
      </c>
      <c r="H71" s="3">
        <f>IFERROR(SUMIF(Purchases!B:B, A71, Purchases!D:D), 0)</f>
        <v>0</v>
      </c>
      <c r="I71" s="3">
        <f t="shared" si="1"/>
        <v>0</v>
      </c>
      <c r="J71" s="3">
        <f t="shared" si="2"/>
        <v>0</v>
      </c>
      <c r="K71" s="3">
        <f>IF(J71&gt;0,
        J71 * IF(G71&gt;0, G71/100,
            IFERROR( VLOOKUP(A71, Dividends!$A:$C, 3, FALSE) / VLOOKUP(A71, Prices!$A:$B, 2, FALSE), Inputs!$B$4)
        ) / 12,
        0)</f>
        <v>0</v>
      </c>
      <c r="L71" s="3">
        <f t="shared" si="3"/>
        <v>0</v>
      </c>
    </row>
    <row r="72" ht="15.75" customHeight="1">
      <c r="F72" s="3" t="str">
        <f>IFERROR(VLOOKUP(A72, Prices!A:B, 2, FALSE), )</f>
        <v/>
      </c>
      <c r="G72" s="3">
        <f>IFERROR(VLOOKUP(A72, Dividends!$A:$B, 2, FALSE),
       IFERROR( (VLOOKUP(A72, Dividends!$A:$C, 3, FALSE) / VLOOKUP(A72, Prices!$A:$B, 2, FALSE)) * 100,
                Inputs!$B$4*100 ))</f>
        <v>65</v>
      </c>
      <c r="H72" s="3">
        <f>IFERROR(SUMIF(Purchases!B:B, A72, Purchases!D:D), 0)</f>
        <v>0</v>
      </c>
      <c r="I72" s="3">
        <f t="shared" si="1"/>
        <v>0</v>
      </c>
      <c r="J72" s="3">
        <f t="shared" si="2"/>
        <v>0</v>
      </c>
      <c r="K72" s="3">
        <f>IF(J72&gt;0,
        J72 * IF(G72&gt;0, G72/100,
            IFERROR( VLOOKUP(A72, Dividends!$A:$C, 3, FALSE) / VLOOKUP(A72, Prices!$A:$B, 2, FALSE), Inputs!$B$4)
        ) / 12,
        0)</f>
        <v>0</v>
      </c>
      <c r="L72" s="3">
        <f t="shared" si="3"/>
        <v>0</v>
      </c>
    </row>
    <row r="73" ht="15.75" customHeight="1">
      <c r="F73" s="3" t="str">
        <f>IFERROR(VLOOKUP(A73, Prices!A:B, 2, FALSE), )</f>
        <v/>
      </c>
      <c r="G73" s="3">
        <f>IFERROR(VLOOKUP(A73, Dividends!$A:$B, 2, FALSE),
       IFERROR( (VLOOKUP(A73, Dividends!$A:$C, 3, FALSE) / VLOOKUP(A73, Prices!$A:$B, 2, FALSE)) * 100,
                Inputs!$B$4*100 ))</f>
        <v>65</v>
      </c>
      <c r="H73" s="3">
        <f>IFERROR(SUMIF(Purchases!B:B, A73, Purchases!D:D), 0)</f>
        <v>0</v>
      </c>
      <c r="I73" s="3">
        <f t="shared" si="1"/>
        <v>0</v>
      </c>
      <c r="J73" s="3">
        <f t="shared" si="2"/>
        <v>0</v>
      </c>
      <c r="K73" s="3">
        <f>IF(J73&gt;0,
        J73 * IF(G73&gt;0, G73/100,
            IFERROR( VLOOKUP(A73, Dividends!$A:$C, 3, FALSE) / VLOOKUP(A73, Prices!$A:$B, 2, FALSE), Inputs!$B$4)
        ) / 12,
        0)</f>
        <v>0</v>
      </c>
      <c r="L73" s="3">
        <f t="shared" si="3"/>
        <v>0</v>
      </c>
    </row>
    <row r="74" ht="15.75" customHeight="1">
      <c r="F74" s="3" t="str">
        <f>IFERROR(VLOOKUP(A74, Prices!A:B, 2, FALSE), )</f>
        <v/>
      </c>
      <c r="G74" s="3">
        <f>IFERROR(VLOOKUP(A74, Dividends!$A:$B, 2, FALSE),
       IFERROR( (VLOOKUP(A74, Dividends!$A:$C, 3, FALSE) / VLOOKUP(A74, Prices!$A:$B, 2, FALSE)) * 100,
                Inputs!$B$4*100 ))</f>
        <v>65</v>
      </c>
      <c r="H74" s="3">
        <f>IFERROR(SUMIF(Purchases!B:B, A74, Purchases!D:D), 0)</f>
        <v>0</v>
      </c>
      <c r="I74" s="3">
        <f t="shared" si="1"/>
        <v>0</v>
      </c>
      <c r="J74" s="3">
        <f t="shared" si="2"/>
        <v>0</v>
      </c>
      <c r="K74" s="3">
        <f>IF(J74&gt;0,
        J74 * IF(G74&gt;0, G74/100,
            IFERROR( VLOOKUP(A74, Dividends!$A:$C, 3, FALSE) / VLOOKUP(A74, Prices!$A:$B, 2, FALSE), Inputs!$B$4)
        ) / 12,
        0)</f>
        <v>0</v>
      </c>
      <c r="L74" s="3">
        <f t="shared" si="3"/>
        <v>0</v>
      </c>
    </row>
    <row r="75" ht="15.75" customHeight="1">
      <c r="F75" s="3" t="str">
        <f>IFERROR(VLOOKUP(A75, Prices!A:B, 2, FALSE), )</f>
        <v/>
      </c>
      <c r="G75" s="3">
        <f>IFERROR(VLOOKUP(A75, Dividends!$A:$B, 2, FALSE),
       IFERROR( (VLOOKUP(A75, Dividends!$A:$C, 3, FALSE) / VLOOKUP(A75, Prices!$A:$B, 2, FALSE)) * 100,
                Inputs!$B$4*100 ))</f>
        <v>65</v>
      </c>
      <c r="H75" s="3">
        <f>IFERROR(SUMIF(Purchases!B:B, A75, Purchases!D:D), 0)</f>
        <v>0</v>
      </c>
      <c r="I75" s="3">
        <f t="shared" si="1"/>
        <v>0</v>
      </c>
      <c r="J75" s="3">
        <f t="shared" si="2"/>
        <v>0</v>
      </c>
      <c r="K75" s="3">
        <f>IF(J75&gt;0,
        J75 * IF(G75&gt;0, G75/100,
            IFERROR( VLOOKUP(A75, Dividends!$A:$C, 3, FALSE) / VLOOKUP(A75, Prices!$A:$B, 2, FALSE), Inputs!$B$4)
        ) / 12,
        0)</f>
        <v>0</v>
      </c>
      <c r="L75" s="3">
        <f t="shared" si="3"/>
        <v>0</v>
      </c>
    </row>
    <row r="76" ht="15.75" customHeight="1">
      <c r="F76" s="3" t="str">
        <f>IFERROR(VLOOKUP(A76, Prices!A:B, 2, FALSE), )</f>
        <v/>
      </c>
      <c r="G76" s="3">
        <f>IFERROR(VLOOKUP(A76, Dividends!$A:$B, 2, FALSE),
       IFERROR( (VLOOKUP(A76, Dividends!$A:$C, 3, FALSE) / VLOOKUP(A76, Prices!$A:$B, 2, FALSE)) * 100,
                Inputs!$B$4*100 ))</f>
        <v>65</v>
      </c>
      <c r="H76" s="3">
        <f>IFERROR(SUMIF(Purchases!B:B, A76, Purchases!D:D), 0)</f>
        <v>0</v>
      </c>
      <c r="I76" s="3">
        <f t="shared" si="1"/>
        <v>0</v>
      </c>
      <c r="J76" s="3">
        <f t="shared" si="2"/>
        <v>0</v>
      </c>
      <c r="K76" s="3">
        <f>IF(J76&gt;0,
        J76 * IF(G76&gt;0, G76/100,
            IFERROR( VLOOKUP(A76, Dividends!$A:$C, 3, FALSE) / VLOOKUP(A76, Prices!$A:$B, 2, FALSE), Inputs!$B$4)
        ) / 12,
        0)</f>
        <v>0</v>
      </c>
      <c r="L76" s="3">
        <f t="shared" si="3"/>
        <v>0</v>
      </c>
    </row>
    <row r="77" ht="15.75" customHeight="1">
      <c r="F77" s="3" t="str">
        <f>IFERROR(VLOOKUP(A77, Prices!A:B, 2, FALSE), )</f>
        <v/>
      </c>
      <c r="G77" s="3">
        <f>IFERROR(VLOOKUP(A77, Dividends!$A:$B, 2, FALSE),
       IFERROR( (VLOOKUP(A77, Dividends!$A:$C, 3, FALSE) / VLOOKUP(A77, Prices!$A:$B, 2, FALSE)) * 100,
                Inputs!$B$4*100 ))</f>
        <v>65</v>
      </c>
      <c r="H77" s="3">
        <f>IFERROR(SUMIF(Purchases!B:B, A77, Purchases!D:D), 0)</f>
        <v>0</v>
      </c>
      <c r="I77" s="3">
        <f t="shared" si="1"/>
        <v>0</v>
      </c>
      <c r="J77" s="3">
        <f t="shared" si="2"/>
        <v>0</v>
      </c>
      <c r="K77" s="3">
        <f>IF(J77&gt;0,
        J77 * IF(G77&gt;0, G77/100,
            IFERROR( VLOOKUP(A77, Dividends!$A:$C, 3, FALSE) / VLOOKUP(A77, Prices!$A:$B, 2, FALSE), Inputs!$B$4)
        ) / 12,
        0)</f>
        <v>0</v>
      </c>
      <c r="L77" s="3">
        <f t="shared" si="3"/>
        <v>0</v>
      </c>
    </row>
    <row r="78" ht="15.75" customHeight="1">
      <c r="F78" s="3" t="str">
        <f>IFERROR(VLOOKUP(A78, Prices!A:B, 2, FALSE), )</f>
        <v/>
      </c>
      <c r="G78" s="3">
        <f>IFERROR(VLOOKUP(A78, Dividends!$A:$B, 2, FALSE),
       IFERROR( (VLOOKUP(A78, Dividends!$A:$C, 3, FALSE) / VLOOKUP(A78, Prices!$A:$B, 2, FALSE)) * 100,
                Inputs!$B$4*100 ))</f>
        <v>65</v>
      </c>
      <c r="H78" s="3">
        <f>IFERROR(SUMIF(Purchases!B:B, A78, Purchases!D:D), 0)</f>
        <v>0</v>
      </c>
      <c r="I78" s="3">
        <f t="shared" si="1"/>
        <v>0</v>
      </c>
      <c r="J78" s="3">
        <f t="shared" si="2"/>
        <v>0</v>
      </c>
      <c r="K78" s="3">
        <f>IF(J78&gt;0,
        J78 * IF(G78&gt;0, G78/100,
            IFERROR( VLOOKUP(A78, Dividends!$A:$C, 3, FALSE) / VLOOKUP(A78, Prices!$A:$B, 2, FALSE), Inputs!$B$4)
        ) / 12,
        0)</f>
        <v>0</v>
      </c>
      <c r="L78" s="3">
        <f t="shared" si="3"/>
        <v>0</v>
      </c>
    </row>
    <row r="79" ht="15.75" customHeight="1">
      <c r="F79" s="3" t="str">
        <f>IFERROR(VLOOKUP(A79, Prices!A:B, 2, FALSE), )</f>
        <v/>
      </c>
      <c r="G79" s="3">
        <f>IFERROR(VLOOKUP(A79, Dividends!$A:$B, 2, FALSE),
       IFERROR( (VLOOKUP(A79, Dividends!$A:$C, 3, FALSE) / VLOOKUP(A79, Prices!$A:$B, 2, FALSE)) * 100,
                Inputs!$B$4*100 ))</f>
        <v>65</v>
      </c>
      <c r="H79" s="3">
        <f>IFERROR(SUMIF(Purchases!B:B, A79, Purchases!D:D), 0)</f>
        <v>0</v>
      </c>
      <c r="I79" s="3">
        <f t="shared" si="1"/>
        <v>0</v>
      </c>
      <c r="J79" s="3">
        <f t="shared" si="2"/>
        <v>0</v>
      </c>
      <c r="K79" s="3">
        <f>IF(J79&gt;0,
        J79 * IF(G79&gt;0, G79/100,
            IFERROR( VLOOKUP(A79, Dividends!$A:$C, 3, FALSE) / VLOOKUP(A79, Prices!$A:$B, 2, FALSE), Inputs!$B$4)
        ) / 12,
        0)</f>
        <v>0</v>
      </c>
      <c r="L79" s="3">
        <f t="shared" si="3"/>
        <v>0</v>
      </c>
    </row>
    <row r="80" ht="15.75" customHeight="1">
      <c r="F80" s="3" t="str">
        <f>IFERROR(VLOOKUP(A80, Prices!A:B, 2, FALSE), )</f>
        <v/>
      </c>
      <c r="G80" s="3">
        <f>IFERROR(VLOOKUP(A80, Dividends!$A:$B, 2, FALSE),
       IFERROR( (VLOOKUP(A80, Dividends!$A:$C, 3, FALSE) / VLOOKUP(A80, Prices!$A:$B, 2, FALSE)) * 100,
                Inputs!$B$4*100 ))</f>
        <v>65</v>
      </c>
      <c r="H80" s="3">
        <f>IFERROR(SUMIF(Purchases!B:B, A80, Purchases!D:D), 0)</f>
        <v>0</v>
      </c>
      <c r="I80" s="3">
        <f t="shared" si="1"/>
        <v>0</v>
      </c>
      <c r="J80" s="3">
        <f t="shared" si="2"/>
        <v>0</v>
      </c>
      <c r="K80" s="3">
        <f>IF(J80&gt;0,
        J80 * IF(G80&gt;0, G80/100,
            IFERROR( VLOOKUP(A80, Dividends!$A:$C, 3, FALSE) / VLOOKUP(A80, Prices!$A:$B, 2, FALSE), Inputs!$B$4)
        ) / 12,
        0)</f>
        <v>0</v>
      </c>
      <c r="L80" s="3">
        <f t="shared" si="3"/>
        <v>0</v>
      </c>
    </row>
    <row r="81" ht="15.75" customHeight="1">
      <c r="F81" s="3" t="str">
        <f>IFERROR(VLOOKUP(A81, Prices!A:B, 2, FALSE), )</f>
        <v/>
      </c>
      <c r="G81" s="3">
        <f>IFERROR(VLOOKUP(A81, Dividends!$A:$B, 2, FALSE),
       IFERROR( (VLOOKUP(A81, Dividends!$A:$C, 3, FALSE) / VLOOKUP(A81, Prices!$A:$B, 2, FALSE)) * 100,
                Inputs!$B$4*100 ))</f>
        <v>65</v>
      </c>
      <c r="H81" s="3">
        <f>IFERROR(SUMIF(Purchases!B:B, A81, Purchases!D:D), 0)</f>
        <v>0</v>
      </c>
      <c r="I81" s="3">
        <f t="shared" si="1"/>
        <v>0</v>
      </c>
      <c r="J81" s="3">
        <f t="shared" si="2"/>
        <v>0</v>
      </c>
      <c r="K81" s="3">
        <f>IF(J81&gt;0,
        J81 * IF(G81&gt;0, G81/100,
            IFERROR( VLOOKUP(A81, Dividends!$A:$C, 3, FALSE) / VLOOKUP(A81, Prices!$A:$B, 2, FALSE), Inputs!$B$4)
        ) / 12,
        0)</f>
        <v>0</v>
      </c>
      <c r="L81" s="3">
        <f t="shared" si="3"/>
        <v>0</v>
      </c>
    </row>
    <row r="82" ht="15.75" customHeight="1">
      <c r="F82" s="3" t="str">
        <f>IFERROR(VLOOKUP(A82, Prices!A:B, 2, FALSE), )</f>
        <v/>
      </c>
      <c r="G82" s="3">
        <f>IFERROR(VLOOKUP(A82, Dividends!$A:$B, 2, FALSE),
       IFERROR( (VLOOKUP(A82, Dividends!$A:$C, 3, FALSE) / VLOOKUP(A82, Prices!$A:$B, 2, FALSE)) * 100,
                Inputs!$B$4*100 ))</f>
        <v>65</v>
      </c>
      <c r="H82" s="3">
        <f>IFERROR(SUMIF(Purchases!B:B, A82, Purchases!D:D), 0)</f>
        <v>0</v>
      </c>
      <c r="I82" s="3">
        <f t="shared" si="1"/>
        <v>0</v>
      </c>
      <c r="J82" s="3">
        <f t="shared" si="2"/>
        <v>0</v>
      </c>
      <c r="K82" s="3">
        <f>IF(J82&gt;0,
        J82 * IF(G82&gt;0, G82/100,
            IFERROR( VLOOKUP(A82, Dividends!$A:$C, 3, FALSE) / VLOOKUP(A82, Prices!$A:$B, 2, FALSE), Inputs!$B$4)
        ) / 12,
        0)</f>
        <v>0</v>
      </c>
      <c r="L82" s="3">
        <f t="shared" si="3"/>
        <v>0</v>
      </c>
    </row>
    <row r="83" ht="15.75" customHeight="1">
      <c r="F83" s="3" t="str">
        <f>IFERROR(VLOOKUP(A83, Prices!A:B, 2, FALSE), )</f>
        <v/>
      </c>
      <c r="G83" s="3">
        <f>IFERROR(VLOOKUP(A83, Dividends!$A:$B, 2, FALSE),
       IFERROR( (VLOOKUP(A83, Dividends!$A:$C, 3, FALSE) / VLOOKUP(A83, Prices!$A:$B, 2, FALSE)) * 100,
                Inputs!$B$4*100 ))</f>
        <v>65</v>
      </c>
      <c r="H83" s="3">
        <f>IFERROR(SUMIF(Purchases!B:B, A83, Purchases!D:D), 0)</f>
        <v>0</v>
      </c>
      <c r="I83" s="3">
        <f t="shared" si="1"/>
        <v>0</v>
      </c>
      <c r="J83" s="3">
        <f t="shared" si="2"/>
        <v>0</v>
      </c>
      <c r="K83" s="3">
        <f>IF(J83&gt;0,
        J83 * IF(G83&gt;0, G83/100,
            IFERROR( VLOOKUP(A83, Dividends!$A:$C, 3, FALSE) / VLOOKUP(A83, Prices!$A:$B, 2, FALSE), Inputs!$B$4)
        ) / 12,
        0)</f>
        <v>0</v>
      </c>
      <c r="L83" s="3">
        <f t="shared" si="3"/>
        <v>0</v>
      </c>
    </row>
    <row r="84" ht="15.75" customHeight="1">
      <c r="F84" s="3" t="str">
        <f>IFERROR(VLOOKUP(A84, Prices!A:B, 2, FALSE), )</f>
        <v/>
      </c>
      <c r="G84" s="3">
        <f>IFERROR(VLOOKUP(A84, Dividends!$A:$B, 2, FALSE),
       IFERROR( (VLOOKUP(A84, Dividends!$A:$C, 3, FALSE) / VLOOKUP(A84, Prices!$A:$B, 2, FALSE)) * 100,
                Inputs!$B$4*100 ))</f>
        <v>65</v>
      </c>
      <c r="H84" s="3">
        <f>IFERROR(SUMIF(Purchases!B:B, A84, Purchases!D:D), 0)</f>
        <v>0</v>
      </c>
      <c r="I84" s="3">
        <f t="shared" si="1"/>
        <v>0</v>
      </c>
      <c r="J84" s="3">
        <f t="shared" si="2"/>
        <v>0</v>
      </c>
      <c r="K84" s="3">
        <f>IF(J84&gt;0,
        J84 * IF(G84&gt;0, G84/100,
            IFERROR( VLOOKUP(A84, Dividends!$A:$C, 3, FALSE) / VLOOKUP(A84, Prices!$A:$B, 2, FALSE), Inputs!$B$4)
        ) / 12,
        0)</f>
        <v>0</v>
      </c>
      <c r="L84" s="3">
        <f t="shared" si="3"/>
        <v>0</v>
      </c>
    </row>
    <row r="85" ht="15.75" customHeight="1">
      <c r="F85" s="3" t="str">
        <f>IFERROR(VLOOKUP(A85, Prices!A:B, 2, FALSE), )</f>
        <v/>
      </c>
      <c r="G85" s="3">
        <f>IFERROR(VLOOKUP(A85, Dividends!$A:$B, 2, FALSE),
       IFERROR( (VLOOKUP(A85, Dividends!$A:$C, 3, FALSE) / VLOOKUP(A85, Prices!$A:$B, 2, FALSE)) * 100,
                Inputs!$B$4*100 ))</f>
        <v>65</v>
      </c>
      <c r="H85" s="3">
        <f>IFERROR(SUMIF(Purchases!B:B, A85, Purchases!D:D), 0)</f>
        <v>0</v>
      </c>
      <c r="I85" s="3">
        <f t="shared" si="1"/>
        <v>0</v>
      </c>
      <c r="J85" s="3">
        <f t="shared" si="2"/>
        <v>0</v>
      </c>
      <c r="K85" s="3">
        <f>IF(J85&gt;0,
        J85 * IF(G85&gt;0, G85/100,
            IFERROR( VLOOKUP(A85, Dividends!$A:$C, 3, FALSE) / VLOOKUP(A85, Prices!$A:$B, 2, FALSE), Inputs!$B$4)
        ) / 12,
        0)</f>
        <v>0</v>
      </c>
      <c r="L85" s="3">
        <f t="shared" si="3"/>
        <v>0</v>
      </c>
    </row>
    <row r="86" ht="15.75" customHeight="1">
      <c r="F86" s="3" t="str">
        <f>IFERROR(VLOOKUP(A86, Prices!A:B, 2, FALSE), )</f>
        <v/>
      </c>
      <c r="G86" s="3">
        <f>IFERROR(VLOOKUP(A86, Dividends!$A:$B, 2, FALSE),
       IFERROR( (VLOOKUP(A86, Dividends!$A:$C, 3, FALSE) / VLOOKUP(A86, Prices!$A:$B, 2, FALSE)) * 100,
                Inputs!$B$4*100 ))</f>
        <v>65</v>
      </c>
      <c r="H86" s="3">
        <f>IFERROR(SUMIF(Purchases!B:B, A86, Purchases!D:D), 0)</f>
        <v>0</v>
      </c>
      <c r="I86" s="3">
        <f t="shared" si="1"/>
        <v>0</v>
      </c>
      <c r="J86" s="3">
        <f t="shared" si="2"/>
        <v>0</v>
      </c>
      <c r="K86" s="3">
        <f>IF(J86&gt;0,
        J86 * IF(G86&gt;0, G86/100,
            IFERROR( VLOOKUP(A86, Dividends!$A:$C, 3, FALSE) / VLOOKUP(A86, Prices!$A:$B, 2, FALSE), Inputs!$B$4)
        ) / 12,
        0)</f>
        <v>0</v>
      </c>
      <c r="L86" s="3">
        <f t="shared" si="3"/>
        <v>0</v>
      </c>
    </row>
    <row r="87" ht="15.75" customHeight="1">
      <c r="F87" s="3" t="str">
        <f>IFERROR(VLOOKUP(A87, Prices!A:B, 2, FALSE), )</f>
        <v/>
      </c>
      <c r="G87" s="3">
        <f>IFERROR(VLOOKUP(A87, Dividends!$A:$B, 2, FALSE),
       IFERROR( (VLOOKUP(A87, Dividends!$A:$C, 3, FALSE) / VLOOKUP(A87, Prices!$A:$B, 2, FALSE)) * 100,
                Inputs!$B$4*100 ))</f>
        <v>65</v>
      </c>
      <c r="H87" s="3">
        <f>IFERROR(SUMIF(Purchases!B:B, A87, Purchases!D:D), 0)</f>
        <v>0</v>
      </c>
      <c r="I87" s="3">
        <f t="shared" si="1"/>
        <v>0</v>
      </c>
      <c r="J87" s="3">
        <f t="shared" si="2"/>
        <v>0</v>
      </c>
      <c r="K87" s="3">
        <f>IF(J87&gt;0,
        J87 * IF(G87&gt;0, G87/100,
            IFERROR( VLOOKUP(A87, Dividends!$A:$C, 3, FALSE) / VLOOKUP(A87, Prices!$A:$B, 2, FALSE), Inputs!$B$4)
        ) / 12,
        0)</f>
        <v>0</v>
      </c>
      <c r="L87" s="3">
        <f t="shared" si="3"/>
        <v>0</v>
      </c>
    </row>
    <row r="88" ht="15.75" customHeight="1">
      <c r="F88" s="3" t="str">
        <f>IFERROR(VLOOKUP(A88, Prices!A:B, 2, FALSE), )</f>
        <v/>
      </c>
      <c r="G88" s="3">
        <f>IFERROR(VLOOKUP(A88, Dividends!$A:$B, 2, FALSE),
       IFERROR( (VLOOKUP(A88, Dividends!$A:$C, 3, FALSE) / VLOOKUP(A88, Prices!$A:$B, 2, FALSE)) * 100,
                Inputs!$B$4*100 ))</f>
        <v>65</v>
      </c>
      <c r="H88" s="3">
        <f>IFERROR(SUMIF(Purchases!B:B, A88, Purchases!D:D), 0)</f>
        <v>0</v>
      </c>
      <c r="I88" s="3">
        <f t="shared" si="1"/>
        <v>0</v>
      </c>
      <c r="J88" s="3">
        <f t="shared" si="2"/>
        <v>0</v>
      </c>
      <c r="K88" s="3">
        <f>IF(J88&gt;0,
        J88 * IF(G88&gt;0, G88/100,
            IFERROR( VLOOKUP(A88, Dividends!$A:$C, 3, FALSE) / VLOOKUP(A88, Prices!$A:$B, 2, FALSE), Inputs!$B$4)
        ) / 12,
        0)</f>
        <v>0</v>
      </c>
      <c r="L88" s="3">
        <f t="shared" si="3"/>
        <v>0</v>
      </c>
    </row>
    <row r="89" ht="15.75" customHeight="1">
      <c r="F89" s="3" t="str">
        <f>IFERROR(VLOOKUP(A89, Prices!A:B, 2, FALSE), )</f>
        <v/>
      </c>
      <c r="G89" s="3">
        <f>IFERROR(VLOOKUP(A89, Dividends!$A:$B, 2, FALSE),
       IFERROR( (VLOOKUP(A89, Dividends!$A:$C, 3, FALSE) / VLOOKUP(A89, Prices!$A:$B, 2, FALSE)) * 100,
                Inputs!$B$4*100 ))</f>
        <v>65</v>
      </c>
      <c r="H89" s="3">
        <f>IFERROR(SUMIF(Purchases!B:B, A89, Purchases!D:D), 0)</f>
        <v>0</v>
      </c>
      <c r="I89" s="3">
        <f t="shared" si="1"/>
        <v>0</v>
      </c>
      <c r="J89" s="3">
        <f t="shared" si="2"/>
        <v>0</v>
      </c>
      <c r="K89" s="3">
        <f>IF(J89&gt;0,
        J89 * IF(G89&gt;0, G89/100,
            IFERROR( VLOOKUP(A89, Dividends!$A:$C, 3, FALSE) / VLOOKUP(A89, Prices!$A:$B, 2, FALSE), Inputs!$B$4)
        ) / 12,
        0)</f>
        <v>0</v>
      </c>
      <c r="L89" s="3">
        <f t="shared" si="3"/>
        <v>0</v>
      </c>
    </row>
    <row r="90" ht="15.75" customHeight="1">
      <c r="F90" s="3" t="str">
        <f>IFERROR(VLOOKUP(A90, Prices!A:B, 2, FALSE), )</f>
        <v/>
      </c>
      <c r="G90" s="3">
        <f>IFERROR(VLOOKUP(A90, Dividends!$A:$B, 2, FALSE),
       IFERROR( (VLOOKUP(A90, Dividends!$A:$C, 3, FALSE) / VLOOKUP(A90, Prices!$A:$B, 2, FALSE)) * 100,
                Inputs!$B$4*100 ))</f>
        <v>65</v>
      </c>
      <c r="H90" s="3">
        <f>IFERROR(SUMIF(Purchases!B:B, A90, Purchases!D:D), 0)</f>
        <v>0</v>
      </c>
      <c r="I90" s="3">
        <f t="shared" si="1"/>
        <v>0</v>
      </c>
      <c r="J90" s="3">
        <f t="shared" si="2"/>
        <v>0</v>
      </c>
      <c r="K90" s="3">
        <f>IF(J90&gt;0,
        J90 * IF(G90&gt;0, G90/100,
            IFERROR( VLOOKUP(A90, Dividends!$A:$C, 3, FALSE) / VLOOKUP(A90, Prices!$A:$B, 2, FALSE), Inputs!$B$4)
        ) / 12,
        0)</f>
        <v>0</v>
      </c>
      <c r="L90" s="3">
        <f t="shared" si="3"/>
        <v>0</v>
      </c>
    </row>
    <row r="91" ht="15.75" customHeight="1">
      <c r="F91" s="3" t="str">
        <f>IFERROR(VLOOKUP(A91, Prices!A:B, 2, FALSE), )</f>
        <v/>
      </c>
      <c r="G91" s="3">
        <f>IFERROR(VLOOKUP(A91, Dividends!$A:$B, 2, FALSE),
       IFERROR( (VLOOKUP(A91, Dividends!$A:$C, 3, FALSE) / VLOOKUP(A91, Prices!$A:$B, 2, FALSE)) * 100,
                Inputs!$B$4*100 ))</f>
        <v>65</v>
      </c>
      <c r="H91" s="3">
        <f>IFERROR(SUMIF(Purchases!B:B, A91, Purchases!D:D), 0)</f>
        <v>0</v>
      </c>
      <c r="I91" s="3">
        <f t="shared" si="1"/>
        <v>0</v>
      </c>
      <c r="J91" s="3">
        <f t="shared" si="2"/>
        <v>0</v>
      </c>
      <c r="K91" s="3">
        <f>IF(J91&gt;0,
        J91 * IF(G91&gt;0, G91/100,
            IFERROR( VLOOKUP(A91, Dividends!$A:$C, 3, FALSE) / VLOOKUP(A91, Prices!$A:$B, 2, FALSE), Inputs!$B$4)
        ) / 12,
        0)</f>
        <v>0</v>
      </c>
      <c r="L91" s="3">
        <f t="shared" si="3"/>
        <v>0</v>
      </c>
    </row>
    <row r="92" ht="15.75" customHeight="1">
      <c r="F92" s="3" t="str">
        <f>IFERROR(VLOOKUP(A92, Prices!A:B, 2, FALSE), )</f>
        <v/>
      </c>
      <c r="G92" s="3">
        <f>IFERROR(VLOOKUP(A92, Dividends!$A:$B, 2, FALSE),
       IFERROR( (VLOOKUP(A92, Dividends!$A:$C, 3, FALSE) / VLOOKUP(A92, Prices!$A:$B, 2, FALSE)) * 100,
                Inputs!$B$4*100 ))</f>
        <v>65</v>
      </c>
      <c r="H92" s="3">
        <f>IFERROR(SUMIF(Purchases!B:B, A92, Purchases!D:D), 0)</f>
        <v>0</v>
      </c>
      <c r="I92" s="3">
        <f t="shared" si="1"/>
        <v>0</v>
      </c>
      <c r="J92" s="3">
        <f t="shared" si="2"/>
        <v>0</v>
      </c>
      <c r="K92" s="3">
        <f>IF(J92&gt;0,
        J92 * IF(G92&gt;0, G92/100,
            IFERROR( VLOOKUP(A92, Dividends!$A:$C, 3, FALSE) / VLOOKUP(A92, Prices!$A:$B, 2, FALSE), Inputs!$B$4)
        ) / 12,
        0)</f>
        <v>0</v>
      </c>
      <c r="L92" s="3">
        <f t="shared" si="3"/>
        <v>0</v>
      </c>
    </row>
    <row r="93" ht="15.75" customHeight="1">
      <c r="F93" s="3" t="str">
        <f>IFERROR(VLOOKUP(A93, Prices!A:B, 2, FALSE), )</f>
        <v/>
      </c>
      <c r="G93" s="3">
        <f>IFERROR(VLOOKUP(A93, Dividends!$A:$B, 2, FALSE),
       IFERROR( (VLOOKUP(A93, Dividends!$A:$C, 3, FALSE) / VLOOKUP(A93, Prices!$A:$B, 2, FALSE)) * 100,
                Inputs!$B$4*100 ))</f>
        <v>65</v>
      </c>
      <c r="H93" s="3">
        <f>IFERROR(SUMIF(Purchases!B:B, A93, Purchases!D:D), 0)</f>
        <v>0</v>
      </c>
      <c r="I93" s="3">
        <f t="shared" si="1"/>
        <v>0</v>
      </c>
      <c r="J93" s="3">
        <f t="shared" si="2"/>
        <v>0</v>
      </c>
      <c r="K93" s="3">
        <f>IF(J93&gt;0,
        J93 * IF(G93&gt;0, G93/100,
            IFERROR( VLOOKUP(A93, Dividends!$A:$C, 3, FALSE) / VLOOKUP(A93, Prices!$A:$B, 2, FALSE), Inputs!$B$4)
        ) / 12,
        0)</f>
        <v>0</v>
      </c>
      <c r="L93" s="3">
        <f t="shared" si="3"/>
        <v>0</v>
      </c>
    </row>
    <row r="94" ht="15.75" customHeight="1">
      <c r="F94" s="3" t="str">
        <f>IFERROR(VLOOKUP(A94, Prices!A:B, 2, FALSE), )</f>
        <v/>
      </c>
      <c r="G94" s="3">
        <f>IFERROR(VLOOKUP(A94, Dividends!$A:$B, 2, FALSE),
       IFERROR( (VLOOKUP(A94, Dividends!$A:$C, 3, FALSE) / VLOOKUP(A94, Prices!$A:$B, 2, FALSE)) * 100,
                Inputs!$B$4*100 ))</f>
        <v>65</v>
      </c>
      <c r="H94" s="3">
        <f>IFERROR(SUMIF(Purchases!B:B, A94, Purchases!D:D), 0)</f>
        <v>0</v>
      </c>
      <c r="I94" s="3">
        <f t="shared" si="1"/>
        <v>0</v>
      </c>
      <c r="J94" s="3">
        <f t="shared" si="2"/>
        <v>0</v>
      </c>
      <c r="K94" s="3">
        <f>IF(J94&gt;0,
        J94 * IF(G94&gt;0, G94/100,
            IFERROR( VLOOKUP(A94, Dividends!$A:$C, 3, FALSE) / VLOOKUP(A94, Prices!$A:$B, 2, FALSE), Inputs!$B$4)
        ) / 12,
        0)</f>
        <v>0</v>
      </c>
      <c r="L94" s="3">
        <f t="shared" si="3"/>
        <v>0</v>
      </c>
    </row>
    <row r="95" ht="15.75" customHeight="1">
      <c r="F95" s="3" t="str">
        <f>IFERROR(VLOOKUP(A95, Prices!A:B, 2, FALSE), )</f>
        <v/>
      </c>
      <c r="G95" s="3">
        <f>IFERROR(VLOOKUP(A95, Dividends!$A:$B, 2, FALSE),
       IFERROR( (VLOOKUP(A95, Dividends!$A:$C, 3, FALSE) / VLOOKUP(A95, Prices!$A:$B, 2, FALSE)) * 100,
                Inputs!$B$4*100 ))</f>
        <v>65</v>
      </c>
      <c r="H95" s="3">
        <f>IFERROR(SUMIF(Purchases!B:B, A95, Purchases!D:D), 0)</f>
        <v>0</v>
      </c>
      <c r="I95" s="3">
        <f t="shared" si="1"/>
        <v>0</v>
      </c>
      <c r="J95" s="3">
        <f t="shared" si="2"/>
        <v>0</v>
      </c>
      <c r="K95" s="3">
        <f>IF(J95&gt;0,
        J95 * IF(G95&gt;0, G95/100,
            IFERROR( VLOOKUP(A95, Dividends!$A:$C, 3, FALSE) / VLOOKUP(A95, Prices!$A:$B, 2, FALSE), Inputs!$B$4)
        ) / 12,
        0)</f>
        <v>0</v>
      </c>
      <c r="L95" s="3">
        <f t="shared" si="3"/>
        <v>0</v>
      </c>
    </row>
    <row r="96" ht="15.75" customHeight="1">
      <c r="F96" s="3" t="str">
        <f>IFERROR(VLOOKUP(A96, Prices!A:B, 2, FALSE), )</f>
        <v/>
      </c>
      <c r="G96" s="3">
        <f>IFERROR(VLOOKUP(A96, Dividends!$A:$B, 2, FALSE),
       IFERROR( (VLOOKUP(A96, Dividends!$A:$C, 3, FALSE) / VLOOKUP(A96, Prices!$A:$B, 2, FALSE)) * 100,
                Inputs!$B$4*100 ))</f>
        <v>65</v>
      </c>
      <c r="H96" s="3">
        <f>IFERROR(SUMIF(Purchases!B:B, A96, Purchases!D:D), 0)</f>
        <v>0</v>
      </c>
      <c r="I96" s="3">
        <f t="shared" si="1"/>
        <v>0</v>
      </c>
      <c r="J96" s="3">
        <f t="shared" si="2"/>
        <v>0</v>
      </c>
      <c r="K96" s="3">
        <f>IF(J96&gt;0,
        J96 * IF(G96&gt;0, G96/100,
            IFERROR( VLOOKUP(A96, Dividends!$A:$C, 3, FALSE) / VLOOKUP(A96, Prices!$A:$B, 2, FALSE), Inputs!$B$4)
        ) / 12,
        0)</f>
        <v>0</v>
      </c>
      <c r="L96" s="3">
        <f t="shared" si="3"/>
        <v>0</v>
      </c>
    </row>
    <row r="97" ht="15.75" customHeight="1">
      <c r="F97" s="3" t="str">
        <f>IFERROR(VLOOKUP(A97, Prices!A:B, 2, FALSE), )</f>
        <v/>
      </c>
      <c r="G97" s="3">
        <f>IFERROR(VLOOKUP(A97, Dividends!$A:$B, 2, FALSE),
       IFERROR( (VLOOKUP(A97, Dividends!$A:$C, 3, FALSE) / VLOOKUP(A97, Prices!$A:$B, 2, FALSE)) * 100,
                Inputs!$B$4*100 ))</f>
        <v>65</v>
      </c>
      <c r="H97" s="3">
        <f>IFERROR(SUMIF(Purchases!B:B, A97, Purchases!D:D), 0)</f>
        <v>0</v>
      </c>
      <c r="I97" s="3">
        <f t="shared" si="1"/>
        <v>0</v>
      </c>
      <c r="J97" s="3">
        <f t="shared" si="2"/>
        <v>0</v>
      </c>
      <c r="K97" s="3">
        <f>IF(J97&gt;0,
        J97 * IF(G97&gt;0, G97/100,
            IFERROR( VLOOKUP(A97, Dividends!$A:$C, 3, FALSE) / VLOOKUP(A97, Prices!$A:$B, 2, FALSE), Inputs!$B$4)
        ) / 12,
        0)</f>
        <v>0</v>
      </c>
      <c r="L97" s="3">
        <f t="shared" si="3"/>
        <v>0</v>
      </c>
    </row>
    <row r="98" ht="15.75" customHeight="1">
      <c r="F98" s="3" t="str">
        <f>IFERROR(VLOOKUP(A98, Prices!A:B, 2, FALSE), )</f>
        <v/>
      </c>
      <c r="G98" s="3">
        <f>IFERROR(VLOOKUP(A98, Dividends!$A:$B, 2, FALSE),
       IFERROR( (VLOOKUP(A98, Dividends!$A:$C, 3, FALSE) / VLOOKUP(A98, Prices!$A:$B, 2, FALSE)) * 100,
                Inputs!$B$4*100 ))</f>
        <v>65</v>
      </c>
      <c r="H98" s="3">
        <f>IFERROR(SUMIF(Purchases!B:B, A98, Purchases!D:D), 0)</f>
        <v>0</v>
      </c>
      <c r="I98" s="3">
        <f t="shared" si="1"/>
        <v>0</v>
      </c>
      <c r="J98" s="3">
        <f t="shared" si="2"/>
        <v>0</v>
      </c>
      <c r="K98" s="3">
        <f>IF(J98&gt;0,
        J98 * IF(G98&gt;0, G98/100,
            IFERROR( VLOOKUP(A98, Dividends!$A:$C, 3, FALSE) / VLOOKUP(A98, Prices!$A:$B, 2, FALSE), Inputs!$B$4)
        ) / 12,
        0)</f>
        <v>0</v>
      </c>
      <c r="L98" s="3">
        <f t="shared" si="3"/>
        <v>0</v>
      </c>
    </row>
    <row r="99" ht="15.75" customHeight="1">
      <c r="F99" s="3" t="str">
        <f>IFERROR(VLOOKUP(A99, Prices!A:B, 2, FALSE), )</f>
        <v/>
      </c>
      <c r="G99" s="3">
        <f>IFERROR(VLOOKUP(A99, Dividends!$A:$B, 2, FALSE),
       IFERROR( (VLOOKUP(A99, Dividends!$A:$C, 3, FALSE) / VLOOKUP(A99, Prices!$A:$B, 2, FALSE)) * 100,
                Inputs!$B$4*100 ))</f>
        <v>65</v>
      </c>
      <c r="H99" s="3">
        <f>IFERROR(SUMIF(Purchases!B:B, A99, Purchases!D:D), 0)</f>
        <v>0</v>
      </c>
      <c r="I99" s="3">
        <f t="shared" si="1"/>
        <v>0</v>
      </c>
      <c r="J99" s="3">
        <f t="shared" si="2"/>
        <v>0</v>
      </c>
      <c r="K99" s="3">
        <f>IF(J99&gt;0,
        J99 * IF(G99&gt;0, G99/100,
            IFERROR( VLOOKUP(A99, Dividends!$A:$C, 3, FALSE) / VLOOKUP(A99, Prices!$A:$B, 2, FALSE), Inputs!$B$4)
        ) / 12,
        0)</f>
        <v>0</v>
      </c>
      <c r="L99" s="3">
        <f t="shared" si="3"/>
        <v>0</v>
      </c>
    </row>
    <row r="100" ht="15.75" customHeight="1">
      <c r="F100" s="3" t="str">
        <f>IFERROR(VLOOKUP(A100, Prices!A:B, 2, FALSE), )</f>
        <v/>
      </c>
      <c r="G100" s="3">
        <f>IFERROR(VLOOKUP(A100, Dividends!$A:$B, 2, FALSE),
       IFERROR( (VLOOKUP(A100, Dividends!$A:$C, 3, FALSE) / VLOOKUP(A100, Prices!$A:$B, 2, FALSE)) * 100,
                Inputs!$B$4*100 ))</f>
        <v>65</v>
      </c>
      <c r="H100" s="3">
        <f>IFERROR(SUMIF(Purchases!B:B, A100, Purchases!D:D), 0)</f>
        <v>0</v>
      </c>
      <c r="I100" s="3">
        <f t="shared" si="1"/>
        <v>0</v>
      </c>
      <c r="J100" s="3">
        <f t="shared" si="2"/>
        <v>0</v>
      </c>
      <c r="K100" s="3">
        <f>IF(J100&gt;0,
        J100 * IF(G100&gt;0, G100/100,
            IFERROR( VLOOKUP(A100, Dividends!$A:$C, 3, FALSE) / VLOOKUP(A100, Prices!$A:$B, 2, FALSE), Inputs!$B$4)
        ) / 12,
        0)</f>
        <v>0</v>
      </c>
      <c r="L100" s="3">
        <f t="shared" si="3"/>
        <v>0</v>
      </c>
    </row>
    <row r="101" ht="15.75" customHeight="1">
      <c r="F101" s="3" t="str">
        <f>IFERROR(VLOOKUP(A101, Prices!A:B, 2, FALSE), )</f>
        <v/>
      </c>
      <c r="G101" s="3">
        <f>IFERROR(VLOOKUP(A101, Dividends!$A:$B, 2, FALSE),
       IFERROR( (VLOOKUP(A101, Dividends!$A:$C, 3, FALSE) / VLOOKUP(A101, Prices!$A:$B, 2, FALSE)) * 100,
                Inputs!$B$4*100 ))</f>
        <v>65</v>
      </c>
      <c r="H101" s="3">
        <f>IFERROR(SUMIF(Purchases!B:B, A101, Purchases!D:D), 0)</f>
        <v>0</v>
      </c>
      <c r="I101" s="3">
        <f t="shared" si="1"/>
        <v>0</v>
      </c>
      <c r="J101" s="3">
        <f t="shared" si="2"/>
        <v>0</v>
      </c>
      <c r="K101" s="3">
        <f>IF(J101&gt;0,
        J101 * IF(G101&gt;0, G101/100,
            IFERROR( VLOOKUP(A101, Dividends!$A:$C, 3, FALSE) / VLOOKUP(A101, Prices!$A:$B, 2, FALSE), Inputs!$B$4)
        ) / 12,
        0)</f>
        <v>0</v>
      </c>
      <c r="L101" s="3">
        <f t="shared" si="3"/>
        <v>0</v>
      </c>
    </row>
    <row r="102" ht="15.75" customHeight="1">
      <c r="F102" s="3" t="str">
        <f>IFERROR(VLOOKUP(A102, Prices!A:B, 2, FALSE), )</f>
        <v/>
      </c>
      <c r="G102" s="3">
        <f>IFERROR(VLOOKUP(A102, Dividends!$A:$B, 2, FALSE),
       IFERROR( (VLOOKUP(A102, Dividends!$A:$C, 3, FALSE) / VLOOKUP(A102, Prices!$A:$B, 2, FALSE)) * 100,
                Inputs!$B$4*100 ))</f>
        <v>65</v>
      </c>
      <c r="H102" s="3">
        <f>IFERROR(SUMIF(Purchases!B:B, A102, Purchases!D:D), 0)</f>
        <v>0</v>
      </c>
      <c r="I102" s="3">
        <f t="shared" si="1"/>
        <v>0</v>
      </c>
      <c r="J102" s="3">
        <f t="shared" si="2"/>
        <v>0</v>
      </c>
      <c r="K102" s="3">
        <f>IF(J102&gt;0,
        J102 * IF(G102&gt;0, G102/100,
            IFERROR( VLOOKUP(A102, Dividends!$A:$C, 3, FALSE) / VLOOKUP(A102, Prices!$A:$B, 2, FALSE), Inputs!$B$4)
        ) / 12,
        0)</f>
        <v>0</v>
      </c>
      <c r="L102" s="3">
        <f t="shared" si="3"/>
        <v>0</v>
      </c>
    </row>
    <row r="103" ht="15.75" customHeight="1">
      <c r="F103" s="3" t="str">
        <f>IFERROR(VLOOKUP(A103, Prices!A:B, 2, FALSE), )</f>
        <v/>
      </c>
      <c r="G103" s="3">
        <f>IFERROR(VLOOKUP(A103, Dividends!$A:$B, 2, FALSE),
       IFERROR( (VLOOKUP(A103, Dividends!$A:$C, 3, FALSE) / VLOOKUP(A103, Prices!$A:$B, 2, FALSE)) * 100,
                Inputs!$B$4*100 ))</f>
        <v>65</v>
      </c>
      <c r="H103" s="3">
        <f>IFERROR(SUMIF(Purchases!B:B, A103, Purchases!D:D), 0)</f>
        <v>0</v>
      </c>
      <c r="I103" s="3">
        <f t="shared" si="1"/>
        <v>0</v>
      </c>
      <c r="J103" s="3">
        <f t="shared" si="2"/>
        <v>0</v>
      </c>
      <c r="K103" s="3">
        <f>IF(J103&gt;0,
        J103 * IF(G103&gt;0, G103/100,
            IFERROR( VLOOKUP(A103, Dividends!$A:$C, 3, FALSE) / VLOOKUP(A103, Prices!$A:$B, 2, FALSE), Inputs!$B$4)
        ) / 12,
        0)</f>
        <v>0</v>
      </c>
      <c r="L103" s="3">
        <f t="shared" si="3"/>
        <v>0</v>
      </c>
    </row>
    <row r="104" ht="15.75" customHeight="1">
      <c r="F104" s="3" t="str">
        <f>IFERROR(VLOOKUP(A104, Prices!A:B, 2, FALSE), )</f>
        <v/>
      </c>
      <c r="G104" s="3">
        <f>IFERROR(VLOOKUP(A104, Dividends!$A:$B, 2, FALSE),
       IFERROR( (VLOOKUP(A104, Dividends!$A:$C, 3, FALSE) / VLOOKUP(A104, Prices!$A:$B, 2, FALSE)) * 100,
                Inputs!$B$4*100 ))</f>
        <v>65</v>
      </c>
      <c r="H104" s="3">
        <f>IFERROR(SUMIF(Purchases!B:B, A104, Purchases!D:D), 0)</f>
        <v>0</v>
      </c>
      <c r="I104" s="3">
        <f t="shared" si="1"/>
        <v>0</v>
      </c>
      <c r="J104" s="3">
        <f t="shared" si="2"/>
        <v>0</v>
      </c>
      <c r="K104" s="3">
        <f>IF(J104&gt;0,
        J104 * IF(G104&gt;0, G104/100,
            IFERROR( VLOOKUP(A104, Dividends!$A:$C, 3, FALSE) / VLOOKUP(A104, Prices!$A:$B, 2, FALSE), Inputs!$B$4)
        ) / 12,
        0)</f>
        <v>0</v>
      </c>
      <c r="L104" s="3">
        <f t="shared" si="3"/>
        <v>0</v>
      </c>
    </row>
    <row r="105" ht="15.75" customHeight="1">
      <c r="F105" s="3" t="str">
        <f>IFERROR(VLOOKUP(A105, Prices!A:B, 2, FALSE), )</f>
        <v/>
      </c>
      <c r="G105" s="3">
        <f>IFERROR(VLOOKUP(A105, Dividends!$A:$B, 2, FALSE),
       IFERROR( (VLOOKUP(A105, Dividends!$A:$C, 3, FALSE) / VLOOKUP(A105, Prices!$A:$B, 2, FALSE)) * 100,
                Inputs!$B$4*100 ))</f>
        <v>65</v>
      </c>
      <c r="H105" s="3">
        <f>IFERROR(SUMIF(Purchases!B:B, A105, Purchases!D:D), 0)</f>
        <v>0</v>
      </c>
      <c r="I105" s="3">
        <f t="shared" si="1"/>
        <v>0</v>
      </c>
      <c r="J105" s="3">
        <f t="shared" si="2"/>
        <v>0</v>
      </c>
      <c r="K105" s="3">
        <f>IF(J105&gt;0,
        J105 * IF(G105&gt;0, G105/100,
            IFERROR( VLOOKUP(A105, Dividends!$A:$C, 3, FALSE) / VLOOKUP(A105, Prices!$A:$B, 2, FALSE), Inputs!$B$4)
        ) / 12,
        0)</f>
        <v>0</v>
      </c>
      <c r="L105" s="3">
        <f t="shared" si="3"/>
        <v>0</v>
      </c>
    </row>
    <row r="106" ht="15.75" customHeight="1">
      <c r="F106" s="3" t="str">
        <f>IFERROR(VLOOKUP(A106, Prices!A:B, 2, FALSE), )</f>
        <v/>
      </c>
      <c r="G106" s="3">
        <f>IFERROR(VLOOKUP(A106, Dividends!$A:$B, 2, FALSE),
       IFERROR( (VLOOKUP(A106, Dividends!$A:$C, 3, FALSE) / VLOOKUP(A106, Prices!$A:$B, 2, FALSE)) * 100,
                Inputs!$B$4*100 ))</f>
        <v>65</v>
      </c>
      <c r="H106" s="3">
        <f>IFERROR(SUMIF(Purchases!B:B, A106, Purchases!D:D), 0)</f>
        <v>0</v>
      </c>
      <c r="I106" s="3">
        <f t="shared" si="1"/>
        <v>0</v>
      </c>
      <c r="J106" s="3">
        <f t="shared" si="2"/>
        <v>0</v>
      </c>
      <c r="K106" s="3">
        <f>IF(J106&gt;0,
        J106 * IF(G106&gt;0, G106/100,
            IFERROR( VLOOKUP(A106, Dividends!$A:$C, 3, FALSE) / VLOOKUP(A106, Prices!$A:$B, 2, FALSE), Inputs!$B$4)
        ) / 12,
        0)</f>
        <v>0</v>
      </c>
      <c r="L106" s="3">
        <f t="shared" si="3"/>
        <v>0</v>
      </c>
    </row>
    <row r="107" ht="15.75" customHeight="1">
      <c r="F107" s="3" t="str">
        <f>IFERROR(VLOOKUP(A107, Prices!A:B, 2, FALSE), )</f>
        <v/>
      </c>
      <c r="G107" s="3">
        <f>IFERROR(VLOOKUP(A107, Dividends!$A:$B, 2, FALSE),
       IFERROR( (VLOOKUP(A107, Dividends!$A:$C, 3, FALSE) / VLOOKUP(A107, Prices!$A:$B, 2, FALSE)) * 100,
                Inputs!$B$4*100 ))</f>
        <v>65</v>
      </c>
      <c r="H107" s="3">
        <f>IFERROR(SUMIF(Purchases!B:B, A107, Purchases!D:D), 0)</f>
        <v>0</v>
      </c>
      <c r="I107" s="3">
        <f t="shared" si="1"/>
        <v>0</v>
      </c>
      <c r="J107" s="3">
        <f t="shared" si="2"/>
        <v>0</v>
      </c>
      <c r="K107" s="3">
        <f>IF(J107&gt;0,
        J107 * IF(G107&gt;0, G107/100,
            IFERROR( VLOOKUP(A107, Dividends!$A:$C, 3, FALSE) / VLOOKUP(A107, Prices!$A:$B, 2, FALSE), Inputs!$B$4)
        ) / 12,
        0)</f>
        <v>0</v>
      </c>
      <c r="L107" s="3">
        <f t="shared" si="3"/>
        <v>0</v>
      </c>
    </row>
    <row r="108" ht="15.75" customHeight="1">
      <c r="F108" s="3" t="str">
        <f>IFERROR(VLOOKUP(A108, Prices!A:B, 2, FALSE), )</f>
        <v/>
      </c>
      <c r="G108" s="3">
        <f>IFERROR(VLOOKUP(A108, Dividends!$A:$B, 2, FALSE),
       IFERROR( (VLOOKUP(A108, Dividends!$A:$C, 3, FALSE) / VLOOKUP(A108, Prices!$A:$B, 2, FALSE)) * 100,
                Inputs!$B$4*100 ))</f>
        <v>65</v>
      </c>
      <c r="H108" s="3">
        <f>IFERROR(SUMIF(Purchases!B:B, A108, Purchases!D:D), 0)</f>
        <v>0</v>
      </c>
      <c r="I108" s="3">
        <f t="shared" si="1"/>
        <v>0</v>
      </c>
      <c r="J108" s="3">
        <f t="shared" si="2"/>
        <v>0</v>
      </c>
      <c r="K108" s="3">
        <f>IF(J108&gt;0,
        J108 * IF(G108&gt;0, G108/100,
            IFERROR( VLOOKUP(A108, Dividends!$A:$C, 3, FALSE) / VLOOKUP(A108, Prices!$A:$B, 2, FALSE), Inputs!$B$4)
        ) / 12,
        0)</f>
        <v>0</v>
      </c>
      <c r="L108" s="3">
        <f t="shared" si="3"/>
        <v>0</v>
      </c>
    </row>
    <row r="109" ht="15.75" customHeight="1">
      <c r="F109" s="3" t="str">
        <f>IFERROR(VLOOKUP(A109, Prices!A:B, 2, FALSE), )</f>
        <v/>
      </c>
      <c r="G109" s="3">
        <f>IFERROR(VLOOKUP(A109, Dividends!$A:$B, 2, FALSE),
       IFERROR( (VLOOKUP(A109, Dividends!$A:$C, 3, FALSE) / VLOOKUP(A109, Prices!$A:$B, 2, FALSE)) * 100,
                Inputs!$B$4*100 ))</f>
        <v>65</v>
      </c>
      <c r="H109" s="3">
        <f>IFERROR(SUMIF(Purchases!B:B, A109, Purchases!D:D), 0)</f>
        <v>0</v>
      </c>
      <c r="I109" s="3">
        <f t="shared" si="1"/>
        <v>0</v>
      </c>
      <c r="J109" s="3">
        <f t="shared" si="2"/>
        <v>0</v>
      </c>
      <c r="K109" s="3">
        <f>IF(J109&gt;0,
        J109 * IF(G109&gt;0, G109/100,
            IFERROR( VLOOKUP(A109, Dividends!$A:$C, 3, FALSE) / VLOOKUP(A109, Prices!$A:$B, 2, FALSE), Inputs!$B$4)
        ) / 12,
        0)</f>
        <v>0</v>
      </c>
      <c r="L109" s="3">
        <f t="shared" si="3"/>
        <v>0</v>
      </c>
    </row>
    <row r="110" ht="15.75" customHeight="1">
      <c r="F110" s="3" t="str">
        <f>IFERROR(VLOOKUP(A110, Prices!A:B, 2, FALSE), )</f>
        <v/>
      </c>
      <c r="G110" s="3">
        <f>IFERROR(VLOOKUP(A110, Dividends!$A:$B, 2, FALSE),
       IFERROR( (VLOOKUP(A110, Dividends!$A:$C, 3, FALSE) / VLOOKUP(A110, Prices!$A:$B, 2, FALSE)) * 100,
                Inputs!$B$4*100 ))</f>
        <v>65</v>
      </c>
      <c r="H110" s="3">
        <f>IFERROR(SUMIF(Purchases!B:B, A110, Purchases!D:D), 0)</f>
        <v>0</v>
      </c>
      <c r="I110" s="3">
        <f t="shared" si="1"/>
        <v>0</v>
      </c>
      <c r="J110" s="3">
        <f t="shared" si="2"/>
        <v>0</v>
      </c>
      <c r="K110" s="3">
        <f>IF(J110&gt;0,
        J110 * IF(G110&gt;0, G110/100,
            IFERROR( VLOOKUP(A110, Dividends!$A:$C, 3, FALSE) / VLOOKUP(A110, Prices!$A:$B, 2, FALSE), Inputs!$B$4)
        ) / 12,
        0)</f>
        <v>0</v>
      </c>
      <c r="L110" s="3">
        <f t="shared" si="3"/>
        <v>0</v>
      </c>
    </row>
    <row r="111" ht="15.75" customHeight="1">
      <c r="F111" s="3" t="str">
        <f>IFERROR(VLOOKUP(A111, Prices!A:B, 2, FALSE), )</f>
        <v/>
      </c>
      <c r="G111" s="3">
        <f>IFERROR(VLOOKUP(A111, Dividends!$A:$B, 2, FALSE),
       IFERROR( (VLOOKUP(A111, Dividends!$A:$C, 3, FALSE) / VLOOKUP(A111, Prices!$A:$B, 2, FALSE)) * 100,
                Inputs!$B$4*100 ))</f>
        <v>65</v>
      </c>
      <c r="H111" s="3">
        <f>IFERROR(SUMIF(Purchases!B:B, A111, Purchases!D:D), 0)</f>
        <v>0</v>
      </c>
      <c r="I111" s="3">
        <f t="shared" si="1"/>
        <v>0</v>
      </c>
      <c r="J111" s="3">
        <f t="shared" si="2"/>
        <v>0</v>
      </c>
      <c r="K111" s="3">
        <f>IF(J111&gt;0,
        J111 * IF(G111&gt;0, G111/100,
            IFERROR( VLOOKUP(A111, Dividends!$A:$C, 3, FALSE) / VLOOKUP(A111, Prices!$A:$B, 2, FALSE), Inputs!$B$4)
        ) / 12,
        0)</f>
        <v>0</v>
      </c>
      <c r="L111" s="3">
        <f t="shared" si="3"/>
        <v>0</v>
      </c>
    </row>
    <row r="112" ht="15.75" customHeight="1">
      <c r="F112" s="3" t="str">
        <f>IFERROR(VLOOKUP(A112, Prices!A:B, 2, FALSE), )</f>
        <v/>
      </c>
      <c r="G112" s="3">
        <f>IFERROR(VLOOKUP(A112, Dividends!$A:$B, 2, FALSE),
       IFERROR( (VLOOKUP(A112, Dividends!$A:$C, 3, FALSE) / VLOOKUP(A112, Prices!$A:$B, 2, FALSE)) * 100,
                Inputs!$B$4*100 ))</f>
        <v>65</v>
      </c>
      <c r="H112" s="3">
        <f>IFERROR(SUMIF(Purchases!B:B, A112, Purchases!D:D), 0)</f>
        <v>0</v>
      </c>
      <c r="I112" s="3">
        <f t="shared" si="1"/>
        <v>0</v>
      </c>
      <c r="J112" s="3">
        <f t="shared" si="2"/>
        <v>0</v>
      </c>
      <c r="K112" s="3">
        <f>IF(J112&gt;0,
        J112 * IF(G112&gt;0, G112/100,
            IFERROR( VLOOKUP(A112, Dividends!$A:$C, 3, FALSE) / VLOOKUP(A112, Prices!$A:$B, 2, FALSE), Inputs!$B$4)
        ) / 12,
        0)</f>
        <v>0</v>
      </c>
      <c r="L112" s="3">
        <f t="shared" si="3"/>
        <v>0</v>
      </c>
    </row>
    <row r="113" ht="15.75" customHeight="1">
      <c r="F113" s="3" t="str">
        <f>IFERROR(VLOOKUP(A113, Prices!A:B, 2, FALSE), )</f>
        <v/>
      </c>
      <c r="G113" s="3">
        <f>IFERROR(VLOOKUP(A113, Dividends!$A:$B, 2, FALSE),
       IFERROR( (VLOOKUP(A113, Dividends!$A:$C, 3, FALSE) / VLOOKUP(A113, Prices!$A:$B, 2, FALSE)) * 100,
                Inputs!$B$4*100 ))</f>
        <v>65</v>
      </c>
      <c r="H113" s="3">
        <f>IFERROR(SUMIF(Purchases!B:B, A113, Purchases!D:D), 0)</f>
        <v>0</v>
      </c>
      <c r="I113" s="3">
        <f t="shared" si="1"/>
        <v>0</v>
      </c>
      <c r="J113" s="3">
        <f t="shared" si="2"/>
        <v>0</v>
      </c>
      <c r="K113" s="3">
        <f>IF(J113&gt;0,
        J113 * IF(G113&gt;0, G113/100,
            IFERROR( VLOOKUP(A113, Dividends!$A:$C, 3, FALSE) / VLOOKUP(A113, Prices!$A:$B, 2, FALSE), Inputs!$B$4)
        ) / 12,
        0)</f>
        <v>0</v>
      </c>
      <c r="L113" s="3">
        <f t="shared" si="3"/>
        <v>0</v>
      </c>
    </row>
    <row r="114" ht="15.75" customHeight="1">
      <c r="F114" s="3" t="str">
        <f>IFERROR(VLOOKUP(A114, Prices!A:B, 2, FALSE), )</f>
        <v/>
      </c>
      <c r="G114" s="3">
        <f>IFERROR(VLOOKUP(A114, Dividends!$A:$B, 2, FALSE),
       IFERROR( (VLOOKUP(A114, Dividends!$A:$C, 3, FALSE) / VLOOKUP(A114, Prices!$A:$B, 2, FALSE)) * 100,
                Inputs!$B$4*100 ))</f>
        <v>65</v>
      </c>
      <c r="H114" s="3">
        <f>IFERROR(SUMIF(Purchases!B:B, A114, Purchases!D:D), 0)</f>
        <v>0</v>
      </c>
      <c r="I114" s="3">
        <f t="shared" si="1"/>
        <v>0</v>
      </c>
      <c r="J114" s="3">
        <f t="shared" si="2"/>
        <v>0</v>
      </c>
      <c r="K114" s="3">
        <f>IF(J114&gt;0,
        J114 * IF(G114&gt;0, G114/100,
            IFERROR( VLOOKUP(A114, Dividends!$A:$C, 3, FALSE) / VLOOKUP(A114, Prices!$A:$B, 2, FALSE), Inputs!$B$4)
        ) / 12,
        0)</f>
        <v>0</v>
      </c>
      <c r="L114" s="3">
        <f t="shared" si="3"/>
        <v>0</v>
      </c>
    </row>
    <row r="115" ht="15.75" customHeight="1">
      <c r="F115" s="3" t="str">
        <f>IFERROR(VLOOKUP(A115, Prices!A:B, 2, FALSE), )</f>
        <v/>
      </c>
      <c r="G115" s="3">
        <f>IFERROR(VLOOKUP(A115, Dividends!$A:$B, 2, FALSE),
       IFERROR( (VLOOKUP(A115, Dividends!$A:$C, 3, FALSE) / VLOOKUP(A115, Prices!$A:$B, 2, FALSE)) * 100,
                Inputs!$B$4*100 ))</f>
        <v>65</v>
      </c>
      <c r="H115" s="3">
        <f>IFERROR(SUMIF(Purchases!B:B, A115, Purchases!D:D), 0)</f>
        <v>0</v>
      </c>
      <c r="I115" s="3">
        <f t="shared" si="1"/>
        <v>0</v>
      </c>
      <c r="J115" s="3">
        <f t="shared" si="2"/>
        <v>0</v>
      </c>
      <c r="K115" s="3">
        <f>IF(J115&gt;0,
        J115 * IF(G115&gt;0, G115/100,
            IFERROR( VLOOKUP(A115, Dividends!$A:$C, 3, FALSE) / VLOOKUP(A115, Prices!$A:$B, 2, FALSE), Inputs!$B$4)
        ) / 12,
        0)</f>
        <v>0</v>
      </c>
      <c r="L115" s="3">
        <f t="shared" si="3"/>
        <v>0</v>
      </c>
    </row>
    <row r="116" ht="15.75" customHeight="1">
      <c r="F116" s="3" t="str">
        <f>IFERROR(VLOOKUP(A116, Prices!A:B, 2, FALSE), )</f>
        <v/>
      </c>
      <c r="G116" s="3">
        <f>IFERROR(VLOOKUP(A116, Dividends!$A:$B, 2, FALSE),
       IFERROR( (VLOOKUP(A116, Dividends!$A:$C, 3, FALSE) / VLOOKUP(A116, Prices!$A:$B, 2, FALSE)) * 100,
                Inputs!$B$4*100 ))</f>
        <v>65</v>
      </c>
      <c r="H116" s="3">
        <f>IFERROR(SUMIF(Purchases!B:B, A116, Purchases!D:D), 0)</f>
        <v>0</v>
      </c>
      <c r="I116" s="3">
        <f t="shared" si="1"/>
        <v>0</v>
      </c>
      <c r="J116" s="3">
        <f t="shared" si="2"/>
        <v>0</v>
      </c>
      <c r="K116" s="3">
        <f>IF(J116&gt;0,
        J116 * IF(G116&gt;0, G116/100,
            IFERROR( VLOOKUP(A116, Dividends!$A:$C, 3, FALSE) / VLOOKUP(A116, Prices!$A:$B, 2, FALSE), Inputs!$B$4)
        ) / 12,
        0)</f>
        <v>0</v>
      </c>
      <c r="L116" s="3">
        <f t="shared" si="3"/>
        <v>0</v>
      </c>
    </row>
    <row r="117" ht="15.75" customHeight="1">
      <c r="F117" s="3" t="str">
        <f>IFERROR(VLOOKUP(A117, Prices!A:B, 2, FALSE), )</f>
        <v/>
      </c>
      <c r="G117" s="3">
        <f>IFERROR(VLOOKUP(A117, Dividends!$A:$B, 2, FALSE),
       IFERROR( (VLOOKUP(A117, Dividends!$A:$C, 3, FALSE) / VLOOKUP(A117, Prices!$A:$B, 2, FALSE)) * 100,
                Inputs!$B$4*100 ))</f>
        <v>65</v>
      </c>
      <c r="H117" s="3">
        <f>IFERROR(SUMIF(Purchases!B:B, A117, Purchases!D:D), 0)</f>
        <v>0</v>
      </c>
      <c r="I117" s="3">
        <f t="shared" si="1"/>
        <v>0</v>
      </c>
      <c r="J117" s="3">
        <f t="shared" si="2"/>
        <v>0</v>
      </c>
      <c r="K117" s="3">
        <f>IF(J117&gt;0,
        J117 * IF(G117&gt;0, G117/100,
            IFERROR( VLOOKUP(A117, Dividends!$A:$C, 3, FALSE) / VLOOKUP(A117, Prices!$A:$B, 2, FALSE), Inputs!$B$4)
        ) / 12,
        0)</f>
        <v>0</v>
      </c>
      <c r="L117" s="3">
        <f t="shared" si="3"/>
        <v>0</v>
      </c>
    </row>
    <row r="118" ht="15.75" customHeight="1">
      <c r="F118" s="3" t="str">
        <f>IFERROR(VLOOKUP(A118, Prices!A:B, 2, FALSE), )</f>
        <v/>
      </c>
      <c r="G118" s="3">
        <f>IFERROR(VLOOKUP(A118, Dividends!$A:$B, 2, FALSE),
       IFERROR( (VLOOKUP(A118, Dividends!$A:$C, 3, FALSE) / VLOOKUP(A118, Prices!$A:$B, 2, FALSE)) * 100,
                Inputs!$B$4*100 ))</f>
        <v>65</v>
      </c>
      <c r="H118" s="3">
        <f>IFERROR(SUMIF(Purchases!B:B, A118, Purchases!D:D), 0)</f>
        <v>0</v>
      </c>
      <c r="I118" s="3">
        <f t="shared" si="1"/>
        <v>0</v>
      </c>
      <c r="J118" s="3">
        <f t="shared" si="2"/>
        <v>0</v>
      </c>
      <c r="K118" s="3">
        <f>IF(J118&gt;0,
        J118 * IF(G118&gt;0, G118/100,
            IFERROR( VLOOKUP(A118, Dividends!$A:$C, 3, FALSE) / VLOOKUP(A118, Prices!$A:$B, 2, FALSE), Inputs!$B$4)
        ) / 12,
        0)</f>
        <v>0</v>
      </c>
      <c r="L118" s="3">
        <f t="shared" si="3"/>
        <v>0</v>
      </c>
    </row>
    <row r="119" ht="15.75" customHeight="1">
      <c r="F119" s="3" t="str">
        <f>IFERROR(VLOOKUP(A119, Prices!A:B, 2, FALSE), )</f>
        <v/>
      </c>
      <c r="G119" s="3">
        <f>IFERROR(VLOOKUP(A119, Dividends!$A:$B, 2, FALSE),
       IFERROR( (VLOOKUP(A119, Dividends!$A:$C, 3, FALSE) / VLOOKUP(A119, Prices!$A:$B, 2, FALSE)) * 100,
                Inputs!$B$4*100 ))</f>
        <v>65</v>
      </c>
      <c r="H119" s="3">
        <f>IFERROR(SUMIF(Purchases!B:B, A119, Purchases!D:D), 0)</f>
        <v>0</v>
      </c>
      <c r="I119" s="3">
        <f t="shared" si="1"/>
        <v>0</v>
      </c>
      <c r="J119" s="3">
        <f t="shared" si="2"/>
        <v>0</v>
      </c>
      <c r="K119" s="3">
        <f>IF(J119&gt;0,
        J119 * IF(G119&gt;0, G119/100,
            IFERROR( VLOOKUP(A119, Dividends!$A:$C, 3, FALSE) / VLOOKUP(A119, Prices!$A:$B, 2, FALSE), Inputs!$B$4)
        ) / 12,
        0)</f>
        <v>0</v>
      </c>
      <c r="L119" s="3">
        <f t="shared" si="3"/>
        <v>0</v>
      </c>
    </row>
    <row r="120" ht="15.75" customHeight="1">
      <c r="F120" s="3" t="str">
        <f>IFERROR(VLOOKUP(A120, Prices!A:B, 2, FALSE), )</f>
        <v/>
      </c>
      <c r="G120" s="3">
        <f>IFERROR(VLOOKUP(A120, Dividends!$A:$B, 2, FALSE),
       IFERROR( (VLOOKUP(A120, Dividends!$A:$C, 3, FALSE) / VLOOKUP(A120, Prices!$A:$B, 2, FALSE)) * 100,
                Inputs!$B$4*100 ))</f>
        <v>65</v>
      </c>
      <c r="H120" s="3">
        <f>IFERROR(SUMIF(Purchases!B:B, A120, Purchases!D:D), 0)</f>
        <v>0</v>
      </c>
      <c r="I120" s="3">
        <f t="shared" si="1"/>
        <v>0</v>
      </c>
      <c r="J120" s="3">
        <f t="shared" si="2"/>
        <v>0</v>
      </c>
      <c r="K120" s="3">
        <f>IF(J120&gt;0,
        J120 * IF(G120&gt;0, G120/100,
            IFERROR( VLOOKUP(A120, Dividends!$A:$C, 3, FALSE) / VLOOKUP(A120, Prices!$A:$B, 2, FALSE), Inputs!$B$4)
        ) / 12,
        0)</f>
        <v>0</v>
      </c>
      <c r="L120" s="3">
        <f t="shared" si="3"/>
        <v>0</v>
      </c>
    </row>
    <row r="121" ht="15.75" customHeight="1">
      <c r="F121" s="3" t="str">
        <f>IFERROR(VLOOKUP(A121, Prices!A:B, 2, FALSE), )</f>
        <v/>
      </c>
      <c r="G121" s="3">
        <f>IFERROR(VLOOKUP(A121, Dividends!$A:$B, 2, FALSE),
       IFERROR( (VLOOKUP(A121, Dividends!$A:$C, 3, FALSE) / VLOOKUP(A121, Prices!$A:$B, 2, FALSE)) * 100,
                Inputs!$B$4*100 ))</f>
        <v>65</v>
      </c>
      <c r="H121" s="3">
        <f>IFERROR(SUMIF(Purchases!B:B, A121, Purchases!D:D), 0)</f>
        <v>0</v>
      </c>
      <c r="I121" s="3">
        <f t="shared" si="1"/>
        <v>0</v>
      </c>
      <c r="J121" s="3">
        <f t="shared" si="2"/>
        <v>0</v>
      </c>
      <c r="K121" s="3">
        <f>IF(J121&gt;0,
        J121 * IF(G121&gt;0, G121/100,
            IFERROR( VLOOKUP(A121, Dividends!$A:$C, 3, FALSE) / VLOOKUP(A121, Prices!$A:$B, 2, FALSE), Inputs!$B$4)
        ) / 12,
        0)</f>
        <v>0</v>
      </c>
      <c r="L121" s="3">
        <f t="shared" si="3"/>
        <v>0</v>
      </c>
    </row>
    <row r="122" ht="15.75" customHeight="1">
      <c r="F122" s="3" t="str">
        <f>IFERROR(VLOOKUP(A122, Prices!A:B, 2, FALSE), )</f>
        <v/>
      </c>
      <c r="G122" s="3">
        <f>IFERROR(VLOOKUP(A122, Dividends!$A:$B, 2, FALSE),
       IFERROR( (VLOOKUP(A122, Dividends!$A:$C, 3, FALSE) / VLOOKUP(A122, Prices!$A:$B, 2, FALSE)) * 100,
                Inputs!$B$4*100 ))</f>
        <v>65</v>
      </c>
      <c r="H122" s="3">
        <f>IFERROR(SUMIF(Purchases!B:B, A122, Purchases!D:D), 0)</f>
        <v>0</v>
      </c>
      <c r="I122" s="3">
        <f t="shared" si="1"/>
        <v>0</v>
      </c>
      <c r="J122" s="3">
        <f t="shared" si="2"/>
        <v>0</v>
      </c>
      <c r="K122" s="3">
        <f>IF(J122&gt;0,
        J122 * IF(G122&gt;0, G122/100,
            IFERROR( VLOOKUP(A122, Dividends!$A:$C, 3, FALSE) / VLOOKUP(A122, Prices!$A:$B, 2, FALSE), Inputs!$B$4)
        ) / 12,
        0)</f>
        <v>0</v>
      </c>
      <c r="L122" s="3">
        <f t="shared" si="3"/>
        <v>0</v>
      </c>
    </row>
    <row r="123" ht="15.75" customHeight="1">
      <c r="F123" s="3" t="str">
        <f>IFERROR(VLOOKUP(A123, Prices!A:B, 2, FALSE), )</f>
        <v/>
      </c>
      <c r="G123" s="3">
        <f>IFERROR(VLOOKUP(A123, Dividends!$A:$B, 2, FALSE),
       IFERROR( (VLOOKUP(A123, Dividends!$A:$C, 3, FALSE) / VLOOKUP(A123, Prices!$A:$B, 2, FALSE)) * 100,
                Inputs!$B$4*100 ))</f>
        <v>65</v>
      </c>
      <c r="H123" s="3">
        <f>IFERROR(SUMIF(Purchases!B:B, A123, Purchases!D:D), 0)</f>
        <v>0</v>
      </c>
      <c r="I123" s="3">
        <f t="shared" si="1"/>
        <v>0</v>
      </c>
      <c r="J123" s="3">
        <f t="shared" si="2"/>
        <v>0</v>
      </c>
      <c r="K123" s="3">
        <f>IF(J123&gt;0,
        J123 * IF(G123&gt;0, G123/100,
            IFERROR( VLOOKUP(A123, Dividends!$A:$C, 3, FALSE) / VLOOKUP(A123, Prices!$A:$B, 2, FALSE), Inputs!$B$4)
        ) / 12,
        0)</f>
        <v>0</v>
      </c>
      <c r="L123" s="3">
        <f t="shared" si="3"/>
        <v>0</v>
      </c>
    </row>
    <row r="124" ht="15.75" customHeight="1">
      <c r="F124" s="3" t="str">
        <f>IFERROR(VLOOKUP(A124, Prices!A:B, 2, FALSE), )</f>
        <v/>
      </c>
      <c r="G124" s="3">
        <f>IFERROR(VLOOKUP(A124, Dividends!$A:$B, 2, FALSE),
       IFERROR( (VLOOKUP(A124, Dividends!$A:$C, 3, FALSE) / VLOOKUP(A124, Prices!$A:$B, 2, FALSE)) * 100,
                Inputs!$B$4*100 ))</f>
        <v>65</v>
      </c>
      <c r="H124" s="3">
        <f>IFERROR(SUMIF(Purchases!B:B, A124, Purchases!D:D), 0)</f>
        <v>0</v>
      </c>
      <c r="I124" s="3">
        <f t="shared" si="1"/>
        <v>0</v>
      </c>
      <c r="J124" s="3">
        <f t="shared" si="2"/>
        <v>0</v>
      </c>
      <c r="K124" s="3">
        <f>IF(J124&gt;0,
        J124 * IF(G124&gt;0, G124/100,
            IFERROR( VLOOKUP(A124, Dividends!$A:$C, 3, FALSE) / VLOOKUP(A124, Prices!$A:$B, 2, FALSE), Inputs!$B$4)
        ) / 12,
        0)</f>
        <v>0</v>
      </c>
      <c r="L124" s="3">
        <f t="shared" si="3"/>
        <v>0</v>
      </c>
    </row>
    <row r="125" ht="15.75" customHeight="1">
      <c r="F125" s="3" t="str">
        <f>IFERROR(VLOOKUP(A125, Prices!A:B, 2, FALSE), )</f>
        <v/>
      </c>
      <c r="G125" s="3">
        <f>IFERROR(VLOOKUP(A125, Dividends!$A:$B, 2, FALSE),
       IFERROR( (VLOOKUP(A125, Dividends!$A:$C, 3, FALSE) / VLOOKUP(A125, Prices!$A:$B, 2, FALSE)) * 100,
                Inputs!$B$4*100 ))</f>
        <v>65</v>
      </c>
      <c r="H125" s="3">
        <f>IFERROR(SUMIF(Purchases!B:B, A125, Purchases!D:D), 0)</f>
        <v>0</v>
      </c>
      <c r="I125" s="3">
        <f t="shared" si="1"/>
        <v>0</v>
      </c>
      <c r="J125" s="3">
        <f t="shared" si="2"/>
        <v>0</v>
      </c>
      <c r="K125" s="3">
        <f>IF(J125&gt;0,
        J125 * IF(G125&gt;0, G125/100,
            IFERROR( VLOOKUP(A125, Dividends!$A:$C, 3, FALSE) / VLOOKUP(A125, Prices!$A:$B, 2, FALSE), Inputs!$B$4)
        ) / 12,
        0)</f>
        <v>0</v>
      </c>
      <c r="L125" s="3">
        <f t="shared" si="3"/>
        <v>0</v>
      </c>
    </row>
    <row r="126" ht="15.75" customHeight="1">
      <c r="F126" s="3" t="str">
        <f>IFERROR(VLOOKUP(A126, Prices!A:B, 2, FALSE), )</f>
        <v/>
      </c>
      <c r="G126" s="3">
        <f>IFERROR(VLOOKUP(A126, Dividends!$A:$B, 2, FALSE),
       IFERROR( (VLOOKUP(A126, Dividends!$A:$C, 3, FALSE) / VLOOKUP(A126, Prices!$A:$B, 2, FALSE)) * 100,
                Inputs!$B$4*100 ))</f>
        <v>65</v>
      </c>
      <c r="H126" s="3">
        <f>IFERROR(SUMIF(Purchases!B:B, A126, Purchases!D:D), 0)</f>
        <v>0</v>
      </c>
      <c r="I126" s="3">
        <f t="shared" si="1"/>
        <v>0</v>
      </c>
      <c r="J126" s="3">
        <f t="shared" si="2"/>
        <v>0</v>
      </c>
      <c r="K126" s="3">
        <f>IF(J126&gt;0,
        J126 * IF(G126&gt;0, G126/100,
            IFERROR( VLOOKUP(A126, Dividends!$A:$C, 3, FALSE) / VLOOKUP(A126, Prices!$A:$B, 2, FALSE), Inputs!$B$4)
        ) / 12,
        0)</f>
        <v>0</v>
      </c>
      <c r="L126" s="3">
        <f t="shared" si="3"/>
        <v>0</v>
      </c>
    </row>
    <row r="127" ht="15.75" customHeight="1">
      <c r="F127" s="3" t="str">
        <f>IFERROR(VLOOKUP(A127, Prices!A:B, 2, FALSE), )</f>
        <v/>
      </c>
      <c r="G127" s="3">
        <f>IFERROR(VLOOKUP(A127, Dividends!$A:$B, 2, FALSE),
       IFERROR( (VLOOKUP(A127, Dividends!$A:$C, 3, FALSE) / VLOOKUP(A127, Prices!$A:$B, 2, FALSE)) * 100,
                Inputs!$B$4*100 ))</f>
        <v>65</v>
      </c>
      <c r="H127" s="3">
        <f>IFERROR(SUMIF(Purchases!B:B, A127, Purchases!D:D), 0)</f>
        <v>0</v>
      </c>
      <c r="I127" s="3">
        <f t="shared" si="1"/>
        <v>0</v>
      </c>
      <c r="J127" s="3">
        <f t="shared" si="2"/>
        <v>0</v>
      </c>
      <c r="K127" s="3">
        <f>IF(J127&gt;0,
        J127 * IF(G127&gt;0, G127/100,
            IFERROR( VLOOKUP(A127, Dividends!$A:$C, 3, FALSE) / VLOOKUP(A127, Prices!$A:$B, 2, FALSE), Inputs!$B$4)
        ) / 12,
        0)</f>
        <v>0</v>
      </c>
      <c r="L127" s="3">
        <f t="shared" si="3"/>
        <v>0</v>
      </c>
    </row>
    <row r="128" ht="15.75" customHeight="1">
      <c r="F128" s="3" t="str">
        <f>IFERROR(VLOOKUP(A128, Prices!A:B, 2, FALSE), )</f>
        <v/>
      </c>
      <c r="G128" s="3">
        <f>IFERROR(VLOOKUP(A128, Dividends!$A:$B, 2, FALSE),
       IFERROR( (VLOOKUP(A128, Dividends!$A:$C, 3, FALSE) / VLOOKUP(A128, Prices!$A:$B, 2, FALSE)) * 100,
                Inputs!$B$4*100 ))</f>
        <v>65</v>
      </c>
      <c r="H128" s="3">
        <f>IFERROR(SUMIF(Purchases!B:B, A128, Purchases!D:D), 0)</f>
        <v>0</v>
      </c>
      <c r="I128" s="3">
        <f t="shared" si="1"/>
        <v>0</v>
      </c>
      <c r="J128" s="3">
        <f t="shared" si="2"/>
        <v>0</v>
      </c>
      <c r="K128" s="3">
        <f>IF(J128&gt;0,
        J128 * IF(G128&gt;0, G128/100,
            IFERROR( VLOOKUP(A128, Dividends!$A:$C, 3, FALSE) / VLOOKUP(A128, Prices!$A:$B, 2, FALSE), Inputs!$B$4)
        ) / 12,
        0)</f>
        <v>0</v>
      </c>
      <c r="L128" s="3">
        <f t="shared" si="3"/>
        <v>0</v>
      </c>
    </row>
    <row r="129" ht="15.75" customHeight="1">
      <c r="F129" s="3" t="str">
        <f>IFERROR(VLOOKUP(A129, Prices!A:B, 2, FALSE), )</f>
        <v/>
      </c>
      <c r="G129" s="3">
        <f>IFERROR(VLOOKUP(A129, Dividends!$A:$B, 2, FALSE),
       IFERROR( (VLOOKUP(A129, Dividends!$A:$C, 3, FALSE) / VLOOKUP(A129, Prices!$A:$B, 2, FALSE)) * 100,
                Inputs!$B$4*100 ))</f>
        <v>65</v>
      </c>
      <c r="H129" s="3">
        <f>IFERROR(SUMIF(Purchases!B:B, A129, Purchases!D:D), 0)</f>
        <v>0</v>
      </c>
      <c r="I129" s="3">
        <f t="shared" si="1"/>
        <v>0</v>
      </c>
      <c r="J129" s="3">
        <f t="shared" si="2"/>
        <v>0</v>
      </c>
      <c r="K129" s="3">
        <f>IF(J129&gt;0,
        J129 * IF(G129&gt;0, G129/100,
            IFERROR( VLOOKUP(A129, Dividends!$A:$C, 3, FALSE) / VLOOKUP(A129, Prices!$A:$B, 2, FALSE), Inputs!$B$4)
        ) / 12,
        0)</f>
        <v>0</v>
      </c>
      <c r="L129" s="3">
        <f t="shared" si="3"/>
        <v>0</v>
      </c>
    </row>
    <row r="130" ht="15.75" customHeight="1">
      <c r="F130" s="3" t="str">
        <f>IFERROR(VLOOKUP(A130, Prices!A:B, 2, FALSE), )</f>
        <v/>
      </c>
      <c r="G130" s="3">
        <f>IFERROR(VLOOKUP(A130, Dividends!$A:$B, 2, FALSE),
       IFERROR( (VLOOKUP(A130, Dividends!$A:$C, 3, FALSE) / VLOOKUP(A130, Prices!$A:$B, 2, FALSE)) * 100,
                Inputs!$B$4*100 ))</f>
        <v>65</v>
      </c>
      <c r="H130" s="3">
        <f>IFERROR(SUMIF(Purchases!B:B, A130, Purchases!D:D), 0)</f>
        <v>0</v>
      </c>
      <c r="I130" s="3">
        <f t="shared" si="1"/>
        <v>0</v>
      </c>
      <c r="J130" s="3">
        <f t="shared" si="2"/>
        <v>0</v>
      </c>
      <c r="K130" s="3">
        <f>IF(J130&gt;0,
        J130 * IF(G130&gt;0, G130/100,
            IFERROR( VLOOKUP(A130, Dividends!$A:$C, 3, FALSE) / VLOOKUP(A130, Prices!$A:$B, 2, FALSE), Inputs!$B$4)
        ) / 12,
        0)</f>
        <v>0</v>
      </c>
      <c r="L130" s="3">
        <f t="shared" si="3"/>
        <v>0</v>
      </c>
    </row>
    <row r="131" ht="15.75" customHeight="1">
      <c r="F131" s="3" t="str">
        <f>IFERROR(VLOOKUP(A131, Prices!A:B, 2, FALSE), )</f>
        <v/>
      </c>
      <c r="G131" s="3">
        <f>IFERROR(VLOOKUP(A131, Dividends!$A:$B, 2, FALSE),
       IFERROR( (VLOOKUP(A131, Dividends!$A:$C, 3, FALSE) / VLOOKUP(A131, Prices!$A:$B, 2, FALSE)) * 100,
                Inputs!$B$4*100 ))</f>
        <v>65</v>
      </c>
      <c r="H131" s="3">
        <f>IFERROR(SUMIF(Purchases!B:B, A131, Purchases!D:D), 0)</f>
        <v>0</v>
      </c>
      <c r="I131" s="3">
        <f t="shared" si="1"/>
        <v>0</v>
      </c>
      <c r="J131" s="3">
        <f t="shared" si="2"/>
        <v>0</v>
      </c>
      <c r="K131" s="3">
        <f>IF(J131&gt;0,
        J131 * IF(G131&gt;0, G131/100,
            IFERROR( VLOOKUP(A131, Dividends!$A:$C, 3, FALSE) / VLOOKUP(A131, Prices!$A:$B, 2, FALSE), Inputs!$B$4)
        ) / 12,
        0)</f>
        <v>0</v>
      </c>
      <c r="L131" s="3">
        <f t="shared" si="3"/>
        <v>0</v>
      </c>
    </row>
    <row r="132" ht="15.75" customHeight="1">
      <c r="F132" s="3" t="str">
        <f>IFERROR(VLOOKUP(A132, Prices!A:B, 2, FALSE), )</f>
        <v/>
      </c>
      <c r="G132" s="3">
        <f>IFERROR(VLOOKUP(A132, Dividends!$A:$B, 2, FALSE),
       IFERROR( (VLOOKUP(A132, Dividends!$A:$C, 3, FALSE) / VLOOKUP(A132, Prices!$A:$B, 2, FALSE)) * 100,
                Inputs!$B$4*100 ))</f>
        <v>65</v>
      </c>
      <c r="H132" s="3">
        <f>IFERROR(SUMIF(Purchases!B:B, A132, Purchases!D:D), 0)</f>
        <v>0</v>
      </c>
      <c r="I132" s="3">
        <f t="shared" si="1"/>
        <v>0</v>
      </c>
      <c r="J132" s="3">
        <f t="shared" si="2"/>
        <v>0</v>
      </c>
      <c r="K132" s="3">
        <f>IF(J132&gt;0,
        J132 * IF(G132&gt;0, G132/100,
            IFERROR( VLOOKUP(A132, Dividends!$A:$C, 3, FALSE) / VLOOKUP(A132, Prices!$A:$B, 2, FALSE), Inputs!$B$4)
        ) / 12,
        0)</f>
        <v>0</v>
      </c>
      <c r="L132" s="3">
        <f t="shared" si="3"/>
        <v>0</v>
      </c>
    </row>
    <row r="133" ht="15.75" customHeight="1">
      <c r="F133" s="3" t="str">
        <f>IFERROR(VLOOKUP(A133, Prices!A:B, 2, FALSE), )</f>
        <v/>
      </c>
      <c r="G133" s="3">
        <f>IFERROR(VLOOKUP(A133, Dividends!$A:$B, 2, FALSE),
       IFERROR( (VLOOKUP(A133, Dividends!$A:$C, 3, FALSE) / VLOOKUP(A133, Prices!$A:$B, 2, FALSE)) * 100,
                Inputs!$B$4*100 ))</f>
        <v>65</v>
      </c>
      <c r="H133" s="3">
        <f>IFERROR(SUMIF(Purchases!B:B, A133, Purchases!D:D), 0)</f>
        <v>0</v>
      </c>
      <c r="I133" s="3">
        <f t="shared" si="1"/>
        <v>0</v>
      </c>
      <c r="J133" s="3">
        <f t="shared" si="2"/>
        <v>0</v>
      </c>
      <c r="K133" s="3">
        <f>IF(J133&gt;0,
        J133 * IF(G133&gt;0, G133/100,
            IFERROR( VLOOKUP(A133, Dividends!$A:$C, 3, FALSE) / VLOOKUP(A133, Prices!$A:$B, 2, FALSE), Inputs!$B$4)
        ) / 12,
        0)</f>
        <v>0</v>
      </c>
      <c r="L133" s="3">
        <f t="shared" si="3"/>
        <v>0</v>
      </c>
    </row>
    <row r="134" ht="15.75" customHeight="1">
      <c r="F134" s="3" t="str">
        <f>IFERROR(VLOOKUP(A134, Prices!A:B, 2, FALSE), )</f>
        <v/>
      </c>
      <c r="G134" s="3">
        <f>IFERROR(VLOOKUP(A134, Dividends!$A:$B, 2, FALSE),
       IFERROR( (VLOOKUP(A134, Dividends!$A:$C, 3, FALSE) / VLOOKUP(A134, Prices!$A:$B, 2, FALSE)) * 100,
                Inputs!$B$4*100 ))</f>
        <v>65</v>
      </c>
      <c r="H134" s="3">
        <f>IFERROR(SUMIF(Purchases!B:B, A134, Purchases!D:D), 0)</f>
        <v>0</v>
      </c>
      <c r="I134" s="3">
        <f t="shared" si="1"/>
        <v>0</v>
      </c>
      <c r="J134" s="3">
        <f t="shared" si="2"/>
        <v>0</v>
      </c>
      <c r="K134" s="3">
        <f>IF(J134&gt;0,
        J134 * IF(G134&gt;0, G134/100,
            IFERROR( VLOOKUP(A134, Dividends!$A:$C, 3, FALSE) / VLOOKUP(A134, Prices!$A:$B, 2, FALSE), Inputs!$B$4)
        ) / 12,
        0)</f>
        <v>0</v>
      </c>
      <c r="L134" s="3">
        <f t="shared" si="3"/>
        <v>0</v>
      </c>
    </row>
    <row r="135" ht="15.75" customHeight="1">
      <c r="F135" s="3" t="str">
        <f>IFERROR(VLOOKUP(A135, Prices!A:B, 2, FALSE), )</f>
        <v/>
      </c>
      <c r="G135" s="3">
        <f>IFERROR(VLOOKUP(A135, Dividends!$A:$B, 2, FALSE),
       IFERROR( (VLOOKUP(A135, Dividends!$A:$C, 3, FALSE) / VLOOKUP(A135, Prices!$A:$B, 2, FALSE)) * 100,
                Inputs!$B$4*100 ))</f>
        <v>65</v>
      </c>
      <c r="H135" s="3">
        <f>IFERROR(SUMIF(Purchases!B:B, A135, Purchases!D:D), 0)</f>
        <v>0</v>
      </c>
      <c r="I135" s="3">
        <f t="shared" si="1"/>
        <v>0</v>
      </c>
      <c r="J135" s="3">
        <f t="shared" si="2"/>
        <v>0</v>
      </c>
      <c r="K135" s="3">
        <f>IF(J135&gt;0,
        J135 * IF(G135&gt;0, G135/100,
            IFERROR( VLOOKUP(A135, Dividends!$A:$C, 3, FALSE) / VLOOKUP(A135, Prices!$A:$B, 2, FALSE), Inputs!$B$4)
        ) / 12,
        0)</f>
        <v>0</v>
      </c>
      <c r="L135" s="3">
        <f t="shared" si="3"/>
        <v>0</v>
      </c>
    </row>
    <row r="136" ht="15.75" customHeight="1">
      <c r="F136" s="3" t="str">
        <f>IFERROR(VLOOKUP(A136, Prices!A:B, 2, FALSE), )</f>
        <v/>
      </c>
      <c r="G136" s="3">
        <f>IFERROR(VLOOKUP(A136, Dividends!$A:$B, 2, FALSE),
       IFERROR( (VLOOKUP(A136, Dividends!$A:$C, 3, FALSE) / VLOOKUP(A136, Prices!$A:$B, 2, FALSE)) * 100,
                Inputs!$B$4*100 ))</f>
        <v>65</v>
      </c>
      <c r="H136" s="3">
        <f>IFERROR(SUMIF(Purchases!B:B, A136, Purchases!D:D), 0)</f>
        <v>0</v>
      </c>
      <c r="I136" s="3">
        <f t="shared" si="1"/>
        <v>0</v>
      </c>
      <c r="J136" s="3">
        <f t="shared" si="2"/>
        <v>0</v>
      </c>
      <c r="K136" s="3">
        <f>IF(J136&gt;0,
        J136 * IF(G136&gt;0, G136/100,
            IFERROR( VLOOKUP(A136, Dividends!$A:$C, 3, FALSE) / VLOOKUP(A136, Prices!$A:$B, 2, FALSE), Inputs!$B$4)
        ) / 12,
        0)</f>
        <v>0</v>
      </c>
      <c r="L136" s="3">
        <f t="shared" si="3"/>
        <v>0</v>
      </c>
    </row>
    <row r="137" ht="15.75" customHeight="1">
      <c r="F137" s="3" t="str">
        <f>IFERROR(VLOOKUP(A137, Prices!A:B, 2, FALSE), )</f>
        <v/>
      </c>
      <c r="G137" s="3">
        <f>IFERROR(VLOOKUP(A137, Dividends!$A:$B, 2, FALSE),
       IFERROR( (VLOOKUP(A137, Dividends!$A:$C, 3, FALSE) / VLOOKUP(A137, Prices!$A:$B, 2, FALSE)) * 100,
                Inputs!$B$4*100 ))</f>
        <v>65</v>
      </c>
      <c r="H137" s="3">
        <f>IFERROR(SUMIF(Purchases!B:B, A137, Purchases!D:D), 0)</f>
        <v>0</v>
      </c>
      <c r="I137" s="3">
        <f t="shared" si="1"/>
        <v>0</v>
      </c>
      <c r="J137" s="3">
        <f t="shared" si="2"/>
        <v>0</v>
      </c>
      <c r="K137" s="3">
        <f>IF(J137&gt;0,
        J137 * IF(G137&gt;0, G137/100,
            IFERROR( VLOOKUP(A137, Dividends!$A:$C, 3, FALSE) / VLOOKUP(A137, Prices!$A:$B, 2, FALSE), Inputs!$B$4)
        ) / 12,
        0)</f>
        <v>0</v>
      </c>
      <c r="L137" s="3">
        <f t="shared" si="3"/>
        <v>0</v>
      </c>
    </row>
    <row r="138" ht="15.75" customHeight="1">
      <c r="F138" s="3" t="str">
        <f>IFERROR(VLOOKUP(A138, Prices!A:B, 2, FALSE), )</f>
        <v/>
      </c>
      <c r="G138" s="3">
        <f>IFERROR(VLOOKUP(A138, Dividends!$A:$B, 2, FALSE),
       IFERROR( (VLOOKUP(A138, Dividends!$A:$C, 3, FALSE) / VLOOKUP(A138, Prices!$A:$B, 2, FALSE)) * 100,
                Inputs!$B$4*100 ))</f>
        <v>65</v>
      </c>
      <c r="H138" s="3">
        <f>IFERROR(SUMIF(Purchases!B:B, A138, Purchases!D:D), 0)</f>
        <v>0</v>
      </c>
      <c r="I138" s="3">
        <f t="shared" si="1"/>
        <v>0</v>
      </c>
      <c r="J138" s="3">
        <f t="shared" si="2"/>
        <v>0</v>
      </c>
      <c r="K138" s="3">
        <f>IF(J138&gt;0,
        J138 * IF(G138&gt;0, G138/100,
            IFERROR( VLOOKUP(A138, Dividends!$A:$C, 3, FALSE) / VLOOKUP(A138, Prices!$A:$B, 2, FALSE), Inputs!$B$4)
        ) / 12,
        0)</f>
        <v>0</v>
      </c>
      <c r="L138" s="3">
        <f t="shared" si="3"/>
        <v>0</v>
      </c>
    </row>
    <row r="139" ht="15.75" customHeight="1">
      <c r="F139" s="3" t="str">
        <f>IFERROR(VLOOKUP(A139, Prices!A:B, 2, FALSE), )</f>
        <v/>
      </c>
      <c r="G139" s="3">
        <f>IFERROR(VLOOKUP(A139, Dividends!$A:$B, 2, FALSE),
       IFERROR( (VLOOKUP(A139, Dividends!$A:$C, 3, FALSE) / VLOOKUP(A139, Prices!$A:$B, 2, FALSE)) * 100,
                Inputs!$B$4*100 ))</f>
        <v>65</v>
      </c>
      <c r="H139" s="3">
        <f>IFERROR(SUMIF(Purchases!B:B, A139, Purchases!D:D), 0)</f>
        <v>0</v>
      </c>
      <c r="I139" s="3">
        <f t="shared" si="1"/>
        <v>0</v>
      </c>
      <c r="J139" s="3">
        <f t="shared" si="2"/>
        <v>0</v>
      </c>
      <c r="K139" s="3">
        <f>IF(J139&gt;0,
        J139 * IF(G139&gt;0, G139/100,
            IFERROR( VLOOKUP(A139, Dividends!$A:$C, 3, FALSE) / VLOOKUP(A139, Prices!$A:$B, 2, FALSE), Inputs!$B$4)
        ) / 12,
        0)</f>
        <v>0</v>
      </c>
      <c r="L139" s="3">
        <f t="shared" si="3"/>
        <v>0</v>
      </c>
    </row>
    <row r="140" ht="15.75" customHeight="1">
      <c r="F140" s="3" t="str">
        <f>IFERROR(VLOOKUP(A140, Prices!A:B, 2, FALSE), )</f>
        <v/>
      </c>
      <c r="G140" s="3">
        <f>IFERROR(VLOOKUP(A140, Dividends!$A:$B, 2, FALSE),
       IFERROR( (VLOOKUP(A140, Dividends!$A:$C, 3, FALSE) / VLOOKUP(A140, Prices!$A:$B, 2, FALSE)) * 100,
                Inputs!$B$4*100 ))</f>
        <v>65</v>
      </c>
      <c r="H140" s="3">
        <f>IFERROR(SUMIF(Purchases!B:B, A140, Purchases!D:D), 0)</f>
        <v>0</v>
      </c>
      <c r="I140" s="3">
        <f t="shared" si="1"/>
        <v>0</v>
      </c>
      <c r="J140" s="3">
        <f t="shared" si="2"/>
        <v>0</v>
      </c>
      <c r="K140" s="3">
        <f>IF(J140&gt;0,
        J140 * IF(G140&gt;0, G140/100,
            IFERROR( VLOOKUP(A140, Dividends!$A:$C, 3, FALSE) / VLOOKUP(A140, Prices!$A:$B, 2, FALSE), Inputs!$B$4)
        ) / 12,
        0)</f>
        <v>0</v>
      </c>
      <c r="L140" s="3">
        <f t="shared" si="3"/>
        <v>0</v>
      </c>
    </row>
    <row r="141" ht="15.75" customHeight="1">
      <c r="F141" s="3" t="str">
        <f>IFERROR(VLOOKUP(A141, Prices!A:B, 2, FALSE), )</f>
        <v/>
      </c>
      <c r="G141" s="3">
        <f>IFERROR(VLOOKUP(A141, Dividends!$A:$B, 2, FALSE),
       IFERROR( (VLOOKUP(A141, Dividends!$A:$C, 3, FALSE) / VLOOKUP(A141, Prices!$A:$B, 2, FALSE)) * 100,
                Inputs!$B$4*100 ))</f>
        <v>65</v>
      </c>
      <c r="H141" s="3">
        <f>IFERROR(SUMIF(Purchases!B:B, A141, Purchases!D:D), 0)</f>
        <v>0</v>
      </c>
      <c r="I141" s="3">
        <f t="shared" si="1"/>
        <v>0</v>
      </c>
      <c r="J141" s="3">
        <f t="shared" si="2"/>
        <v>0</v>
      </c>
      <c r="K141" s="3">
        <f>IF(J141&gt;0,
        J141 * IF(G141&gt;0, G141/100,
            IFERROR( VLOOKUP(A141, Dividends!$A:$C, 3, FALSE) / VLOOKUP(A141, Prices!$A:$B, 2, FALSE), Inputs!$B$4)
        ) / 12,
        0)</f>
        <v>0</v>
      </c>
      <c r="L141" s="3">
        <f t="shared" si="3"/>
        <v>0</v>
      </c>
    </row>
    <row r="142" ht="15.75" customHeight="1">
      <c r="F142" s="3" t="str">
        <f>IFERROR(VLOOKUP(A142, Prices!A:B, 2, FALSE), )</f>
        <v/>
      </c>
      <c r="G142" s="3">
        <f>IFERROR(VLOOKUP(A142, Dividends!$A:$B, 2, FALSE),
       IFERROR( (VLOOKUP(A142, Dividends!$A:$C, 3, FALSE) / VLOOKUP(A142, Prices!$A:$B, 2, FALSE)) * 100,
                Inputs!$B$4*100 ))</f>
        <v>65</v>
      </c>
      <c r="H142" s="3">
        <f>IFERROR(SUMIF(Purchases!B:B, A142, Purchases!D:D), 0)</f>
        <v>0</v>
      </c>
      <c r="I142" s="3">
        <f t="shared" si="1"/>
        <v>0</v>
      </c>
      <c r="J142" s="3">
        <f t="shared" si="2"/>
        <v>0</v>
      </c>
      <c r="K142" s="3">
        <f>IF(J142&gt;0,
        J142 * IF(G142&gt;0, G142/100,
            IFERROR( VLOOKUP(A142, Dividends!$A:$C, 3, FALSE) / VLOOKUP(A142, Prices!$A:$B, 2, FALSE), Inputs!$B$4)
        ) / 12,
        0)</f>
        <v>0</v>
      </c>
      <c r="L142" s="3">
        <f t="shared" si="3"/>
        <v>0</v>
      </c>
    </row>
    <row r="143" ht="15.75" customHeight="1">
      <c r="F143" s="3" t="str">
        <f>IFERROR(VLOOKUP(A143, Prices!A:B, 2, FALSE), )</f>
        <v/>
      </c>
      <c r="G143" s="3">
        <f>IFERROR(VLOOKUP(A143, Dividends!$A:$B, 2, FALSE),
       IFERROR( (VLOOKUP(A143, Dividends!$A:$C, 3, FALSE) / VLOOKUP(A143, Prices!$A:$B, 2, FALSE)) * 100,
                Inputs!$B$4*100 ))</f>
        <v>65</v>
      </c>
      <c r="H143" s="3">
        <f>IFERROR(SUMIF(Purchases!B:B, A143, Purchases!D:D), 0)</f>
        <v>0</v>
      </c>
      <c r="I143" s="3">
        <f t="shared" si="1"/>
        <v>0</v>
      </c>
      <c r="J143" s="3">
        <f t="shared" si="2"/>
        <v>0</v>
      </c>
      <c r="K143" s="3">
        <f>IF(J143&gt;0,
        J143 * IF(G143&gt;0, G143/100,
            IFERROR( VLOOKUP(A143, Dividends!$A:$C, 3, FALSE) / VLOOKUP(A143, Prices!$A:$B, 2, FALSE), Inputs!$B$4)
        ) / 12,
        0)</f>
        <v>0</v>
      </c>
      <c r="L143" s="3">
        <f t="shared" si="3"/>
        <v>0</v>
      </c>
    </row>
    <row r="144" ht="15.75" customHeight="1">
      <c r="F144" s="3" t="str">
        <f>IFERROR(VLOOKUP(A144, Prices!A:B, 2, FALSE), )</f>
        <v/>
      </c>
      <c r="G144" s="3">
        <f>IFERROR(VLOOKUP(A144, Dividends!$A:$B, 2, FALSE),
       IFERROR( (VLOOKUP(A144, Dividends!$A:$C, 3, FALSE) / VLOOKUP(A144, Prices!$A:$B, 2, FALSE)) * 100,
                Inputs!$B$4*100 ))</f>
        <v>65</v>
      </c>
      <c r="H144" s="3">
        <f>IFERROR(SUMIF(Purchases!B:B, A144, Purchases!D:D), 0)</f>
        <v>0</v>
      </c>
      <c r="I144" s="3">
        <f t="shared" si="1"/>
        <v>0</v>
      </c>
      <c r="J144" s="3">
        <f t="shared" si="2"/>
        <v>0</v>
      </c>
      <c r="K144" s="3">
        <f>IF(J144&gt;0,
        J144 * IF(G144&gt;0, G144/100,
            IFERROR( VLOOKUP(A144, Dividends!$A:$C, 3, FALSE) / VLOOKUP(A144, Prices!$A:$B, 2, FALSE), Inputs!$B$4)
        ) / 12,
        0)</f>
        <v>0</v>
      </c>
      <c r="L144" s="3">
        <f t="shared" si="3"/>
        <v>0</v>
      </c>
    </row>
    <row r="145" ht="15.75" customHeight="1">
      <c r="F145" s="3" t="str">
        <f>IFERROR(VLOOKUP(A145, Prices!A:B, 2, FALSE), )</f>
        <v/>
      </c>
      <c r="G145" s="3">
        <f>IFERROR(VLOOKUP(A145, Dividends!$A:$B, 2, FALSE),
       IFERROR( (VLOOKUP(A145, Dividends!$A:$C, 3, FALSE) / VLOOKUP(A145, Prices!$A:$B, 2, FALSE)) * 100,
                Inputs!$B$4*100 ))</f>
        <v>65</v>
      </c>
      <c r="H145" s="3">
        <f>IFERROR(SUMIF(Purchases!B:B, A145, Purchases!D:D), 0)</f>
        <v>0</v>
      </c>
      <c r="I145" s="3">
        <f t="shared" si="1"/>
        <v>0</v>
      </c>
      <c r="J145" s="3">
        <f t="shared" si="2"/>
        <v>0</v>
      </c>
      <c r="K145" s="3">
        <f>IF(J145&gt;0,
        J145 * IF(G145&gt;0, G145/100,
            IFERROR( VLOOKUP(A145, Dividends!$A:$C, 3, FALSE) / VLOOKUP(A145, Prices!$A:$B, 2, FALSE), Inputs!$B$4)
        ) / 12,
        0)</f>
        <v>0</v>
      </c>
      <c r="L145" s="3">
        <f t="shared" si="3"/>
        <v>0</v>
      </c>
    </row>
    <row r="146" ht="15.75" customHeight="1">
      <c r="F146" s="3" t="str">
        <f>IFERROR(VLOOKUP(A146, Prices!A:B, 2, FALSE), )</f>
        <v/>
      </c>
      <c r="G146" s="3">
        <f>IFERROR(VLOOKUP(A146, Dividends!$A:$B, 2, FALSE),
       IFERROR( (VLOOKUP(A146, Dividends!$A:$C, 3, FALSE) / VLOOKUP(A146, Prices!$A:$B, 2, FALSE)) * 100,
                Inputs!$B$4*100 ))</f>
        <v>65</v>
      </c>
      <c r="H146" s="3">
        <f>IFERROR(SUMIF(Purchases!B:B, A146, Purchases!D:D), 0)</f>
        <v>0</v>
      </c>
      <c r="I146" s="3">
        <f t="shared" si="1"/>
        <v>0</v>
      </c>
      <c r="J146" s="3">
        <f t="shared" si="2"/>
        <v>0</v>
      </c>
      <c r="K146" s="3">
        <f>IF(J146&gt;0,
        J146 * IF(G146&gt;0, G146/100,
            IFERROR( VLOOKUP(A146, Dividends!$A:$C, 3, FALSE) / VLOOKUP(A146, Prices!$A:$B, 2, FALSE), Inputs!$B$4)
        ) / 12,
        0)</f>
        <v>0</v>
      </c>
      <c r="L146" s="3">
        <f t="shared" si="3"/>
        <v>0</v>
      </c>
    </row>
    <row r="147" ht="15.75" customHeight="1">
      <c r="F147" s="3" t="str">
        <f>IFERROR(VLOOKUP(A147, Prices!A:B, 2, FALSE), )</f>
        <v/>
      </c>
      <c r="G147" s="3">
        <f>IFERROR(VLOOKUP(A147, Dividends!$A:$B, 2, FALSE),
       IFERROR( (VLOOKUP(A147, Dividends!$A:$C, 3, FALSE) / VLOOKUP(A147, Prices!$A:$B, 2, FALSE)) * 100,
                Inputs!$B$4*100 ))</f>
        <v>65</v>
      </c>
      <c r="H147" s="3">
        <f>IFERROR(SUMIF(Purchases!B:B, A147, Purchases!D:D), 0)</f>
        <v>0</v>
      </c>
      <c r="I147" s="3">
        <f t="shared" si="1"/>
        <v>0</v>
      </c>
      <c r="J147" s="3">
        <f t="shared" si="2"/>
        <v>0</v>
      </c>
      <c r="K147" s="3">
        <f>IF(J147&gt;0,
        J147 * IF(G147&gt;0, G147/100,
            IFERROR( VLOOKUP(A147, Dividends!$A:$C, 3, FALSE) / VLOOKUP(A147, Prices!$A:$B, 2, FALSE), Inputs!$B$4)
        ) / 12,
        0)</f>
        <v>0</v>
      </c>
      <c r="L147" s="3">
        <f t="shared" si="3"/>
        <v>0</v>
      </c>
    </row>
    <row r="148" ht="15.75" customHeight="1">
      <c r="F148" s="3" t="str">
        <f>IFERROR(VLOOKUP(A148, Prices!A:B, 2, FALSE), )</f>
        <v/>
      </c>
      <c r="G148" s="3">
        <f>IFERROR(VLOOKUP(A148, Dividends!$A:$B, 2, FALSE),
       IFERROR( (VLOOKUP(A148, Dividends!$A:$C, 3, FALSE) / VLOOKUP(A148, Prices!$A:$B, 2, FALSE)) * 100,
                Inputs!$B$4*100 ))</f>
        <v>65</v>
      </c>
      <c r="H148" s="3">
        <f>IFERROR(SUMIF(Purchases!B:B, A148, Purchases!D:D), 0)</f>
        <v>0</v>
      </c>
      <c r="I148" s="3">
        <f t="shared" si="1"/>
        <v>0</v>
      </c>
      <c r="J148" s="3">
        <f t="shared" si="2"/>
        <v>0</v>
      </c>
      <c r="K148" s="3">
        <f>IF(J148&gt;0,
        J148 * IF(G148&gt;0, G148/100,
            IFERROR( VLOOKUP(A148, Dividends!$A:$C, 3, FALSE) / VLOOKUP(A148, Prices!$A:$B, 2, FALSE), Inputs!$B$4)
        ) / 12,
        0)</f>
        <v>0</v>
      </c>
      <c r="L148" s="3">
        <f t="shared" si="3"/>
        <v>0</v>
      </c>
    </row>
    <row r="149" ht="15.75" customHeight="1">
      <c r="F149" s="3" t="str">
        <f>IFERROR(VLOOKUP(A149, Prices!A:B, 2, FALSE), )</f>
        <v/>
      </c>
      <c r="G149" s="3">
        <f>IFERROR(VLOOKUP(A149, Dividends!$A:$B, 2, FALSE),
       IFERROR( (VLOOKUP(A149, Dividends!$A:$C, 3, FALSE) / VLOOKUP(A149, Prices!$A:$B, 2, FALSE)) * 100,
                Inputs!$B$4*100 ))</f>
        <v>65</v>
      </c>
      <c r="H149" s="3">
        <f>IFERROR(SUMIF(Purchases!B:B, A149, Purchases!D:D), 0)</f>
        <v>0</v>
      </c>
      <c r="I149" s="3">
        <f t="shared" si="1"/>
        <v>0</v>
      </c>
      <c r="J149" s="3">
        <f t="shared" si="2"/>
        <v>0</v>
      </c>
      <c r="K149" s="3">
        <f>IF(J149&gt;0,
        J149 * IF(G149&gt;0, G149/100,
            IFERROR( VLOOKUP(A149, Dividends!$A:$C, 3, FALSE) / VLOOKUP(A149, Prices!$A:$B, 2, FALSE), Inputs!$B$4)
        ) / 12,
        0)</f>
        <v>0</v>
      </c>
      <c r="L149" s="3">
        <f t="shared" si="3"/>
        <v>0</v>
      </c>
    </row>
    <row r="150" ht="15.75" customHeight="1">
      <c r="F150" s="3" t="str">
        <f>IFERROR(VLOOKUP(A150, Prices!A:B, 2, FALSE), )</f>
        <v/>
      </c>
      <c r="G150" s="3">
        <f>IFERROR(VLOOKUP(A150, Dividends!$A:$B, 2, FALSE),
       IFERROR( (VLOOKUP(A150, Dividends!$A:$C, 3, FALSE) / VLOOKUP(A150, Prices!$A:$B, 2, FALSE)) * 100,
                Inputs!$B$4*100 ))</f>
        <v>65</v>
      </c>
      <c r="H150" s="3">
        <f>IFERROR(SUMIF(Purchases!B:B, A150, Purchases!D:D), 0)</f>
        <v>0</v>
      </c>
      <c r="I150" s="3">
        <f t="shared" si="1"/>
        <v>0</v>
      </c>
      <c r="J150" s="3">
        <f t="shared" si="2"/>
        <v>0</v>
      </c>
      <c r="K150" s="3">
        <f>IF(J150&gt;0,
        J150 * IF(G150&gt;0, G150/100,
            IFERROR( VLOOKUP(A150, Dividends!$A:$C, 3, FALSE) / VLOOKUP(A150, Prices!$A:$B, 2, FALSE), Inputs!$B$4)
        ) / 12,
        0)</f>
        <v>0</v>
      </c>
      <c r="L150" s="3">
        <f t="shared" si="3"/>
        <v>0</v>
      </c>
    </row>
    <row r="151" ht="15.75" customHeight="1">
      <c r="F151" s="3" t="str">
        <f>IFERROR(VLOOKUP(A151, Prices!A:B, 2, FALSE), )</f>
        <v/>
      </c>
      <c r="G151" s="3">
        <f>IFERROR(VLOOKUP(A151, Dividends!$A:$B, 2, FALSE),
       IFERROR( (VLOOKUP(A151, Dividends!$A:$C, 3, FALSE) / VLOOKUP(A151, Prices!$A:$B, 2, FALSE)) * 100,
                Inputs!$B$4*100 ))</f>
        <v>65</v>
      </c>
      <c r="H151" s="3">
        <f>IFERROR(SUMIF(Purchases!B:B, A151, Purchases!D:D), 0)</f>
        <v>0</v>
      </c>
      <c r="I151" s="3">
        <f t="shared" si="1"/>
        <v>0</v>
      </c>
      <c r="J151" s="3">
        <f t="shared" si="2"/>
        <v>0</v>
      </c>
      <c r="K151" s="3">
        <f>IF(J151&gt;0,
        J151 * IF(G151&gt;0, G151/100,
            IFERROR( VLOOKUP(A151, Dividends!$A:$C, 3, FALSE) / VLOOKUP(A151, Prices!$A:$B, 2, FALSE), Inputs!$B$4)
        ) / 12,
        0)</f>
        <v>0</v>
      </c>
      <c r="L151" s="3">
        <f t="shared" si="3"/>
        <v>0</v>
      </c>
    </row>
    <row r="152" ht="15.75" customHeight="1">
      <c r="F152" s="3" t="str">
        <f>IFERROR(VLOOKUP(A152, Prices!A:B, 2, FALSE), )</f>
        <v/>
      </c>
      <c r="G152" s="3">
        <f>IFERROR(VLOOKUP(A152, Dividends!$A:$B, 2, FALSE),
       IFERROR( (VLOOKUP(A152, Dividends!$A:$C, 3, FALSE) / VLOOKUP(A152, Prices!$A:$B, 2, FALSE)) * 100,
                Inputs!$B$4*100 ))</f>
        <v>65</v>
      </c>
      <c r="H152" s="3">
        <f>IFERROR(SUMIF(Purchases!B:B, A152, Purchases!D:D), 0)</f>
        <v>0</v>
      </c>
      <c r="I152" s="3">
        <f t="shared" si="1"/>
        <v>0</v>
      </c>
      <c r="J152" s="3">
        <f t="shared" si="2"/>
        <v>0</v>
      </c>
      <c r="K152" s="3">
        <f>IF(J152&gt;0,
        J152 * IF(G152&gt;0, G152/100,
            IFERROR( VLOOKUP(A152, Dividends!$A:$C, 3, FALSE) / VLOOKUP(A152, Prices!$A:$B, 2, FALSE), Inputs!$B$4)
        ) / 12,
        0)</f>
        <v>0</v>
      </c>
      <c r="L152" s="3">
        <f t="shared" si="3"/>
        <v>0</v>
      </c>
    </row>
    <row r="153" ht="15.75" customHeight="1">
      <c r="F153" s="3" t="str">
        <f>IFERROR(VLOOKUP(A153, Prices!A:B, 2, FALSE), )</f>
        <v/>
      </c>
      <c r="G153" s="3">
        <f>IFERROR(VLOOKUP(A153, Dividends!$A:$B, 2, FALSE),
       IFERROR( (VLOOKUP(A153, Dividends!$A:$C, 3, FALSE) / VLOOKUP(A153, Prices!$A:$B, 2, FALSE)) * 100,
                Inputs!$B$4*100 ))</f>
        <v>65</v>
      </c>
      <c r="H153" s="3">
        <f>IFERROR(SUMIF(Purchases!B:B, A153, Purchases!D:D), 0)</f>
        <v>0</v>
      </c>
      <c r="I153" s="3">
        <f t="shared" si="1"/>
        <v>0</v>
      </c>
      <c r="J153" s="3">
        <f t="shared" si="2"/>
        <v>0</v>
      </c>
      <c r="K153" s="3">
        <f>IF(J153&gt;0,
        J153 * IF(G153&gt;0, G153/100,
            IFERROR( VLOOKUP(A153, Dividends!$A:$C, 3, FALSE) / VLOOKUP(A153, Prices!$A:$B, 2, FALSE), Inputs!$B$4)
        ) / 12,
        0)</f>
        <v>0</v>
      </c>
      <c r="L153" s="3">
        <f t="shared" si="3"/>
        <v>0</v>
      </c>
    </row>
    <row r="154" ht="15.75" customHeight="1">
      <c r="F154" s="3" t="str">
        <f>IFERROR(VLOOKUP(A154, Prices!A:B, 2, FALSE), )</f>
        <v/>
      </c>
      <c r="G154" s="3">
        <f>IFERROR(VLOOKUP(A154, Dividends!$A:$B, 2, FALSE),
       IFERROR( (VLOOKUP(A154, Dividends!$A:$C, 3, FALSE) / VLOOKUP(A154, Prices!$A:$B, 2, FALSE)) * 100,
                Inputs!$B$4*100 ))</f>
        <v>65</v>
      </c>
      <c r="H154" s="3">
        <f>IFERROR(SUMIF(Purchases!B:B, A154, Purchases!D:D), 0)</f>
        <v>0</v>
      </c>
      <c r="I154" s="3">
        <f t="shared" si="1"/>
        <v>0</v>
      </c>
      <c r="J154" s="3">
        <f t="shared" si="2"/>
        <v>0</v>
      </c>
      <c r="K154" s="3">
        <f>IF(J154&gt;0,
        J154 * IF(G154&gt;0, G154/100,
            IFERROR( VLOOKUP(A154, Dividends!$A:$C, 3, FALSE) / VLOOKUP(A154, Prices!$A:$B, 2, FALSE), Inputs!$B$4)
        ) / 12,
        0)</f>
        <v>0</v>
      </c>
      <c r="L154" s="3">
        <f t="shared" si="3"/>
        <v>0</v>
      </c>
    </row>
    <row r="155" ht="15.75" customHeight="1">
      <c r="F155" s="3" t="str">
        <f>IFERROR(VLOOKUP(A155, Prices!A:B, 2, FALSE), )</f>
        <v/>
      </c>
      <c r="G155" s="3">
        <f>IFERROR(VLOOKUP(A155, Dividends!$A:$B, 2, FALSE),
       IFERROR( (VLOOKUP(A155, Dividends!$A:$C, 3, FALSE) / VLOOKUP(A155, Prices!$A:$B, 2, FALSE)) * 100,
                Inputs!$B$4*100 ))</f>
        <v>65</v>
      </c>
      <c r="H155" s="3">
        <f>IFERROR(SUMIF(Purchases!B:B, A155, Purchases!D:D), 0)</f>
        <v>0</v>
      </c>
      <c r="I155" s="3">
        <f t="shared" si="1"/>
        <v>0</v>
      </c>
      <c r="J155" s="3">
        <f t="shared" si="2"/>
        <v>0</v>
      </c>
      <c r="K155" s="3">
        <f>IF(J155&gt;0,
        J155 * IF(G155&gt;0, G155/100,
            IFERROR( VLOOKUP(A155, Dividends!$A:$C, 3, FALSE) / VLOOKUP(A155, Prices!$A:$B, 2, FALSE), Inputs!$B$4)
        ) / 12,
        0)</f>
        <v>0</v>
      </c>
      <c r="L155" s="3">
        <f t="shared" si="3"/>
        <v>0</v>
      </c>
    </row>
    <row r="156" ht="15.75" customHeight="1">
      <c r="F156" s="3" t="str">
        <f>IFERROR(VLOOKUP(A156, Prices!A:B, 2, FALSE), )</f>
        <v/>
      </c>
      <c r="G156" s="3">
        <f>IFERROR(VLOOKUP(A156, Dividends!$A:$B, 2, FALSE),
       IFERROR( (VLOOKUP(A156, Dividends!$A:$C, 3, FALSE) / VLOOKUP(A156, Prices!$A:$B, 2, FALSE)) * 100,
                Inputs!$B$4*100 ))</f>
        <v>65</v>
      </c>
      <c r="H156" s="3">
        <f>IFERROR(SUMIF(Purchases!B:B, A156, Purchases!D:D), 0)</f>
        <v>0</v>
      </c>
      <c r="I156" s="3">
        <f t="shared" si="1"/>
        <v>0</v>
      </c>
      <c r="J156" s="3">
        <f t="shared" si="2"/>
        <v>0</v>
      </c>
      <c r="K156" s="3">
        <f>IF(J156&gt;0,
        J156 * IF(G156&gt;0, G156/100,
            IFERROR( VLOOKUP(A156, Dividends!$A:$C, 3, FALSE) / VLOOKUP(A156, Prices!$A:$B, 2, FALSE), Inputs!$B$4)
        ) / 12,
        0)</f>
        <v>0</v>
      </c>
      <c r="L156" s="3">
        <f t="shared" si="3"/>
        <v>0</v>
      </c>
    </row>
    <row r="157" ht="15.75" customHeight="1">
      <c r="F157" s="3" t="str">
        <f>IFERROR(VLOOKUP(A157, Prices!A:B, 2, FALSE), )</f>
        <v/>
      </c>
      <c r="G157" s="3">
        <f>IFERROR(VLOOKUP(A157, Dividends!$A:$B, 2, FALSE),
       IFERROR( (VLOOKUP(A157, Dividends!$A:$C, 3, FALSE) / VLOOKUP(A157, Prices!$A:$B, 2, FALSE)) * 100,
                Inputs!$B$4*100 ))</f>
        <v>65</v>
      </c>
      <c r="H157" s="3">
        <f>IFERROR(SUMIF(Purchases!B:B, A157, Purchases!D:D), 0)</f>
        <v>0</v>
      </c>
      <c r="I157" s="3">
        <f t="shared" si="1"/>
        <v>0</v>
      </c>
      <c r="J157" s="3">
        <f t="shared" si="2"/>
        <v>0</v>
      </c>
      <c r="K157" s="3">
        <f>IF(J157&gt;0,
        J157 * IF(G157&gt;0, G157/100,
            IFERROR( VLOOKUP(A157, Dividends!$A:$C, 3, FALSE) / VLOOKUP(A157, Prices!$A:$B, 2, FALSE), Inputs!$B$4)
        ) / 12,
        0)</f>
        <v>0</v>
      </c>
      <c r="L157" s="3">
        <f t="shared" si="3"/>
        <v>0</v>
      </c>
    </row>
    <row r="158" ht="15.75" customHeight="1">
      <c r="F158" s="3" t="str">
        <f>IFERROR(VLOOKUP(A158, Prices!A:B, 2, FALSE), )</f>
        <v/>
      </c>
      <c r="G158" s="3">
        <f>IFERROR(VLOOKUP(A158, Dividends!$A:$B, 2, FALSE),
       IFERROR( (VLOOKUP(A158, Dividends!$A:$C, 3, FALSE) / VLOOKUP(A158, Prices!$A:$B, 2, FALSE)) * 100,
                Inputs!$B$4*100 ))</f>
        <v>65</v>
      </c>
      <c r="H158" s="3">
        <f>IFERROR(SUMIF(Purchases!B:B, A158, Purchases!D:D), 0)</f>
        <v>0</v>
      </c>
      <c r="I158" s="3">
        <f t="shared" si="1"/>
        <v>0</v>
      </c>
      <c r="J158" s="3">
        <f t="shared" si="2"/>
        <v>0</v>
      </c>
      <c r="K158" s="3">
        <f>IF(J158&gt;0,
        J158 * IF(G158&gt;0, G158/100,
            IFERROR( VLOOKUP(A158, Dividends!$A:$C, 3, FALSE) / VLOOKUP(A158, Prices!$A:$B, 2, FALSE), Inputs!$B$4)
        ) / 12,
        0)</f>
        <v>0</v>
      </c>
      <c r="L158" s="3">
        <f t="shared" si="3"/>
        <v>0</v>
      </c>
    </row>
    <row r="159" ht="15.75" customHeight="1">
      <c r="F159" s="3" t="str">
        <f>IFERROR(VLOOKUP(A159, Prices!A:B, 2, FALSE), )</f>
        <v/>
      </c>
      <c r="G159" s="3">
        <f>IFERROR(VLOOKUP(A159, Dividends!$A:$B, 2, FALSE),
       IFERROR( (VLOOKUP(A159, Dividends!$A:$C, 3, FALSE) / VLOOKUP(A159, Prices!$A:$B, 2, FALSE)) * 100,
                Inputs!$B$4*100 ))</f>
        <v>65</v>
      </c>
      <c r="H159" s="3">
        <f>IFERROR(SUMIF(Purchases!B:B, A159, Purchases!D:D), 0)</f>
        <v>0</v>
      </c>
      <c r="I159" s="3">
        <f t="shared" si="1"/>
        <v>0</v>
      </c>
      <c r="J159" s="3">
        <f t="shared" si="2"/>
        <v>0</v>
      </c>
      <c r="K159" s="3">
        <f>IF(J159&gt;0,
        J159 * IF(G159&gt;0, G159/100,
            IFERROR( VLOOKUP(A159, Dividends!$A:$C, 3, FALSE) / VLOOKUP(A159, Prices!$A:$B, 2, FALSE), Inputs!$B$4)
        ) / 12,
        0)</f>
        <v>0</v>
      </c>
      <c r="L159" s="3">
        <f t="shared" si="3"/>
        <v>0</v>
      </c>
    </row>
    <row r="160" ht="15.75" customHeight="1">
      <c r="F160" s="3" t="str">
        <f>IFERROR(VLOOKUP(A160, Prices!A:B, 2, FALSE), )</f>
        <v/>
      </c>
      <c r="G160" s="3">
        <f>IFERROR(VLOOKUP(A160, Dividends!$A:$B, 2, FALSE),
       IFERROR( (VLOOKUP(A160, Dividends!$A:$C, 3, FALSE) / VLOOKUP(A160, Prices!$A:$B, 2, FALSE)) * 100,
                Inputs!$B$4*100 ))</f>
        <v>65</v>
      </c>
      <c r="H160" s="3">
        <f>IFERROR(SUMIF(Purchases!B:B, A160, Purchases!D:D), 0)</f>
        <v>0</v>
      </c>
      <c r="I160" s="3">
        <f t="shared" si="1"/>
        <v>0</v>
      </c>
      <c r="J160" s="3">
        <f t="shared" si="2"/>
        <v>0</v>
      </c>
      <c r="K160" s="3">
        <f>IF(J160&gt;0,
        J160 * IF(G160&gt;0, G160/100,
            IFERROR( VLOOKUP(A160, Dividends!$A:$C, 3, FALSE) / VLOOKUP(A160, Prices!$A:$B, 2, FALSE), Inputs!$B$4)
        ) / 12,
        0)</f>
        <v>0</v>
      </c>
      <c r="L160" s="3">
        <f t="shared" si="3"/>
        <v>0</v>
      </c>
    </row>
    <row r="161" ht="15.75" customHeight="1">
      <c r="F161" s="3" t="str">
        <f>IFERROR(VLOOKUP(A161, Prices!A:B, 2, FALSE), )</f>
        <v/>
      </c>
      <c r="G161" s="3">
        <f>IFERROR(VLOOKUP(A161, Dividends!$A:$B, 2, FALSE),
       IFERROR( (VLOOKUP(A161, Dividends!$A:$C, 3, FALSE) / VLOOKUP(A161, Prices!$A:$B, 2, FALSE)) * 100,
                Inputs!$B$4*100 ))</f>
        <v>65</v>
      </c>
      <c r="H161" s="3">
        <f>IFERROR(SUMIF(Purchases!B:B, A161, Purchases!D:D), 0)</f>
        <v>0</v>
      </c>
      <c r="I161" s="3">
        <f t="shared" si="1"/>
        <v>0</v>
      </c>
      <c r="J161" s="3">
        <f t="shared" si="2"/>
        <v>0</v>
      </c>
      <c r="K161" s="3">
        <f>IF(J161&gt;0,
        J161 * IF(G161&gt;0, G161/100,
            IFERROR( VLOOKUP(A161, Dividends!$A:$C, 3, FALSE) / VLOOKUP(A161, Prices!$A:$B, 2, FALSE), Inputs!$B$4)
        ) / 12,
        0)</f>
        <v>0</v>
      </c>
      <c r="L161" s="3">
        <f t="shared" si="3"/>
        <v>0</v>
      </c>
    </row>
    <row r="162" ht="15.75" customHeight="1">
      <c r="F162" s="3" t="str">
        <f>IFERROR(VLOOKUP(A162, Prices!A:B, 2, FALSE), )</f>
        <v/>
      </c>
      <c r="G162" s="3">
        <f>IFERROR(VLOOKUP(A162, Dividends!$A:$B, 2, FALSE),
       IFERROR( (VLOOKUP(A162, Dividends!$A:$C, 3, FALSE) / VLOOKUP(A162, Prices!$A:$B, 2, FALSE)) * 100,
                Inputs!$B$4*100 ))</f>
        <v>65</v>
      </c>
      <c r="H162" s="3">
        <f>IFERROR(SUMIF(Purchases!B:B, A162, Purchases!D:D), 0)</f>
        <v>0</v>
      </c>
      <c r="I162" s="3">
        <f t="shared" si="1"/>
        <v>0</v>
      </c>
      <c r="J162" s="3">
        <f t="shared" si="2"/>
        <v>0</v>
      </c>
      <c r="K162" s="3">
        <f>IF(J162&gt;0,
        J162 * IF(G162&gt;0, G162/100,
            IFERROR( VLOOKUP(A162, Dividends!$A:$C, 3, FALSE) / VLOOKUP(A162, Prices!$A:$B, 2, FALSE), Inputs!$B$4)
        ) / 12,
        0)</f>
        <v>0</v>
      </c>
      <c r="L162" s="3">
        <f t="shared" si="3"/>
        <v>0</v>
      </c>
    </row>
    <row r="163" ht="15.75" customHeight="1">
      <c r="F163" s="3" t="str">
        <f>IFERROR(VLOOKUP(A163, Prices!A:B, 2, FALSE), )</f>
        <v/>
      </c>
      <c r="G163" s="3">
        <f>IFERROR(VLOOKUP(A163, Dividends!$A:$B, 2, FALSE),
       IFERROR( (VLOOKUP(A163, Dividends!$A:$C, 3, FALSE) / VLOOKUP(A163, Prices!$A:$B, 2, FALSE)) * 100,
                Inputs!$B$4*100 ))</f>
        <v>65</v>
      </c>
      <c r="H163" s="3">
        <f>IFERROR(SUMIF(Purchases!B:B, A163, Purchases!D:D), 0)</f>
        <v>0</v>
      </c>
      <c r="I163" s="3">
        <f t="shared" si="1"/>
        <v>0</v>
      </c>
      <c r="J163" s="3">
        <f t="shared" si="2"/>
        <v>0</v>
      </c>
      <c r="K163" s="3">
        <f>IF(J163&gt;0,
        J163 * IF(G163&gt;0, G163/100,
            IFERROR( VLOOKUP(A163, Dividends!$A:$C, 3, FALSE) / VLOOKUP(A163, Prices!$A:$B, 2, FALSE), Inputs!$B$4)
        ) / 12,
        0)</f>
        <v>0</v>
      </c>
      <c r="L163" s="3">
        <f t="shared" si="3"/>
        <v>0</v>
      </c>
    </row>
    <row r="164" ht="15.75" customHeight="1">
      <c r="F164" s="3" t="str">
        <f>IFERROR(VLOOKUP(A164, Prices!A:B, 2, FALSE), )</f>
        <v/>
      </c>
      <c r="G164" s="3">
        <f>IFERROR(VLOOKUP(A164, Dividends!$A:$B, 2, FALSE),
       IFERROR( (VLOOKUP(A164, Dividends!$A:$C, 3, FALSE) / VLOOKUP(A164, Prices!$A:$B, 2, FALSE)) * 100,
                Inputs!$B$4*100 ))</f>
        <v>65</v>
      </c>
      <c r="H164" s="3">
        <f>IFERROR(SUMIF(Purchases!B:B, A164, Purchases!D:D), 0)</f>
        <v>0</v>
      </c>
      <c r="I164" s="3">
        <f t="shared" si="1"/>
        <v>0</v>
      </c>
      <c r="J164" s="3">
        <f t="shared" si="2"/>
        <v>0</v>
      </c>
      <c r="K164" s="3">
        <f>IF(J164&gt;0,
        J164 * IF(G164&gt;0, G164/100,
            IFERROR( VLOOKUP(A164, Dividends!$A:$C, 3, FALSE) / VLOOKUP(A164, Prices!$A:$B, 2, FALSE), Inputs!$B$4)
        ) / 12,
        0)</f>
        <v>0</v>
      </c>
      <c r="L164" s="3">
        <f t="shared" si="3"/>
        <v>0</v>
      </c>
    </row>
    <row r="165" ht="15.75" customHeight="1">
      <c r="F165" s="3" t="str">
        <f>IFERROR(VLOOKUP(A165, Prices!A:B, 2, FALSE), )</f>
        <v/>
      </c>
      <c r="G165" s="3">
        <f>IFERROR(VLOOKUP(A165, Dividends!$A:$B, 2, FALSE),
       IFERROR( (VLOOKUP(A165, Dividends!$A:$C, 3, FALSE) / VLOOKUP(A165, Prices!$A:$B, 2, FALSE)) * 100,
                Inputs!$B$4*100 ))</f>
        <v>65</v>
      </c>
      <c r="H165" s="3">
        <f>IFERROR(SUMIF(Purchases!B:B, A165, Purchases!D:D), 0)</f>
        <v>0</v>
      </c>
      <c r="I165" s="3">
        <f t="shared" si="1"/>
        <v>0</v>
      </c>
      <c r="J165" s="3">
        <f t="shared" si="2"/>
        <v>0</v>
      </c>
      <c r="K165" s="3">
        <f>IF(J165&gt;0,
        J165 * IF(G165&gt;0, G165/100,
            IFERROR( VLOOKUP(A165, Dividends!$A:$C, 3, FALSE) / VLOOKUP(A165, Prices!$A:$B, 2, FALSE), Inputs!$B$4)
        ) / 12,
        0)</f>
        <v>0</v>
      </c>
      <c r="L165" s="3">
        <f t="shared" si="3"/>
        <v>0</v>
      </c>
    </row>
    <row r="166" ht="15.75" customHeight="1">
      <c r="F166" s="3" t="str">
        <f>IFERROR(VLOOKUP(A166, Prices!A:B, 2, FALSE), )</f>
        <v/>
      </c>
      <c r="G166" s="3">
        <f>IFERROR(VLOOKUP(A166, Dividends!$A:$B, 2, FALSE),
       IFERROR( (VLOOKUP(A166, Dividends!$A:$C, 3, FALSE) / VLOOKUP(A166, Prices!$A:$B, 2, FALSE)) * 100,
                Inputs!$B$4*100 ))</f>
        <v>65</v>
      </c>
      <c r="H166" s="3">
        <f>IFERROR(SUMIF(Purchases!B:B, A166, Purchases!D:D), 0)</f>
        <v>0</v>
      </c>
      <c r="I166" s="3">
        <f t="shared" si="1"/>
        <v>0</v>
      </c>
      <c r="J166" s="3">
        <f t="shared" si="2"/>
        <v>0</v>
      </c>
      <c r="K166" s="3">
        <f>IF(J166&gt;0,
        J166 * IF(G166&gt;0, G166/100,
            IFERROR( VLOOKUP(A166, Dividends!$A:$C, 3, FALSE) / VLOOKUP(A166, Prices!$A:$B, 2, FALSE), Inputs!$B$4)
        ) / 12,
        0)</f>
        <v>0</v>
      </c>
      <c r="L166" s="3">
        <f t="shared" si="3"/>
        <v>0</v>
      </c>
    </row>
    <row r="167" ht="15.75" customHeight="1">
      <c r="F167" s="3" t="str">
        <f>IFERROR(VLOOKUP(A167, Prices!A:B, 2, FALSE), )</f>
        <v/>
      </c>
      <c r="G167" s="3">
        <f>IFERROR(VLOOKUP(A167, Dividends!$A:$B, 2, FALSE),
       IFERROR( (VLOOKUP(A167, Dividends!$A:$C, 3, FALSE) / VLOOKUP(A167, Prices!$A:$B, 2, FALSE)) * 100,
                Inputs!$B$4*100 ))</f>
        <v>65</v>
      </c>
      <c r="H167" s="3">
        <f>IFERROR(SUMIF(Purchases!B:B, A167, Purchases!D:D), 0)</f>
        <v>0</v>
      </c>
      <c r="I167" s="3">
        <f t="shared" si="1"/>
        <v>0</v>
      </c>
      <c r="J167" s="3">
        <f t="shared" si="2"/>
        <v>0</v>
      </c>
      <c r="K167" s="3">
        <f>IF(J167&gt;0,
        J167 * IF(G167&gt;0, G167/100,
            IFERROR( VLOOKUP(A167, Dividends!$A:$C, 3, FALSE) / VLOOKUP(A167, Prices!$A:$B, 2, FALSE), Inputs!$B$4)
        ) / 12,
        0)</f>
        <v>0</v>
      </c>
      <c r="L167" s="3">
        <f t="shared" si="3"/>
        <v>0</v>
      </c>
    </row>
    <row r="168" ht="15.75" customHeight="1">
      <c r="F168" s="3" t="str">
        <f>IFERROR(VLOOKUP(A168, Prices!A:B, 2, FALSE), )</f>
        <v/>
      </c>
      <c r="G168" s="3">
        <f>IFERROR(VLOOKUP(A168, Dividends!$A:$B, 2, FALSE),
       IFERROR( (VLOOKUP(A168, Dividends!$A:$C, 3, FALSE) / VLOOKUP(A168, Prices!$A:$B, 2, FALSE)) * 100,
                Inputs!$B$4*100 ))</f>
        <v>65</v>
      </c>
      <c r="H168" s="3">
        <f>IFERROR(SUMIF(Purchases!B:B, A168, Purchases!D:D), 0)</f>
        <v>0</v>
      </c>
      <c r="I168" s="3">
        <f t="shared" si="1"/>
        <v>0</v>
      </c>
      <c r="J168" s="3">
        <f t="shared" si="2"/>
        <v>0</v>
      </c>
      <c r="K168" s="3">
        <f>IF(J168&gt;0,
        J168 * IF(G168&gt;0, G168/100,
            IFERROR( VLOOKUP(A168, Dividends!$A:$C, 3, FALSE) / VLOOKUP(A168, Prices!$A:$B, 2, FALSE), Inputs!$B$4)
        ) / 12,
        0)</f>
        <v>0</v>
      </c>
      <c r="L168" s="3">
        <f t="shared" si="3"/>
        <v>0</v>
      </c>
    </row>
    <row r="169" ht="15.75" customHeight="1">
      <c r="F169" s="3" t="str">
        <f>IFERROR(VLOOKUP(A169, Prices!A:B, 2, FALSE), )</f>
        <v/>
      </c>
      <c r="G169" s="3">
        <f>IFERROR(VLOOKUP(A169, Dividends!$A:$B, 2, FALSE),
       IFERROR( (VLOOKUP(A169, Dividends!$A:$C, 3, FALSE) / VLOOKUP(A169, Prices!$A:$B, 2, FALSE)) * 100,
                Inputs!$B$4*100 ))</f>
        <v>65</v>
      </c>
      <c r="H169" s="3">
        <f>IFERROR(SUMIF(Purchases!B:B, A169, Purchases!D:D), 0)</f>
        <v>0</v>
      </c>
      <c r="I169" s="3">
        <f t="shared" si="1"/>
        <v>0</v>
      </c>
      <c r="J169" s="3">
        <f t="shared" si="2"/>
        <v>0</v>
      </c>
      <c r="K169" s="3">
        <f>IF(J169&gt;0,
        J169 * IF(G169&gt;0, G169/100,
            IFERROR( VLOOKUP(A169, Dividends!$A:$C, 3, FALSE) / VLOOKUP(A169, Prices!$A:$B, 2, FALSE), Inputs!$B$4)
        ) / 12,
        0)</f>
        <v>0</v>
      </c>
      <c r="L169" s="3">
        <f t="shared" si="3"/>
        <v>0</v>
      </c>
    </row>
    <row r="170" ht="15.75" customHeight="1">
      <c r="F170" s="3" t="str">
        <f>IFERROR(VLOOKUP(A170, Prices!A:B, 2, FALSE), )</f>
        <v/>
      </c>
      <c r="G170" s="3">
        <f>IFERROR(VLOOKUP(A170, Dividends!$A:$B, 2, FALSE),
       IFERROR( (VLOOKUP(A170, Dividends!$A:$C, 3, FALSE) / VLOOKUP(A170, Prices!$A:$B, 2, FALSE)) * 100,
                Inputs!$B$4*100 ))</f>
        <v>65</v>
      </c>
      <c r="H170" s="3">
        <f>IFERROR(SUMIF(Purchases!B:B, A170, Purchases!D:D), 0)</f>
        <v>0</v>
      </c>
      <c r="I170" s="3">
        <f t="shared" si="1"/>
        <v>0</v>
      </c>
      <c r="J170" s="3">
        <f t="shared" si="2"/>
        <v>0</v>
      </c>
      <c r="K170" s="3">
        <f>IF(J170&gt;0,
        J170 * IF(G170&gt;0, G170/100,
            IFERROR( VLOOKUP(A170, Dividends!$A:$C, 3, FALSE) / VLOOKUP(A170, Prices!$A:$B, 2, FALSE), Inputs!$B$4)
        ) / 12,
        0)</f>
        <v>0</v>
      </c>
      <c r="L170" s="3">
        <f t="shared" si="3"/>
        <v>0</v>
      </c>
    </row>
    <row r="171" ht="15.75" customHeight="1">
      <c r="F171" s="3" t="str">
        <f>IFERROR(VLOOKUP(A171, Prices!A:B, 2, FALSE), )</f>
        <v/>
      </c>
      <c r="G171" s="3">
        <f>IFERROR(VLOOKUP(A171, Dividends!$A:$B, 2, FALSE),
       IFERROR( (VLOOKUP(A171, Dividends!$A:$C, 3, FALSE) / VLOOKUP(A171, Prices!$A:$B, 2, FALSE)) * 100,
                Inputs!$B$4*100 ))</f>
        <v>65</v>
      </c>
      <c r="H171" s="3">
        <f>IFERROR(SUMIF(Purchases!B:B, A171, Purchases!D:D), 0)</f>
        <v>0</v>
      </c>
      <c r="I171" s="3">
        <f t="shared" si="1"/>
        <v>0</v>
      </c>
      <c r="J171" s="3">
        <f t="shared" si="2"/>
        <v>0</v>
      </c>
      <c r="K171" s="3">
        <f>IF(J171&gt;0,
        J171 * IF(G171&gt;0, G171/100,
            IFERROR( VLOOKUP(A171, Dividends!$A:$C, 3, FALSE) / VLOOKUP(A171, Prices!$A:$B, 2, FALSE), Inputs!$B$4)
        ) / 12,
        0)</f>
        <v>0</v>
      </c>
      <c r="L171" s="3">
        <f t="shared" si="3"/>
        <v>0</v>
      </c>
    </row>
    <row r="172" ht="15.75" customHeight="1">
      <c r="F172" s="3" t="str">
        <f>IFERROR(VLOOKUP(A172, Prices!A:B, 2, FALSE), )</f>
        <v/>
      </c>
      <c r="G172" s="3">
        <f>IFERROR(VLOOKUP(A172, Dividends!$A:$B, 2, FALSE),
       IFERROR( (VLOOKUP(A172, Dividends!$A:$C, 3, FALSE) / VLOOKUP(A172, Prices!$A:$B, 2, FALSE)) * 100,
                Inputs!$B$4*100 ))</f>
        <v>65</v>
      </c>
      <c r="H172" s="3">
        <f>IFERROR(SUMIF(Purchases!B:B, A172, Purchases!D:D), 0)</f>
        <v>0</v>
      </c>
      <c r="I172" s="3">
        <f t="shared" si="1"/>
        <v>0</v>
      </c>
      <c r="J172" s="3">
        <f t="shared" si="2"/>
        <v>0</v>
      </c>
      <c r="K172" s="3">
        <f>IF(J172&gt;0,
        J172 * IF(G172&gt;0, G172/100,
            IFERROR( VLOOKUP(A172, Dividends!$A:$C, 3, FALSE) / VLOOKUP(A172, Prices!$A:$B, 2, FALSE), Inputs!$B$4)
        ) / 12,
        0)</f>
        <v>0</v>
      </c>
      <c r="L172" s="3">
        <f t="shared" si="3"/>
        <v>0</v>
      </c>
    </row>
    <row r="173" ht="15.75" customHeight="1">
      <c r="F173" s="3" t="str">
        <f>IFERROR(VLOOKUP(A173, Prices!A:B, 2, FALSE), )</f>
        <v/>
      </c>
      <c r="G173" s="3">
        <f>IFERROR(VLOOKUP(A173, Dividends!$A:$B, 2, FALSE),
       IFERROR( (VLOOKUP(A173, Dividends!$A:$C, 3, FALSE) / VLOOKUP(A173, Prices!$A:$B, 2, FALSE)) * 100,
                Inputs!$B$4*100 ))</f>
        <v>65</v>
      </c>
      <c r="H173" s="3">
        <f>IFERROR(SUMIF(Purchases!B:B, A173, Purchases!D:D), 0)</f>
        <v>0</v>
      </c>
      <c r="I173" s="3">
        <f t="shared" si="1"/>
        <v>0</v>
      </c>
      <c r="J173" s="3">
        <f t="shared" si="2"/>
        <v>0</v>
      </c>
      <c r="K173" s="3">
        <f>IF(J173&gt;0,
        J173 * IF(G173&gt;0, G173/100,
            IFERROR( VLOOKUP(A173, Dividends!$A:$C, 3, FALSE) / VLOOKUP(A173, Prices!$A:$B, 2, FALSE), Inputs!$B$4)
        ) / 12,
        0)</f>
        <v>0</v>
      </c>
      <c r="L173" s="3">
        <f t="shared" si="3"/>
        <v>0</v>
      </c>
    </row>
    <row r="174" ht="15.75" customHeight="1">
      <c r="F174" s="3" t="str">
        <f>IFERROR(VLOOKUP(A174, Prices!A:B, 2, FALSE), )</f>
        <v/>
      </c>
      <c r="G174" s="3">
        <f>IFERROR(VLOOKUP(A174, Dividends!$A:$B, 2, FALSE),
       IFERROR( (VLOOKUP(A174, Dividends!$A:$C, 3, FALSE) / VLOOKUP(A174, Prices!$A:$B, 2, FALSE)) * 100,
                Inputs!$B$4*100 ))</f>
        <v>65</v>
      </c>
      <c r="H174" s="3">
        <f>IFERROR(SUMIF(Purchases!B:B, A174, Purchases!D:D), 0)</f>
        <v>0</v>
      </c>
      <c r="I174" s="3">
        <f t="shared" si="1"/>
        <v>0</v>
      </c>
      <c r="J174" s="3">
        <f t="shared" si="2"/>
        <v>0</v>
      </c>
      <c r="K174" s="3">
        <f>IF(J174&gt;0,
        J174 * IF(G174&gt;0, G174/100,
            IFERROR( VLOOKUP(A174, Dividends!$A:$C, 3, FALSE) / VLOOKUP(A174, Prices!$A:$B, 2, FALSE), Inputs!$B$4)
        ) / 12,
        0)</f>
        <v>0</v>
      </c>
      <c r="L174" s="3">
        <f t="shared" si="3"/>
        <v>0</v>
      </c>
    </row>
    <row r="175" ht="15.75" customHeight="1">
      <c r="F175" s="3" t="str">
        <f>IFERROR(VLOOKUP(A175, Prices!A:B, 2, FALSE), )</f>
        <v/>
      </c>
      <c r="G175" s="3">
        <f>IFERROR(VLOOKUP(A175, Dividends!$A:$B, 2, FALSE),
       IFERROR( (VLOOKUP(A175, Dividends!$A:$C, 3, FALSE) / VLOOKUP(A175, Prices!$A:$B, 2, FALSE)) * 100,
                Inputs!$B$4*100 ))</f>
        <v>65</v>
      </c>
      <c r="H175" s="3">
        <f>IFERROR(SUMIF(Purchases!B:B, A175, Purchases!D:D), 0)</f>
        <v>0</v>
      </c>
      <c r="I175" s="3">
        <f t="shared" si="1"/>
        <v>0</v>
      </c>
      <c r="J175" s="3">
        <f t="shared" si="2"/>
        <v>0</v>
      </c>
      <c r="K175" s="3">
        <f>IF(J175&gt;0,
        J175 * IF(G175&gt;0, G175/100,
            IFERROR( VLOOKUP(A175, Dividends!$A:$C, 3, FALSE) / VLOOKUP(A175, Prices!$A:$B, 2, FALSE), Inputs!$B$4)
        ) / 12,
        0)</f>
        <v>0</v>
      </c>
      <c r="L175" s="3">
        <f t="shared" si="3"/>
        <v>0</v>
      </c>
    </row>
    <row r="176" ht="15.75" customHeight="1">
      <c r="F176" s="3" t="str">
        <f>IFERROR(VLOOKUP(A176, Prices!A:B, 2, FALSE), )</f>
        <v/>
      </c>
      <c r="G176" s="3">
        <f>IFERROR(VLOOKUP(A176, Dividends!$A:$B, 2, FALSE),
       IFERROR( (VLOOKUP(A176, Dividends!$A:$C, 3, FALSE) / VLOOKUP(A176, Prices!$A:$B, 2, FALSE)) * 100,
                Inputs!$B$4*100 ))</f>
        <v>65</v>
      </c>
      <c r="H176" s="3">
        <f>IFERROR(SUMIF(Purchases!B:B, A176, Purchases!D:D), 0)</f>
        <v>0</v>
      </c>
      <c r="I176" s="3">
        <f t="shared" si="1"/>
        <v>0</v>
      </c>
      <c r="J176" s="3">
        <f t="shared" si="2"/>
        <v>0</v>
      </c>
      <c r="K176" s="3">
        <f>IF(J176&gt;0,
        J176 * IF(G176&gt;0, G176/100,
            IFERROR( VLOOKUP(A176, Dividends!$A:$C, 3, FALSE) / VLOOKUP(A176, Prices!$A:$B, 2, FALSE), Inputs!$B$4)
        ) / 12,
        0)</f>
        <v>0</v>
      </c>
      <c r="L176" s="3">
        <f t="shared" si="3"/>
        <v>0</v>
      </c>
    </row>
    <row r="177" ht="15.75" customHeight="1">
      <c r="F177" s="3" t="str">
        <f>IFERROR(VLOOKUP(A177, Prices!A:B, 2, FALSE), )</f>
        <v/>
      </c>
      <c r="G177" s="3">
        <f>IFERROR(VLOOKUP(A177, Dividends!$A:$B, 2, FALSE),
       IFERROR( (VLOOKUP(A177, Dividends!$A:$C, 3, FALSE) / VLOOKUP(A177, Prices!$A:$B, 2, FALSE)) * 100,
                Inputs!$B$4*100 ))</f>
        <v>65</v>
      </c>
      <c r="H177" s="3">
        <f>IFERROR(SUMIF(Purchases!B:B, A177, Purchases!D:D), 0)</f>
        <v>0</v>
      </c>
      <c r="I177" s="3">
        <f t="shared" si="1"/>
        <v>0</v>
      </c>
      <c r="J177" s="3">
        <f t="shared" si="2"/>
        <v>0</v>
      </c>
      <c r="K177" s="3">
        <f>IF(J177&gt;0,
        J177 * IF(G177&gt;0, G177/100,
            IFERROR( VLOOKUP(A177, Dividends!$A:$C, 3, FALSE) / VLOOKUP(A177, Prices!$A:$B, 2, FALSE), Inputs!$B$4)
        ) / 12,
        0)</f>
        <v>0</v>
      </c>
      <c r="L177" s="3">
        <f t="shared" si="3"/>
        <v>0</v>
      </c>
    </row>
    <row r="178" ht="15.75" customHeight="1">
      <c r="F178" s="3" t="str">
        <f>IFERROR(VLOOKUP(A178, Prices!A:B, 2, FALSE), )</f>
        <v/>
      </c>
      <c r="G178" s="3">
        <f>IFERROR(VLOOKUP(A178, Dividends!$A:$B, 2, FALSE),
       IFERROR( (VLOOKUP(A178, Dividends!$A:$C, 3, FALSE) / VLOOKUP(A178, Prices!$A:$B, 2, FALSE)) * 100,
                Inputs!$B$4*100 ))</f>
        <v>65</v>
      </c>
      <c r="H178" s="3">
        <f>IFERROR(SUMIF(Purchases!B:B, A178, Purchases!D:D), 0)</f>
        <v>0</v>
      </c>
      <c r="I178" s="3">
        <f t="shared" si="1"/>
        <v>0</v>
      </c>
      <c r="J178" s="3">
        <f t="shared" si="2"/>
        <v>0</v>
      </c>
      <c r="K178" s="3">
        <f>IF(J178&gt;0,
        J178 * IF(G178&gt;0, G178/100,
            IFERROR( VLOOKUP(A178, Dividends!$A:$C, 3, FALSE) / VLOOKUP(A178, Prices!$A:$B, 2, FALSE), Inputs!$B$4)
        ) / 12,
        0)</f>
        <v>0</v>
      </c>
      <c r="L178" s="3">
        <f t="shared" si="3"/>
        <v>0</v>
      </c>
    </row>
    <row r="179" ht="15.75" customHeight="1">
      <c r="F179" s="3" t="str">
        <f>IFERROR(VLOOKUP(A179, Prices!A:B, 2, FALSE), )</f>
        <v/>
      </c>
      <c r="G179" s="3">
        <f>IFERROR(VLOOKUP(A179, Dividends!$A:$B, 2, FALSE),
       IFERROR( (VLOOKUP(A179, Dividends!$A:$C, 3, FALSE) / VLOOKUP(A179, Prices!$A:$B, 2, FALSE)) * 100,
                Inputs!$B$4*100 ))</f>
        <v>65</v>
      </c>
      <c r="H179" s="3">
        <f>IFERROR(SUMIF(Purchases!B:B, A179, Purchases!D:D), 0)</f>
        <v>0</v>
      </c>
      <c r="I179" s="3">
        <f t="shared" si="1"/>
        <v>0</v>
      </c>
      <c r="J179" s="3">
        <f t="shared" si="2"/>
        <v>0</v>
      </c>
      <c r="K179" s="3">
        <f>IF(J179&gt;0,
        J179 * IF(G179&gt;0, G179/100,
            IFERROR( VLOOKUP(A179, Dividends!$A:$C, 3, FALSE) / VLOOKUP(A179, Prices!$A:$B, 2, FALSE), Inputs!$B$4)
        ) / 12,
        0)</f>
        <v>0</v>
      </c>
      <c r="L179" s="3">
        <f t="shared" si="3"/>
        <v>0</v>
      </c>
    </row>
    <row r="180" ht="15.75" customHeight="1">
      <c r="F180" s="3" t="str">
        <f>IFERROR(VLOOKUP(A180, Prices!A:B, 2, FALSE), )</f>
        <v/>
      </c>
      <c r="G180" s="3">
        <f>IFERROR(VLOOKUP(A180, Dividends!$A:$B, 2, FALSE),
       IFERROR( (VLOOKUP(A180, Dividends!$A:$C, 3, FALSE) / VLOOKUP(A180, Prices!$A:$B, 2, FALSE)) * 100,
                Inputs!$B$4*100 ))</f>
        <v>65</v>
      </c>
      <c r="H180" s="3">
        <f>IFERROR(SUMIF(Purchases!B:B, A180, Purchases!D:D), 0)</f>
        <v>0</v>
      </c>
      <c r="I180" s="3">
        <f t="shared" si="1"/>
        <v>0</v>
      </c>
      <c r="J180" s="3">
        <f t="shared" si="2"/>
        <v>0</v>
      </c>
      <c r="K180" s="3">
        <f>IF(J180&gt;0,
        J180 * IF(G180&gt;0, G180/100,
            IFERROR( VLOOKUP(A180, Dividends!$A:$C, 3, FALSE) / VLOOKUP(A180, Prices!$A:$B, 2, FALSE), Inputs!$B$4)
        ) / 12,
        0)</f>
        <v>0</v>
      </c>
      <c r="L180" s="3">
        <f t="shared" si="3"/>
        <v>0</v>
      </c>
    </row>
    <row r="181" ht="15.75" customHeight="1">
      <c r="F181" s="3" t="str">
        <f>IFERROR(VLOOKUP(A181, Prices!A:B, 2, FALSE), )</f>
        <v/>
      </c>
      <c r="G181" s="3">
        <f>IFERROR(VLOOKUP(A181, Dividends!$A:$B, 2, FALSE),
       IFERROR( (VLOOKUP(A181, Dividends!$A:$C, 3, FALSE) / VLOOKUP(A181, Prices!$A:$B, 2, FALSE)) * 100,
                Inputs!$B$4*100 ))</f>
        <v>65</v>
      </c>
      <c r="H181" s="3">
        <f>IFERROR(SUMIF(Purchases!B:B, A181, Purchases!D:D), 0)</f>
        <v>0</v>
      </c>
      <c r="I181" s="3">
        <f t="shared" si="1"/>
        <v>0</v>
      </c>
      <c r="J181" s="3">
        <f t="shared" si="2"/>
        <v>0</v>
      </c>
      <c r="K181" s="3">
        <f>IF(J181&gt;0,
        J181 * IF(G181&gt;0, G181/100,
            IFERROR( VLOOKUP(A181, Dividends!$A:$C, 3, FALSE) / VLOOKUP(A181, Prices!$A:$B, 2, FALSE), Inputs!$B$4)
        ) / 12,
        0)</f>
        <v>0</v>
      </c>
      <c r="L181" s="3">
        <f t="shared" si="3"/>
        <v>0</v>
      </c>
    </row>
    <row r="182" ht="15.75" customHeight="1">
      <c r="F182" s="3" t="str">
        <f>IFERROR(VLOOKUP(A182, Prices!A:B, 2, FALSE), )</f>
        <v/>
      </c>
      <c r="G182" s="3">
        <f>IFERROR(VLOOKUP(A182, Dividends!$A:$B, 2, FALSE),
       IFERROR( (VLOOKUP(A182, Dividends!$A:$C, 3, FALSE) / VLOOKUP(A182, Prices!$A:$B, 2, FALSE)) * 100,
                Inputs!$B$4*100 ))</f>
        <v>65</v>
      </c>
      <c r="H182" s="3">
        <f>IFERROR(SUMIF(Purchases!B:B, A182, Purchases!D:D), 0)</f>
        <v>0</v>
      </c>
      <c r="I182" s="3">
        <f t="shared" si="1"/>
        <v>0</v>
      </c>
      <c r="J182" s="3">
        <f t="shared" si="2"/>
        <v>0</v>
      </c>
      <c r="K182" s="3">
        <f>IF(J182&gt;0,
        J182 * IF(G182&gt;0, G182/100,
            IFERROR( VLOOKUP(A182, Dividends!$A:$C, 3, FALSE) / VLOOKUP(A182, Prices!$A:$B, 2, FALSE), Inputs!$B$4)
        ) / 12,
        0)</f>
        <v>0</v>
      </c>
      <c r="L182" s="3">
        <f t="shared" si="3"/>
        <v>0</v>
      </c>
    </row>
    <row r="183" ht="15.75" customHeight="1">
      <c r="F183" s="3" t="str">
        <f>IFERROR(VLOOKUP(A183, Prices!A:B, 2, FALSE), )</f>
        <v/>
      </c>
      <c r="G183" s="3">
        <f>IFERROR(VLOOKUP(A183, Dividends!$A:$B, 2, FALSE),
       IFERROR( (VLOOKUP(A183, Dividends!$A:$C, 3, FALSE) / VLOOKUP(A183, Prices!$A:$B, 2, FALSE)) * 100,
                Inputs!$B$4*100 ))</f>
        <v>65</v>
      </c>
      <c r="H183" s="3">
        <f>IFERROR(SUMIF(Purchases!B:B, A183, Purchases!D:D), 0)</f>
        <v>0</v>
      </c>
      <c r="I183" s="3">
        <f t="shared" si="1"/>
        <v>0</v>
      </c>
      <c r="J183" s="3">
        <f t="shared" si="2"/>
        <v>0</v>
      </c>
      <c r="K183" s="3">
        <f>IF(J183&gt;0,
        J183 * IF(G183&gt;0, G183/100,
            IFERROR( VLOOKUP(A183, Dividends!$A:$C, 3, FALSE) / VLOOKUP(A183, Prices!$A:$B, 2, FALSE), Inputs!$B$4)
        ) / 12,
        0)</f>
        <v>0</v>
      </c>
      <c r="L183" s="3">
        <f t="shared" si="3"/>
        <v>0</v>
      </c>
    </row>
    <row r="184" ht="15.75" customHeight="1">
      <c r="F184" s="3" t="str">
        <f>IFERROR(VLOOKUP(A184, Prices!A:B, 2, FALSE), )</f>
        <v/>
      </c>
      <c r="G184" s="3">
        <f>IFERROR(VLOOKUP(A184, Dividends!$A:$B, 2, FALSE),
       IFERROR( (VLOOKUP(A184, Dividends!$A:$C, 3, FALSE) / VLOOKUP(A184, Prices!$A:$B, 2, FALSE)) * 100,
                Inputs!$B$4*100 ))</f>
        <v>65</v>
      </c>
      <c r="H184" s="3">
        <f>IFERROR(SUMIF(Purchases!B:B, A184, Purchases!D:D), 0)</f>
        <v>0</v>
      </c>
      <c r="I184" s="3">
        <f t="shared" si="1"/>
        <v>0</v>
      </c>
      <c r="J184" s="3">
        <f t="shared" si="2"/>
        <v>0</v>
      </c>
      <c r="K184" s="3">
        <f>IF(J184&gt;0,
        J184 * IF(G184&gt;0, G184/100,
            IFERROR( VLOOKUP(A184, Dividends!$A:$C, 3, FALSE) / VLOOKUP(A184, Prices!$A:$B, 2, FALSE), Inputs!$B$4)
        ) / 12,
        0)</f>
        <v>0</v>
      </c>
      <c r="L184" s="3">
        <f t="shared" si="3"/>
        <v>0</v>
      </c>
    </row>
    <row r="185" ht="15.75" customHeight="1">
      <c r="F185" s="3" t="str">
        <f>IFERROR(VLOOKUP(A185, Prices!A:B, 2, FALSE), )</f>
        <v/>
      </c>
      <c r="G185" s="3">
        <f>IFERROR(VLOOKUP(A185, Dividends!$A:$B, 2, FALSE),
       IFERROR( (VLOOKUP(A185, Dividends!$A:$C, 3, FALSE) / VLOOKUP(A185, Prices!$A:$B, 2, FALSE)) * 100,
                Inputs!$B$4*100 ))</f>
        <v>65</v>
      </c>
      <c r="H185" s="3">
        <f>IFERROR(SUMIF(Purchases!B:B, A185, Purchases!D:D), 0)</f>
        <v>0</v>
      </c>
      <c r="I185" s="3">
        <f t="shared" si="1"/>
        <v>0</v>
      </c>
      <c r="J185" s="3">
        <f t="shared" si="2"/>
        <v>0</v>
      </c>
      <c r="K185" s="3">
        <f>IF(J185&gt;0,
        J185 * IF(G185&gt;0, G185/100,
            IFERROR( VLOOKUP(A185, Dividends!$A:$C, 3, FALSE) / VLOOKUP(A185, Prices!$A:$B, 2, FALSE), Inputs!$B$4)
        ) / 12,
        0)</f>
        <v>0</v>
      </c>
      <c r="L185" s="3">
        <f t="shared" si="3"/>
        <v>0</v>
      </c>
    </row>
    <row r="186" ht="15.75" customHeight="1">
      <c r="F186" s="3" t="str">
        <f>IFERROR(VLOOKUP(A186, Prices!A:B, 2, FALSE), )</f>
        <v/>
      </c>
      <c r="G186" s="3">
        <f>IFERROR(VLOOKUP(A186, Dividends!$A:$B, 2, FALSE),
       IFERROR( (VLOOKUP(A186, Dividends!$A:$C, 3, FALSE) / VLOOKUP(A186, Prices!$A:$B, 2, FALSE)) * 100,
                Inputs!$B$4*100 ))</f>
        <v>65</v>
      </c>
      <c r="H186" s="3">
        <f>IFERROR(SUMIF(Purchases!B:B, A186, Purchases!D:D), 0)</f>
        <v>0</v>
      </c>
      <c r="I186" s="3">
        <f t="shared" si="1"/>
        <v>0</v>
      </c>
      <c r="J186" s="3">
        <f t="shared" si="2"/>
        <v>0</v>
      </c>
      <c r="K186" s="3">
        <f>IF(J186&gt;0,
        J186 * IF(G186&gt;0, G186/100,
            IFERROR( VLOOKUP(A186, Dividends!$A:$C, 3, FALSE) / VLOOKUP(A186, Prices!$A:$B, 2, FALSE), Inputs!$B$4)
        ) / 12,
        0)</f>
        <v>0</v>
      </c>
      <c r="L186" s="3">
        <f t="shared" si="3"/>
        <v>0</v>
      </c>
    </row>
    <row r="187" ht="15.75" customHeight="1">
      <c r="F187" s="3" t="str">
        <f>IFERROR(VLOOKUP(A187, Prices!A:B, 2, FALSE), )</f>
        <v/>
      </c>
      <c r="G187" s="3">
        <f>IFERROR(VLOOKUP(A187, Dividends!$A:$B, 2, FALSE),
       IFERROR( (VLOOKUP(A187, Dividends!$A:$C, 3, FALSE) / VLOOKUP(A187, Prices!$A:$B, 2, FALSE)) * 100,
                Inputs!$B$4*100 ))</f>
        <v>65</v>
      </c>
      <c r="H187" s="3">
        <f>IFERROR(SUMIF(Purchases!B:B, A187, Purchases!D:D), 0)</f>
        <v>0</v>
      </c>
      <c r="I187" s="3">
        <f t="shared" si="1"/>
        <v>0</v>
      </c>
      <c r="J187" s="3">
        <f t="shared" si="2"/>
        <v>0</v>
      </c>
      <c r="K187" s="3">
        <f>IF(J187&gt;0,
        J187 * IF(G187&gt;0, G187/100,
            IFERROR( VLOOKUP(A187, Dividends!$A:$C, 3, FALSE) / VLOOKUP(A187, Prices!$A:$B, 2, FALSE), Inputs!$B$4)
        ) / 12,
        0)</f>
        <v>0</v>
      </c>
      <c r="L187" s="3">
        <f t="shared" si="3"/>
        <v>0</v>
      </c>
    </row>
    <row r="188" ht="15.75" customHeight="1">
      <c r="F188" s="3" t="str">
        <f>IFERROR(VLOOKUP(A188, Prices!A:B, 2, FALSE), )</f>
        <v/>
      </c>
      <c r="G188" s="3">
        <f>IFERROR(VLOOKUP(A188, Dividends!$A:$B, 2, FALSE),
       IFERROR( (VLOOKUP(A188, Dividends!$A:$C, 3, FALSE) / VLOOKUP(A188, Prices!$A:$B, 2, FALSE)) * 100,
                Inputs!$B$4*100 ))</f>
        <v>65</v>
      </c>
      <c r="H188" s="3">
        <f>IFERROR(SUMIF(Purchases!B:B, A188, Purchases!D:D), 0)</f>
        <v>0</v>
      </c>
      <c r="I188" s="3">
        <f t="shared" si="1"/>
        <v>0</v>
      </c>
      <c r="J188" s="3">
        <f t="shared" si="2"/>
        <v>0</v>
      </c>
      <c r="K188" s="3">
        <f>IF(J188&gt;0,
        J188 * IF(G188&gt;0, G188/100,
            IFERROR( VLOOKUP(A188, Dividends!$A:$C, 3, FALSE) / VLOOKUP(A188, Prices!$A:$B, 2, FALSE), Inputs!$B$4)
        ) / 12,
        0)</f>
        <v>0</v>
      </c>
      <c r="L188" s="3">
        <f t="shared" si="3"/>
        <v>0</v>
      </c>
    </row>
    <row r="189" ht="15.75" customHeight="1">
      <c r="F189" s="3" t="str">
        <f>IFERROR(VLOOKUP(A189, Prices!A:B, 2, FALSE), )</f>
        <v/>
      </c>
      <c r="G189" s="3">
        <f>IFERROR(VLOOKUP(A189, Dividends!$A:$B, 2, FALSE),
       IFERROR( (VLOOKUP(A189, Dividends!$A:$C, 3, FALSE) / VLOOKUP(A189, Prices!$A:$B, 2, FALSE)) * 100,
                Inputs!$B$4*100 ))</f>
        <v>65</v>
      </c>
      <c r="H189" s="3">
        <f>IFERROR(SUMIF(Purchases!B:B, A189, Purchases!D:D), 0)</f>
        <v>0</v>
      </c>
      <c r="I189" s="3">
        <f t="shared" si="1"/>
        <v>0</v>
      </c>
      <c r="J189" s="3">
        <f t="shared" si="2"/>
        <v>0</v>
      </c>
      <c r="K189" s="3">
        <f>IF(J189&gt;0,
        J189 * IF(G189&gt;0, G189/100,
            IFERROR( VLOOKUP(A189, Dividends!$A:$C, 3, FALSE) / VLOOKUP(A189, Prices!$A:$B, 2, FALSE), Inputs!$B$4)
        ) / 12,
        0)</f>
        <v>0</v>
      </c>
      <c r="L189" s="3">
        <f t="shared" si="3"/>
        <v>0</v>
      </c>
    </row>
    <row r="190" ht="15.75" customHeight="1">
      <c r="F190" s="3" t="str">
        <f>IFERROR(VLOOKUP(A190, Prices!A:B, 2, FALSE), )</f>
        <v/>
      </c>
      <c r="G190" s="3">
        <f>IFERROR(VLOOKUP(A190, Dividends!$A:$B, 2, FALSE),
       IFERROR( (VLOOKUP(A190, Dividends!$A:$C, 3, FALSE) / VLOOKUP(A190, Prices!$A:$B, 2, FALSE)) * 100,
                Inputs!$B$4*100 ))</f>
        <v>65</v>
      </c>
      <c r="H190" s="3">
        <f>IFERROR(SUMIF(Purchases!B:B, A190, Purchases!D:D), 0)</f>
        <v>0</v>
      </c>
      <c r="I190" s="3">
        <f t="shared" si="1"/>
        <v>0</v>
      </c>
      <c r="J190" s="3">
        <f t="shared" si="2"/>
        <v>0</v>
      </c>
      <c r="K190" s="3">
        <f>IF(J190&gt;0,
        J190 * IF(G190&gt;0, G190/100,
            IFERROR( VLOOKUP(A190, Dividends!$A:$C, 3, FALSE) / VLOOKUP(A190, Prices!$A:$B, 2, FALSE), Inputs!$B$4)
        ) / 12,
        0)</f>
        <v>0</v>
      </c>
      <c r="L190" s="3">
        <f t="shared" si="3"/>
        <v>0</v>
      </c>
    </row>
    <row r="191" ht="15.75" customHeight="1">
      <c r="F191" s="3" t="str">
        <f>IFERROR(VLOOKUP(A191, Prices!A:B, 2, FALSE), )</f>
        <v/>
      </c>
      <c r="G191" s="3">
        <f>IFERROR(VLOOKUP(A191, Dividends!$A:$B, 2, FALSE),
       IFERROR( (VLOOKUP(A191, Dividends!$A:$C, 3, FALSE) / VLOOKUP(A191, Prices!$A:$B, 2, FALSE)) * 100,
                Inputs!$B$4*100 ))</f>
        <v>65</v>
      </c>
      <c r="H191" s="3">
        <f>IFERROR(SUMIF(Purchases!B:B, A191, Purchases!D:D), 0)</f>
        <v>0</v>
      </c>
      <c r="I191" s="3">
        <f t="shared" si="1"/>
        <v>0</v>
      </c>
      <c r="J191" s="3">
        <f t="shared" si="2"/>
        <v>0</v>
      </c>
      <c r="K191" s="3">
        <f>IF(J191&gt;0,
        J191 * IF(G191&gt;0, G191/100,
            IFERROR( VLOOKUP(A191, Dividends!$A:$C, 3, FALSE) / VLOOKUP(A191, Prices!$A:$B, 2, FALSE), Inputs!$B$4)
        ) / 12,
        0)</f>
        <v>0</v>
      </c>
      <c r="L191" s="3">
        <f t="shared" si="3"/>
        <v>0</v>
      </c>
    </row>
    <row r="192" ht="15.75" customHeight="1">
      <c r="F192" s="3" t="str">
        <f>IFERROR(VLOOKUP(A192, Prices!A:B, 2, FALSE), )</f>
        <v/>
      </c>
      <c r="G192" s="3">
        <f>IFERROR(VLOOKUP(A192, Dividends!$A:$B, 2, FALSE),
       IFERROR( (VLOOKUP(A192, Dividends!$A:$C, 3, FALSE) / VLOOKUP(A192, Prices!$A:$B, 2, FALSE)) * 100,
                Inputs!$B$4*100 ))</f>
        <v>65</v>
      </c>
      <c r="H192" s="3">
        <f>IFERROR(SUMIF(Purchases!B:B, A192, Purchases!D:D), 0)</f>
        <v>0</v>
      </c>
      <c r="I192" s="3">
        <f t="shared" si="1"/>
        <v>0</v>
      </c>
      <c r="J192" s="3">
        <f t="shared" si="2"/>
        <v>0</v>
      </c>
      <c r="K192" s="3">
        <f>IF(J192&gt;0,
        J192 * IF(G192&gt;0, G192/100,
            IFERROR( VLOOKUP(A192, Dividends!$A:$C, 3, FALSE) / VLOOKUP(A192, Prices!$A:$B, 2, FALSE), Inputs!$B$4)
        ) / 12,
        0)</f>
        <v>0</v>
      </c>
      <c r="L192" s="3">
        <f t="shared" si="3"/>
        <v>0</v>
      </c>
    </row>
    <row r="193" ht="15.75" customHeight="1">
      <c r="F193" s="3" t="str">
        <f>IFERROR(VLOOKUP(A193, Prices!A:B, 2, FALSE), )</f>
        <v/>
      </c>
      <c r="G193" s="3">
        <f>IFERROR(VLOOKUP(A193, Dividends!$A:$B, 2, FALSE),
       IFERROR( (VLOOKUP(A193, Dividends!$A:$C, 3, FALSE) / VLOOKUP(A193, Prices!$A:$B, 2, FALSE)) * 100,
                Inputs!$B$4*100 ))</f>
        <v>65</v>
      </c>
      <c r="H193" s="3">
        <f>IFERROR(SUMIF(Purchases!B:B, A193, Purchases!D:D), 0)</f>
        <v>0</v>
      </c>
      <c r="I193" s="3">
        <f t="shared" si="1"/>
        <v>0</v>
      </c>
      <c r="J193" s="3">
        <f t="shared" si="2"/>
        <v>0</v>
      </c>
      <c r="K193" s="3">
        <f>IF(J193&gt;0,
        J193 * IF(G193&gt;0, G193/100,
            IFERROR( VLOOKUP(A193, Dividends!$A:$C, 3, FALSE) / VLOOKUP(A193, Prices!$A:$B, 2, FALSE), Inputs!$B$4)
        ) / 12,
        0)</f>
        <v>0</v>
      </c>
      <c r="L193" s="3">
        <f t="shared" si="3"/>
        <v>0</v>
      </c>
    </row>
    <row r="194" ht="15.75" customHeight="1">
      <c r="F194" s="3" t="str">
        <f>IFERROR(VLOOKUP(A194, Prices!A:B, 2, FALSE), )</f>
        <v/>
      </c>
      <c r="G194" s="3">
        <f>IFERROR(VLOOKUP(A194, Dividends!$A:$B, 2, FALSE),
       IFERROR( (VLOOKUP(A194, Dividends!$A:$C, 3, FALSE) / VLOOKUP(A194, Prices!$A:$B, 2, FALSE)) * 100,
                Inputs!$B$4*100 ))</f>
        <v>65</v>
      </c>
      <c r="H194" s="3">
        <f>IFERROR(SUMIF(Purchases!B:B, A194, Purchases!D:D), 0)</f>
        <v>0</v>
      </c>
      <c r="I194" s="3">
        <f t="shared" si="1"/>
        <v>0</v>
      </c>
      <c r="J194" s="3">
        <f t="shared" si="2"/>
        <v>0</v>
      </c>
      <c r="K194" s="3">
        <f>IF(J194&gt;0,
        J194 * IF(G194&gt;0, G194/100,
            IFERROR( VLOOKUP(A194, Dividends!$A:$C, 3, FALSE) / VLOOKUP(A194, Prices!$A:$B, 2, FALSE), Inputs!$B$4)
        ) / 12,
        0)</f>
        <v>0</v>
      </c>
      <c r="L194" s="3">
        <f t="shared" si="3"/>
        <v>0</v>
      </c>
    </row>
    <row r="195" ht="15.75" customHeight="1">
      <c r="F195" s="3" t="str">
        <f>IFERROR(VLOOKUP(A195, Prices!A:B, 2, FALSE), )</f>
        <v/>
      </c>
      <c r="G195" s="3">
        <f>IFERROR(VLOOKUP(A195, Dividends!$A:$B, 2, FALSE),
       IFERROR( (VLOOKUP(A195, Dividends!$A:$C, 3, FALSE) / VLOOKUP(A195, Prices!$A:$B, 2, FALSE)) * 100,
                Inputs!$B$4*100 ))</f>
        <v>65</v>
      </c>
      <c r="H195" s="3">
        <f>IFERROR(SUMIF(Purchases!B:B, A195, Purchases!D:D), 0)</f>
        <v>0</v>
      </c>
      <c r="I195" s="3">
        <f t="shared" si="1"/>
        <v>0</v>
      </c>
      <c r="J195" s="3">
        <f t="shared" si="2"/>
        <v>0</v>
      </c>
      <c r="K195" s="3">
        <f>IF(J195&gt;0,
        J195 * IF(G195&gt;0, G195/100,
            IFERROR( VLOOKUP(A195, Dividends!$A:$C, 3, FALSE) / VLOOKUP(A195, Prices!$A:$B, 2, FALSE), Inputs!$B$4)
        ) / 12,
        0)</f>
        <v>0</v>
      </c>
      <c r="L195" s="3">
        <f t="shared" si="3"/>
        <v>0</v>
      </c>
    </row>
    <row r="196" ht="15.75" customHeight="1">
      <c r="F196" s="3" t="str">
        <f>IFERROR(VLOOKUP(A196, Prices!A:B, 2, FALSE), )</f>
        <v/>
      </c>
      <c r="G196" s="3">
        <f>IFERROR(VLOOKUP(A196, Dividends!$A:$B, 2, FALSE),
       IFERROR( (VLOOKUP(A196, Dividends!$A:$C, 3, FALSE) / VLOOKUP(A196, Prices!$A:$B, 2, FALSE)) * 100,
                Inputs!$B$4*100 ))</f>
        <v>65</v>
      </c>
      <c r="H196" s="3">
        <f>IFERROR(SUMIF(Purchases!B:B, A196, Purchases!D:D), 0)</f>
        <v>0</v>
      </c>
      <c r="I196" s="3">
        <f t="shared" si="1"/>
        <v>0</v>
      </c>
      <c r="J196" s="3">
        <f t="shared" si="2"/>
        <v>0</v>
      </c>
      <c r="K196" s="3">
        <f>IF(J196&gt;0,
        J196 * IF(G196&gt;0, G196/100,
            IFERROR( VLOOKUP(A196, Dividends!$A:$C, 3, FALSE) / VLOOKUP(A196, Prices!$A:$B, 2, FALSE), Inputs!$B$4)
        ) / 12,
        0)</f>
        <v>0</v>
      </c>
      <c r="L196" s="3">
        <f t="shared" si="3"/>
        <v>0</v>
      </c>
    </row>
    <row r="197" ht="15.75" customHeight="1">
      <c r="F197" s="3" t="str">
        <f>IFERROR(VLOOKUP(A197, Prices!A:B, 2, FALSE), )</f>
        <v/>
      </c>
      <c r="G197" s="3">
        <f>IFERROR(VLOOKUP(A197, Dividends!$A:$B, 2, FALSE),
       IFERROR( (VLOOKUP(A197, Dividends!$A:$C, 3, FALSE) / VLOOKUP(A197, Prices!$A:$B, 2, FALSE)) * 100,
                Inputs!$B$4*100 ))</f>
        <v>65</v>
      </c>
      <c r="H197" s="3">
        <f>IFERROR(SUMIF(Purchases!B:B, A197, Purchases!D:D), 0)</f>
        <v>0</v>
      </c>
      <c r="I197" s="3">
        <f t="shared" si="1"/>
        <v>0</v>
      </c>
      <c r="J197" s="3">
        <f t="shared" si="2"/>
        <v>0</v>
      </c>
      <c r="K197" s="3">
        <f>IF(J197&gt;0,
        J197 * IF(G197&gt;0, G197/100,
            IFERROR( VLOOKUP(A197, Dividends!$A:$C, 3, FALSE) / VLOOKUP(A197, Prices!$A:$B, 2, FALSE), Inputs!$B$4)
        ) / 12,
        0)</f>
        <v>0</v>
      </c>
      <c r="L197" s="3">
        <f t="shared" si="3"/>
        <v>0</v>
      </c>
    </row>
    <row r="198" ht="15.75" customHeight="1">
      <c r="F198" s="3" t="str">
        <f>IFERROR(VLOOKUP(A198, Prices!A:B, 2, FALSE), )</f>
        <v/>
      </c>
      <c r="G198" s="3">
        <f>IFERROR(VLOOKUP(A198, Dividends!$A:$B, 2, FALSE),
       IFERROR( (VLOOKUP(A198, Dividends!$A:$C, 3, FALSE) / VLOOKUP(A198, Prices!$A:$B, 2, FALSE)) * 100,
                Inputs!$B$4*100 ))</f>
        <v>65</v>
      </c>
      <c r="H198" s="3">
        <f>IFERROR(SUMIF(Purchases!B:B, A198, Purchases!D:D), 0)</f>
        <v>0</v>
      </c>
      <c r="I198" s="3">
        <f t="shared" si="1"/>
        <v>0</v>
      </c>
      <c r="J198" s="3">
        <f t="shared" si="2"/>
        <v>0</v>
      </c>
      <c r="K198" s="3">
        <f>IF(J198&gt;0,
        J198 * IF(G198&gt;0, G198/100,
            IFERROR( VLOOKUP(A198, Dividends!$A:$C, 3, FALSE) / VLOOKUP(A198, Prices!$A:$B, 2, FALSE), Inputs!$B$4)
        ) / 12,
        0)</f>
        <v>0</v>
      </c>
      <c r="L198" s="3">
        <f t="shared" si="3"/>
        <v>0</v>
      </c>
    </row>
    <row r="199" ht="15.75" customHeight="1">
      <c r="F199" s="3" t="str">
        <f>IFERROR(VLOOKUP(A199, Prices!A:B, 2, FALSE), )</f>
        <v/>
      </c>
      <c r="G199" s="3">
        <f>IFERROR(VLOOKUP(A199, Dividends!$A:$B, 2, FALSE),
       IFERROR( (VLOOKUP(A199, Dividends!$A:$C, 3, FALSE) / VLOOKUP(A199, Prices!$A:$B, 2, FALSE)) * 100,
                Inputs!$B$4*100 ))</f>
        <v>65</v>
      </c>
      <c r="H199" s="3">
        <f>IFERROR(SUMIF(Purchases!B:B, A199, Purchases!D:D), 0)</f>
        <v>0</v>
      </c>
      <c r="I199" s="3">
        <f t="shared" si="1"/>
        <v>0</v>
      </c>
      <c r="J199" s="3">
        <f t="shared" si="2"/>
        <v>0</v>
      </c>
      <c r="K199" s="3">
        <f>IF(J199&gt;0,
        J199 * IF(G199&gt;0, G199/100,
            IFERROR( VLOOKUP(A199, Dividends!$A:$C, 3, FALSE) / VLOOKUP(A199, Prices!$A:$B, 2, FALSE), Inputs!$B$4)
        ) / 12,
        0)</f>
        <v>0</v>
      </c>
      <c r="L199" s="3">
        <f t="shared" si="3"/>
        <v>0</v>
      </c>
    </row>
    <row r="200" ht="15.75" customHeight="1">
      <c r="F200" s="3" t="str">
        <f>IFERROR(VLOOKUP(A200, Prices!A:B, 2, FALSE), )</f>
        <v/>
      </c>
      <c r="G200" s="3">
        <f>IFERROR(VLOOKUP(A200, Dividends!$A:$B, 2, FALSE),
       IFERROR( (VLOOKUP(A200, Dividends!$A:$C, 3, FALSE) / VLOOKUP(A200, Prices!$A:$B, 2, FALSE)) * 100,
                Inputs!$B$4*100 ))</f>
        <v>65</v>
      </c>
      <c r="H200" s="3">
        <f>IFERROR(SUMIF(Purchases!B:B, A200, Purchases!D:D), 0)</f>
        <v>0</v>
      </c>
      <c r="I200" s="3">
        <f t="shared" si="1"/>
        <v>0</v>
      </c>
      <c r="J200" s="3">
        <f t="shared" si="2"/>
        <v>0</v>
      </c>
      <c r="K200" s="3">
        <f>IF(J200&gt;0,
        J200 * IF(G200&gt;0, G200/100,
            IFERROR( VLOOKUP(A200, Dividends!$A:$C, 3, FALSE) / VLOOKUP(A200, Prices!$A:$B, 2, FALSE), Inputs!$B$4)
        ) / 12,
        0)</f>
        <v>0</v>
      </c>
      <c r="L200" s="3">
        <f t="shared" si="3"/>
        <v>0</v>
      </c>
    </row>
    <row r="201" ht="15.75" customHeight="1">
      <c r="F201" s="3" t="str">
        <f>IFERROR(VLOOKUP(A201, Prices!A:B, 2, FALSE), )</f>
        <v/>
      </c>
      <c r="G201" s="3">
        <f>IFERROR(VLOOKUP(A201, Dividends!$A:$B, 2, FALSE),
       IFERROR( (VLOOKUP(A201, Dividends!$A:$C, 3, FALSE) / VLOOKUP(A201, Prices!$A:$B, 2, FALSE)) * 100,
                Inputs!$B$4*100 ))</f>
        <v>65</v>
      </c>
      <c r="H201" s="3">
        <f>IFERROR(SUMIF(Purchases!B:B, A201, Purchases!D:D), 0)</f>
        <v>0</v>
      </c>
      <c r="I201" s="3">
        <f t="shared" si="1"/>
        <v>0</v>
      </c>
      <c r="J201" s="3">
        <f t="shared" si="2"/>
        <v>0</v>
      </c>
      <c r="K201" s="3">
        <f>IF(J201&gt;0,
        J201 * IF(G201&gt;0, G201/100,
            IFERROR( VLOOKUP(A201, Dividends!$A:$C, 3, FALSE) / VLOOKUP(A201, Prices!$A:$B, 2, FALSE), Inputs!$B$4)
        ) / 12,
        0)</f>
        <v>0</v>
      </c>
      <c r="L201" s="3">
        <f t="shared" si="3"/>
        <v>0</v>
      </c>
    </row>
    <row r="202" ht="15.75" customHeight="1">
      <c r="F202" s="3" t="str">
        <f>IFERROR(VLOOKUP(A202, Prices!A:B, 2, FALSE), )</f>
        <v/>
      </c>
      <c r="G202" s="3">
        <f>IFERROR(VLOOKUP(A202, Dividends!$A:$B, 2, FALSE),
       IFERROR( (VLOOKUP(A202, Dividends!$A:$C, 3, FALSE) / VLOOKUP(A202, Prices!$A:$B, 2, FALSE)) * 100,
                Inputs!$B$4*100 ))</f>
        <v>65</v>
      </c>
      <c r="H202" s="3">
        <f>IFERROR(SUMIF(Purchases!B:B, A202, Purchases!D:D), 0)</f>
        <v>0</v>
      </c>
      <c r="I202" s="3">
        <f t="shared" si="1"/>
        <v>0</v>
      </c>
      <c r="J202" s="3">
        <f t="shared" si="2"/>
        <v>0</v>
      </c>
      <c r="K202" s="3">
        <f>IF(J202&gt;0,
        J202 * IF(G202&gt;0, G202/100,
            IFERROR( VLOOKUP(A202, Dividends!$A:$C, 3, FALSE) / VLOOKUP(A202, Prices!$A:$B, 2, FALSE), Inputs!$B$4)
        ) / 12,
        0)</f>
        <v>0</v>
      </c>
      <c r="L202" s="3">
        <f t="shared" si="3"/>
        <v>0</v>
      </c>
    </row>
    <row r="203" ht="15.75" customHeight="1">
      <c r="F203" s="3" t="str">
        <f>IFERROR(VLOOKUP(A203, Prices!A:B, 2, FALSE), )</f>
        <v/>
      </c>
      <c r="G203" s="3">
        <f>IFERROR(VLOOKUP(A203, Dividends!$A:$B, 2, FALSE),
       IFERROR( (VLOOKUP(A203, Dividends!$A:$C, 3, FALSE) / VLOOKUP(A203, Prices!$A:$B, 2, FALSE)) * 100,
                Inputs!$B$4*100 ))</f>
        <v>65</v>
      </c>
      <c r="H203" s="3">
        <f>IFERROR(SUMIF(Purchases!B:B, A203, Purchases!D:D), 0)</f>
        <v>0</v>
      </c>
      <c r="I203" s="3">
        <f t="shared" si="1"/>
        <v>0</v>
      </c>
      <c r="J203" s="3">
        <f t="shared" si="2"/>
        <v>0</v>
      </c>
      <c r="K203" s="3">
        <f>IF(J203&gt;0,
        J203 * IF(G203&gt;0, G203/100,
            IFERROR( VLOOKUP(A203, Dividends!$A:$C, 3, FALSE) / VLOOKUP(A203, Prices!$A:$B, 2, FALSE), Inputs!$B$4)
        ) / 12,
        0)</f>
        <v>0</v>
      </c>
      <c r="L203" s="3">
        <f t="shared" si="3"/>
        <v>0</v>
      </c>
    </row>
    <row r="204" ht="15.75" customHeight="1">
      <c r="F204" s="3" t="str">
        <f>IFERROR(VLOOKUP(A204, Prices!A:B, 2, FALSE), )</f>
        <v/>
      </c>
      <c r="G204" s="3">
        <f>IFERROR(VLOOKUP(A204, Dividends!$A:$B, 2, FALSE),
       IFERROR( (VLOOKUP(A204, Dividends!$A:$C, 3, FALSE) / VLOOKUP(A204, Prices!$A:$B, 2, FALSE)) * 100,
                Inputs!$B$4*100 ))</f>
        <v>65</v>
      </c>
      <c r="H204" s="3">
        <f>IFERROR(SUMIF(Purchases!B:B, A204, Purchases!D:D), 0)</f>
        <v>0</v>
      </c>
      <c r="I204" s="3">
        <f t="shared" si="1"/>
        <v>0</v>
      </c>
      <c r="J204" s="3">
        <f t="shared" si="2"/>
        <v>0</v>
      </c>
      <c r="K204" s="3">
        <f>IF(J204&gt;0,
        J204 * IF(G204&gt;0, G204/100,
            IFERROR( VLOOKUP(A204, Dividends!$A:$C, 3, FALSE) / VLOOKUP(A204, Prices!$A:$B, 2, FALSE), Inputs!$B$4)
        ) / 12,
        0)</f>
        <v>0</v>
      </c>
      <c r="L204" s="3">
        <f t="shared" si="3"/>
        <v>0</v>
      </c>
    </row>
    <row r="205" ht="15.75" customHeight="1">
      <c r="F205" s="3" t="str">
        <f>IFERROR(VLOOKUP(A205, Prices!A:B, 2, FALSE), )</f>
        <v/>
      </c>
      <c r="G205" s="3">
        <f>IFERROR(VLOOKUP(A205, Dividends!$A:$B, 2, FALSE),
       IFERROR( (VLOOKUP(A205, Dividends!$A:$C, 3, FALSE) / VLOOKUP(A205, Prices!$A:$B, 2, FALSE)) * 100,
                Inputs!$B$4*100 ))</f>
        <v>65</v>
      </c>
      <c r="H205" s="3">
        <f>IFERROR(SUMIF(Purchases!B:B, A205, Purchases!D:D), 0)</f>
        <v>0</v>
      </c>
      <c r="I205" s="3">
        <f t="shared" si="1"/>
        <v>0</v>
      </c>
      <c r="J205" s="3">
        <f t="shared" si="2"/>
        <v>0</v>
      </c>
      <c r="K205" s="3">
        <f>IF(J205&gt;0,
        J205 * IF(G205&gt;0, G205/100,
            IFERROR( VLOOKUP(A205, Dividends!$A:$C, 3, FALSE) / VLOOKUP(A205, Prices!$A:$B, 2, FALSE), Inputs!$B$4)
        ) / 12,
        0)</f>
        <v>0</v>
      </c>
      <c r="L205" s="3">
        <f t="shared" si="3"/>
        <v>0</v>
      </c>
    </row>
    <row r="206" ht="15.75" customHeight="1">
      <c r="F206" s="3" t="str">
        <f>IFERROR(VLOOKUP(A206, Prices!A:B, 2, FALSE), )</f>
        <v/>
      </c>
      <c r="G206" s="3">
        <f>IFERROR(VLOOKUP(A206, Dividends!$A:$B, 2, FALSE),
       IFERROR( (VLOOKUP(A206, Dividends!$A:$C, 3, FALSE) / VLOOKUP(A206, Prices!$A:$B, 2, FALSE)) * 100,
                Inputs!$B$4*100 ))</f>
        <v>65</v>
      </c>
      <c r="H206" s="3">
        <f>IFERROR(SUMIF(Purchases!B:B, A206, Purchases!D:D), 0)</f>
        <v>0</v>
      </c>
      <c r="I206" s="3">
        <f t="shared" si="1"/>
        <v>0</v>
      </c>
      <c r="J206" s="3">
        <f t="shared" si="2"/>
        <v>0</v>
      </c>
      <c r="K206" s="3">
        <f>IF(J206&gt;0,
        J206 * IF(G206&gt;0, G206/100,
            IFERROR( VLOOKUP(A206, Dividends!$A:$C, 3, FALSE) / VLOOKUP(A206, Prices!$A:$B, 2, FALSE), Inputs!$B$4)
        ) / 12,
        0)</f>
        <v>0</v>
      </c>
      <c r="L206" s="3">
        <f t="shared" si="3"/>
        <v>0</v>
      </c>
    </row>
    <row r="207" ht="15.75" customHeight="1">
      <c r="F207" s="3" t="str">
        <f>IFERROR(VLOOKUP(A207, Prices!A:B, 2, FALSE), )</f>
        <v/>
      </c>
      <c r="G207" s="3">
        <f>IFERROR(VLOOKUP(A207, Dividends!$A:$B, 2, FALSE),
       IFERROR( (VLOOKUP(A207, Dividends!$A:$C, 3, FALSE) / VLOOKUP(A207, Prices!$A:$B, 2, FALSE)) * 100,
                Inputs!$B$4*100 ))</f>
        <v>65</v>
      </c>
      <c r="H207" s="3">
        <f>IFERROR(SUMIF(Purchases!B:B, A207, Purchases!D:D), 0)</f>
        <v>0</v>
      </c>
      <c r="I207" s="3">
        <f t="shared" si="1"/>
        <v>0</v>
      </c>
      <c r="J207" s="3">
        <f t="shared" si="2"/>
        <v>0</v>
      </c>
      <c r="K207" s="3">
        <f>IF(J207&gt;0,
        J207 * IF(G207&gt;0, G207/100,
            IFERROR( VLOOKUP(A207, Dividends!$A:$C, 3, FALSE) / VLOOKUP(A207, Prices!$A:$B, 2, FALSE), Inputs!$B$4)
        ) / 12,
        0)</f>
        <v>0</v>
      </c>
      <c r="L207" s="3">
        <f t="shared" si="3"/>
        <v>0</v>
      </c>
    </row>
    <row r="208" ht="15.75" customHeight="1">
      <c r="F208" s="3" t="str">
        <f>IFERROR(VLOOKUP(A208, Prices!A:B, 2, FALSE), )</f>
        <v/>
      </c>
      <c r="G208" s="3">
        <f>IFERROR(VLOOKUP(A208, Dividends!$A:$B, 2, FALSE),
       IFERROR( (VLOOKUP(A208, Dividends!$A:$C, 3, FALSE) / VLOOKUP(A208, Prices!$A:$B, 2, FALSE)) * 100,
                Inputs!$B$4*100 ))</f>
        <v>65</v>
      </c>
      <c r="H208" s="3">
        <f>IFERROR(SUMIF(Purchases!B:B, A208, Purchases!D:D), 0)</f>
        <v>0</v>
      </c>
      <c r="I208" s="3">
        <f t="shared" si="1"/>
        <v>0</v>
      </c>
      <c r="J208" s="3">
        <f t="shared" si="2"/>
        <v>0</v>
      </c>
      <c r="K208" s="3">
        <f>IF(J208&gt;0,
        J208 * IF(G208&gt;0, G208/100,
            IFERROR( VLOOKUP(A208, Dividends!$A:$C, 3, FALSE) / VLOOKUP(A208, Prices!$A:$B, 2, FALSE), Inputs!$B$4)
        ) / 12,
        0)</f>
        <v>0</v>
      </c>
      <c r="L208" s="3">
        <f t="shared" si="3"/>
        <v>0</v>
      </c>
    </row>
    <row r="209" ht="15.75" customHeight="1">
      <c r="F209" s="3" t="str">
        <f>IFERROR(VLOOKUP(A209, Prices!A:B, 2, FALSE), )</f>
        <v/>
      </c>
      <c r="G209" s="3">
        <f>IFERROR(VLOOKUP(A209, Dividends!$A:$B, 2, FALSE),
       IFERROR( (VLOOKUP(A209, Dividends!$A:$C, 3, FALSE) / VLOOKUP(A209, Prices!$A:$B, 2, FALSE)) * 100,
                Inputs!$B$4*100 ))</f>
        <v>65</v>
      </c>
      <c r="H209" s="3">
        <f>IFERROR(SUMIF(Purchases!B:B, A209, Purchases!D:D), 0)</f>
        <v>0</v>
      </c>
      <c r="I209" s="3">
        <f t="shared" si="1"/>
        <v>0</v>
      </c>
      <c r="J209" s="3">
        <f t="shared" si="2"/>
        <v>0</v>
      </c>
      <c r="K209" s="3">
        <f>IF(J209&gt;0,
        J209 * IF(G209&gt;0, G209/100,
            IFERROR( VLOOKUP(A209, Dividends!$A:$C, 3, FALSE) / VLOOKUP(A209, Prices!$A:$B, 2, FALSE), Inputs!$B$4)
        ) / 12,
        0)</f>
        <v>0</v>
      </c>
      <c r="L209" s="3">
        <f t="shared" si="3"/>
        <v>0</v>
      </c>
    </row>
    <row r="210" ht="15.75" customHeight="1">
      <c r="F210" s="3" t="str">
        <f>IFERROR(VLOOKUP(A210, Prices!A:B, 2, FALSE), )</f>
        <v/>
      </c>
      <c r="G210" s="3">
        <f>IFERROR(VLOOKUP(A210, Dividends!$A:$B, 2, FALSE),
       IFERROR( (VLOOKUP(A210, Dividends!$A:$C, 3, FALSE) / VLOOKUP(A210, Prices!$A:$B, 2, FALSE)) * 100,
                Inputs!$B$4*100 ))</f>
        <v>65</v>
      </c>
      <c r="H210" s="3">
        <f>IFERROR(SUMIF(Purchases!B:B, A210, Purchases!D:D), 0)</f>
        <v>0</v>
      </c>
      <c r="I210" s="3">
        <f t="shared" si="1"/>
        <v>0</v>
      </c>
      <c r="J210" s="3">
        <f t="shared" si="2"/>
        <v>0</v>
      </c>
      <c r="K210" s="3">
        <f>IF(J210&gt;0,
        J210 * IF(G210&gt;0, G210/100,
            IFERROR( VLOOKUP(A210, Dividends!$A:$C, 3, FALSE) / VLOOKUP(A210, Prices!$A:$B, 2, FALSE), Inputs!$B$4)
        ) / 12,
        0)</f>
        <v>0</v>
      </c>
      <c r="L210" s="3">
        <f t="shared" si="3"/>
        <v>0</v>
      </c>
    </row>
    <row r="211" ht="15.75" customHeight="1">
      <c r="F211" s="3" t="str">
        <f>IFERROR(VLOOKUP(A211, Prices!A:B, 2, FALSE), )</f>
        <v/>
      </c>
      <c r="G211" s="3">
        <f>IFERROR(VLOOKUP(A211, Dividends!$A:$B, 2, FALSE),
       IFERROR( (VLOOKUP(A211, Dividends!$A:$C, 3, FALSE) / VLOOKUP(A211, Prices!$A:$B, 2, FALSE)) * 100,
                Inputs!$B$4*100 ))</f>
        <v>65</v>
      </c>
      <c r="H211" s="3">
        <f>IFERROR(SUMIF(Purchases!B:B, A211, Purchases!D:D), 0)</f>
        <v>0</v>
      </c>
      <c r="I211" s="3">
        <f t="shared" si="1"/>
        <v>0</v>
      </c>
      <c r="J211" s="3">
        <f t="shared" si="2"/>
        <v>0</v>
      </c>
      <c r="K211" s="3">
        <f>IF(J211&gt;0,
        J211 * IF(G211&gt;0, G211/100,
            IFERROR( VLOOKUP(A211, Dividends!$A:$C, 3, FALSE) / VLOOKUP(A211, Prices!$A:$B, 2, FALSE), Inputs!$B$4)
        ) / 12,
        0)</f>
        <v>0</v>
      </c>
      <c r="L211" s="3">
        <f t="shared" si="3"/>
        <v>0</v>
      </c>
    </row>
    <row r="212" ht="15.75" customHeight="1">
      <c r="F212" s="3" t="str">
        <f>IFERROR(VLOOKUP(A212, Prices!A:B, 2, FALSE), )</f>
        <v/>
      </c>
      <c r="G212" s="3">
        <f>IFERROR(VLOOKUP(A212, Dividends!$A:$B, 2, FALSE),
       IFERROR( (VLOOKUP(A212, Dividends!$A:$C, 3, FALSE) / VLOOKUP(A212, Prices!$A:$B, 2, FALSE)) * 100,
                Inputs!$B$4*100 ))</f>
        <v>65</v>
      </c>
      <c r="H212" s="3">
        <f>IFERROR(SUMIF(Purchases!B:B, A212, Purchases!D:D), 0)</f>
        <v>0</v>
      </c>
      <c r="I212" s="3">
        <f t="shared" si="1"/>
        <v>0</v>
      </c>
      <c r="J212" s="3">
        <f t="shared" si="2"/>
        <v>0</v>
      </c>
      <c r="K212" s="3">
        <f>IF(J212&gt;0,
        J212 * IF(G212&gt;0, G212/100,
            IFERROR( VLOOKUP(A212, Dividends!$A:$C, 3, FALSE) / VLOOKUP(A212, Prices!$A:$B, 2, FALSE), Inputs!$B$4)
        ) / 12,
        0)</f>
        <v>0</v>
      </c>
      <c r="L212" s="3">
        <f t="shared" si="3"/>
        <v>0</v>
      </c>
    </row>
    <row r="213" ht="15.75" customHeight="1">
      <c r="F213" s="3" t="str">
        <f>IFERROR(VLOOKUP(A213, Prices!A:B, 2, FALSE), )</f>
        <v/>
      </c>
      <c r="G213" s="3">
        <f>IFERROR(VLOOKUP(A213, Dividends!$A:$B, 2, FALSE),
       IFERROR( (VLOOKUP(A213, Dividends!$A:$C, 3, FALSE) / VLOOKUP(A213, Prices!$A:$B, 2, FALSE)) * 100,
                Inputs!$B$4*100 ))</f>
        <v>65</v>
      </c>
      <c r="H213" s="3">
        <f>IFERROR(SUMIF(Purchases!B:B, A213, Purchases!D:D), 0)</f>
        <v>0</v>
      </c>
      <c r="I213" s="3">
        <f t="shared" si="1"/>
        <v>0</v>
      </c>
      <c r="J213" s="3">
        <f t="shared" si="2"/>
        <v>0</v>
      </c>
      <c r="K213" s="3">
        <f>IF(J213&gt;0,
        J213 * IF(G213&gt;0, G213/100,
            IFERROR( VLOOKUP(A213, Dividends!$A:$C, 3, FALSE) / VLOOKUP(A213, Prices!$A:$B, 2, FALSE), Inputs!$B$4)
        ) / 12,
        0)</f>
        <v>0</v>
      </c>
      <c r="L213" s="3">
        <f t="shared" si="3"/>
        <v>0</v>
      </c>
    </row>
    <row r="214" ht="15.75" customHeight="1">
      <c r="F214" s="3" t="str">
        <f>IFERROR(VLOOKUP(A214, Prices!A:B, 2, FALSE), )</f>
        <v/>
      </c>
      <c r="G214" s="3">
        <f>IFERROR(VLOOKUP(A214, Dividends!$A:$B, 2, FALSE),
       IFERROR( (VLOOKUP(A214, Dividends!$A:$C, 3, FALSE) / VLOOKUP(A214, Prices!$A:$B, 2, FALSE)) * 100,
                Inputs!$B$4*100 ))</f>
        <v>65</v>
      </c>
      <c r="H214" s="3">
        <f>IFERROR(SUMIF(Purchases!B:B, A214, Purchases!D:D), 0)</f>
        <v>0</v>
      </c>
      <c r="I214" s="3">
        <f t="shared" si="1"/>
        <v>0</v>
      </c>
      <c r="J214" s="3">
        <f t="shared" si="2"/>
        <v>0</v>
      </c>
      <c r="K214" s="3">
        <f>IF(J214&gt;0,
        J214 * IF(G214&gt;0, G214/100,
            IFERROR( VLOOKUP(A214, Dividends!$A:$C, 3, FALSE) / VLOOKUP(A214, Prices!$A:$B, 2, FALSE), Inputs!$B$4)
        ) / 12,
        0)</f>
        <v>0</v>
      </c>
      <c r="L214" s="3">
        <f t="shared" si="3"/>
        <v>0</v>
      </c>
    </row>
    <row r="215" ht="15.75" customHeight="1">
      <c r="F215" s="3" t="str">
        <f>IFERROR(VLOOKUP(A215, Prices!A:B, 2, FALSE), )</f>
        <v/>
      </c>
      <c r="G215" s="3">
        <f>IFERROR(VLOOKUP(A215, Dividends!$A:$B, 2, FALSE),
       IFERROR( (VLOOKUP(A215, Dividends!$A:$C, 3, FALSE) / VLOOKUP(A215, Prices!$A:$B, 2, FALSE)) * 100,
                Inputs!$B$4*100 ))</f>
        <v>65</v>
      </c>
      <c r="H215" s="3">
        <f>IFERROR(SUMIF(Purchases!B:B, A215, Purchases!D:D), 0)</f>
        <v>0</v>
      </c>
      <c r="I215" s="3">
        <f t="shared" si="1"/>
        <v>0</v>
      </c>
      <c r="J215" s="3">
        <f t="shared" si="2"/>
        <v>0</v>
      </c>
      <c r="K215" s="3">
        <f>IF(J215&gt;0,
        J215 * IF(G215&gt;0, G215/100,
            IFERROR( VLOOKUP(A215, Dividends!$A:$C, 3, FALSE) / VLOOKUP(A215, Prices!$A:$B, 2, FALSE), Inputs!$B$4)
        ) / 12,
        0)</f>
        <v>0</v>
      </c>
      <c r="L215" s="3">
        <f t="shared" si="3"/>
        <v>0</v>
      </c>
    </row>
    <row r="216" ht="15.75" customHeight="1">
      <c r="F216" s="3" t="str">
        <f>IFERROR(VLOOKUP(A216, Prices!A:B, 2, FALSE), )</f>
        <v/>
      </c>
      <c r="G216" s="3">
        <f>IFERROR(VLOOKUP(A216, Dividends!$A:$B, 2, FALSE),
       IFERROR( (VLOOKUP(A216, Dividends!$A:$C, 3, FALSE) / VLOOKUP(A216, Prices!$A:$B, 2, FALSE)) * 100,
                Inputs!$B$4*100 ))</f>
        <v>65</v>
      </c>
      <c r="H216" s="3">
        <f>IFERROR(SUMIF(Purchases!B:B, A216, Purchases!D:D), 0)</f>
        <v>0</v>
      </c>
      <c r="I216" s="3">
        <f t="shared" si="1"/>
        <v>0</v>
      </c>
      <c r="J216" s="3">
        <f t="shared" si="2"/>
        <v>0</v>
      </c>
      <c r="K216" s="3">
        <f>IF(J216&gt;0,
        J216 * IF(G216&gt;0, G216/100,
            IFERROR( VLOOKUP(A216, Dividends!$A:$C, 3, FALSE) / VLOOKUP(A216, Prices!$A:$B, 2, FALSE), Inputs!$B$4)
        ) / 12,
        0)</f>
        <v>0</v>
      </c>
      <c r="L216" s="3">
        <f t="shared" si="3"/>
        <v>0</v>
      </c>
    </row>
    <row r="217" ht="15.75" customHeight="1">
      <c r="F217" s="3" t="str">
        <f>IFERROR(VLOOKUP(A217, Prices!A:B, 2, FALSE), )</f>
        <v/>
      </c>
      <c r="G217" s="3">
        <f>IFERROR(VLOOKUP(A217, Dividends!$A:$B, 2, FALSE),
       IFERROR( (VLOOKUP(A217, Dividends!$A:$C, 3, FALSE) / VLOOKUP(A217, Prices!$A:$B, 2, FALSE)) * 100,
                Inputs!$B$4*100 ))</f>
        <v>65</v>
      </c>
      <c r="H217" s="3">
        <f>IFERROR(SUMIF(Purchases!B:B, A217, Purchases!D:D), 0)</f>
        <v>0</v>
      </c>
      <c r="I217" s="3">
        <f t="shared" si="1"/>
        <v>0</v>
      </c>
      <c r="J217" s="3">
        <f t="shared" si="2"/>
        <v>0</v>
      </c>
      <c r="K217" s="3">
        <f>IF(J217&gt;0,
        J217 * IF(G217&gt;0, G217/100,
            IFERROR( VLOOKUP(A217, Dividends!$A:$C, 3, FALSE) / VLOOKUP(A217, Prices!$A:$B, 2, FALSE), Inputs!$B$4)
        ) / 12,
        0)</f>
        <v>0</v>
      </c>
      <c r="L217" s="3">
        <f t="shared" si="3"/>
        <v>0</v>
      </c>
    </row>
    <row r="218" ht="15.75" customHeight="1">
      <c r="F218" s="3" t="str">
        <f>IFERROR(VLOOKUP(A218, Prices!A:B, 2, FALSE), )</f>
        <v/>
      </c>
      <c r="G218" s="3">
        <f>IFERROR(VLOOKUP(A218, Dividends!$A:$B, 2, FALSE),
       IFERROR( (VLOOKUP(A218, Dividends!$A:$C, 3, FALSE) / VLOOKUP(A218, Prices!$A:$B, 2, FALSE)) * 100,
                Inputs!$B$4*100 ))</f>
        <v>65</v>
      </c>
      <c r="H218" s="3">
        <f>IFERROR(SUMIF(Purchases!B:B, A218, Purchases!D:D), 0)</f>
        <v>0</v>
      </c>
      <c r="I218" s="3">
        <f t="shared" si="1"/>
        <v>0</v>
      </c>
      <c r="J218" s="3">
        <f t="shared" si="2"/>
        <v>0</v>
      </c>
      <c r="K218" s="3">
        <f>IF(J218&gt;0,
        J218 * IF(G218&gt;0, G218/100,
            IFERROR( VLOOKUP(A218, Dividends!$A:$C, 3, FALSE) / VLOOKUP(A218, Prices!$A:$B, 2, FALSE), Inputs!$B$4)
        ) / 12,
        0)</f>
        <v>0</v>
      </c>
      <c r="L218" s="3">
        <f t="shared" si="3"/>
        <v>0</v>
      </c>
    </row>
    <row r="219" ht="15.75" customHeight="1">
      <c r="F219" s="3" t="str">
        <f>IFERROR(VLOOKUP(A219, Prices!A:B, 2, FALSE), )</f>
        <v/>
      </c>
      <c r="G219" s="3">
        <f>IFERROR(VLOOKUP(A219, Dividends!$A:$B, 2, FALSE),
       IFERROR( (VLOOKUP(A219, Dividends!$A:$C, 3, FALSE) / VLOOKUP(A219, Prices!$A:$B, 2, FALSE)) * 100,
                Inputs!$B$4*100 ))</f>
        <v>65</v>
      </c>
      <c r="H219" s="3">
        <f>IFERROR(SUMIF(Purchases!B:B, A219, Purchases!D:D), 0)</f>
        <v>0</v>
      </c>
      <c r="I219" s="3">
        <f t="shared" si="1"/>
        <v>0</v>
      </c>
      <c r="J219" s="3">
        <f t="shared" si="2"/>
        <v>0</v>
      </c>
      <c r="K219" s="3">
        <f>IF(J219&gt;0,
        J219 * IF(G219&gt;0, G219/100,
            IFERROR( VLOOKUP(A219, Dividends!$A:$C, 3, FALSE) / VLOOKUP(A219, Prices!$A:$B, 2, FALSE), Inputs!$B$4)
        ) / 12,
        0)</f>
        <v>0</v>
      </c>
      <c r="L219" s="3">
        <f t="shared" si="3"/>
        <v>0</v>
      </c>
    </row>
    <row r="220" ht="15.75" customHeight="1">
      <c r="F220" s="3" t="str">
        <f>IFERROR(VLOOKUP(A220, Prices!A:B, 2, FALSE), )</f>
        <v/>
      </c>
      <c r="G220" s="3">
        <f>IFERROR(VLOOKUP(A220, Dividends!$A:$B, 2, FALSE),
       IFERROR( (VLOOKUP(A220, Dividends!$A:$C, 3, FALSE) / VLOOKUP(A220, Prices!$A:$B, 2, FALSE)) * 100,
                Inputs!$B$4*100 ))</f>
        <v>65</v>
      </c>
      <c r="H220" s="3">
        <f>IFERROR(SUMIF(Purchases!B:B, A220, Purchases!D:D), 0)</f>
        <v>0</v>
      </c>
      <c r="I220" s="3">
        <f t="shared" si="1"/>
        <v>0</v>
      </c>
      <c r="J220" s="3">
        <f t="shared" si="2"/>
        <v>0</v>
      </c>
      <c r="K220" s="3">
        <f>IF(J220&gt;0,
        J220 * IF(G220&gt;0, G220/100,
            IFERROR( VLOOKUP(A220, Dividends!$A:$C, 3, FALSE) / VLOOKUP(A220, Prices!$A:$B, 2, FALSE), Inputs!$B$4)
        ) / 12,
        0)</f>
        <v>0</v>
      </c>
      <c r="L220" s="3">
        <f t="shared" si="3"/>
        <v>0</v>
      </c>
    </row>
    <row r="221" ht="15.75" customHeight="1">
      <c r="F221" s="3" t="str">
        <f>IFERROR(VLOOKUP(A221, Prices!A:B, 2, FALSE), )</f>
        <v/>
      </c>
      <c r="G221" s="3">
        <f>IFERROR(VLOOKUP(A221, Dividends!$A:$B, 2, FALSE),
       IFERROR( (VLOOKUP(A221, Dividends!$A:$C, 3, FALSE) / VLOOKUP(A221, Prices!$A:$B, 2, FALSE)) * 100,
                Inputs!$B$4*100 ))</f>
        <v>65</v>
      </c>
      <c r="H221" s="3">
        <f>IFERROR(SUMIF(Purchases!B:B, A221, Purchases!D:D), 0)</f>
        <v>0</v>
      </c>
      <c r="I221" s="3">
        <f t="shared" si="1"/>
        <v>0</v>
      </c>
      <c r="J221" s="3">
        <f t="shared" si="2"/>
        <v>0</v>
      </c>
      <c r="K221" s="3">
        <f>IF(J221&gt;0,
        J221 * IF(G221&gt;0, G221/100,
            IFERROR( VLOOKUP(A221, Dividends!$A:$C, 3, FALSE) / VLOOKUP(A221, Prices!$A:$B, 2, FALSE), Inputs!$B$4)
        ) / 12,
        0)</f>
        <v>0</v>
      </c>
      <c r="L221" s="3">
        <f t="shared" si="3"/>
        <v>0</v>
      </c>
    </row>
    <row r="222" ht="15.75" customHeight="1">
      <c r="F222" s="3" t="str">
        <f>IFERROR(VLOOKUP(A222, Prices!A:B, 2, FALSE), )</f>
        <v/>
      </c>
      <c r="G222" s="3">
        <f>IFERROR(VLOOKUP(A222, Dividends!$A:$B, 2, FALSE),
       IFERROR( (VLOOKUP(A222, Dividends!$A:$C, 3, FALSE) / VLOOKUP(A222, Prices!$A:$B, 2, FALSE)) * 100,
                Inputs!$B$4*100 ))</f>
        <v>65</v>
      </c>
      <c r="H222" s="3">
        <f>IFERROR(SUMIF(Purchases!B:B, A222, Purchases!D:D), 0)</f>
        <v>0</v>
      </c>
      <c r="I222" s="3">
        <f t="shared" si="1"/>
        <v>0</v>
      </c>
      <c r="J222" s="3">
        <f t="shared" si="2"/>
        <v>0</v>
      </c>
      <c r="K222" s="3">
        <f>IF(J222&gt;0,
        J222 * IF(G222&gt;0, G222/100,
            IFERROR( VLOOKUP(A222, Dividends!$A:$C, 3, FALSE) / VLOOKUP(A222, Prices!$A:$B, 2, FALSE), Inputs!$B$4)
        ) / 12,
        0)</f>
        <v>0</v>
      </c>
      <c r="L222" s="3">
        <f t="shared" si="3"/>
        <v>0</v>
      </c>
    </row>
    <row r="223" ht="15.75" customHeight="1">
      <c r="F223" s="3" t="str">
        <f>IFERROR(VLOOKUP(A223, Prices!A:B, 2, FALSE), )</f>
        <v/>
      </c>
      <c r="G223" s="3">
        <f>IFERROR(VLOOKUP(A223, Dividends!$A:$B, 2, FALSE),
       IFERROR( (VLOOKUP(A223, Dividends!$A:$C, 3, FALSE) / VLOOKUP(A223, Prices!$A:$B, 2, FALSE)) * 100,
                Inputs!$B$4*100 ))</f>
        <v>65</v>
      </c>
      <c r="H223" s="3">
        <f>IFERROR(SUMIF(Purchases!B:B, A223, Purchases!D:D), 0)</f>
        <v>0</v>
      </c>
      <c r="I223" s="3">
        <f t="shared" si="1"/>
        <v>0</v>
      </c>
      <c r="J223" s="3">
        <f t="shared" si="2"/>
        <v>0</v>
      </c>
      <c r="K223" s="3">
        <f>IF(J223&gt;0,
        J223 * IF(G223&gt;0, G223/100,
            IFERROR( VLOOKUP(A223, Dividends!$A:$C, 3, FALSE) / VLOOKUP(A223, Prices!$A:$B, 2, FALSE), Inputs!$B$4)
        ) / 12,
        0)</f>
        <v>0</v>
      </c>
      <c r="L223" s="3">
        <f t="shared" si="3"/>
        <v>0</v>
      </c>
    </row>
    <row r="224" ht="15.75" customHeight="1">
      <c r="F224" s="3" t="str">
        <f>IFERROR(VLOOKUP(A224, Prices!A:B, 2, FALSE), )</f>
        <v/>
      </c>
      <c r="G224" s="3">
        <f>IFERROR(VLOOKUP(A224, Dividends!$A:$B, 2, FALSE),
       IFERROR( (VLOOKUP(A224, Dividends!$A:$C, 3, FALSE) / VLOOKUP(A224, Prices!$A:$B, 2, FALSE)) * 100,
                Inputs!$B$4*100 ))</f>
        <v>65</v>
      </c>
      <c r="H224" s="3">
        <f>IFERROR(SUMIF(Purchases!B:B, A224, Purchases!D:D), 0)</f>
        <v>0</v>
      </c>
      <c r="I224" s="3">
        <f t="shared" si="1"/>
        <v>0</v>
      </c>
      <c r="J224" s="3">
        <f t="shared" si="2"/>
        <v>0</v>
      </c>
      <c r="K224" s="3">
        <f>IF(J224&gt;0,
        J224 * IF(G224&gt;0, G224/100,
            IFERROR( VLOOKUP(A224, Dividends!$A:$C, 3, FALSE) / VLOOKUP(A224, Prices!$A:$B, 2, FALSE), Inputs!$B$4)
        ) / 12,
        0)</f>
        <v>0</v>
      </c>
      <c r="L224" s="3">
        <f t="shared" si="3"/>
        <v>0</v>
      </c>
    </row>
    <row r="225" ht="15.75" customHeight="1">
      <c r="F225" s="3" t="str">
        <f>IFERROR(VLOOKUP(A225, Prices!A:B, 2, FALSE), )</f>
        <v/>
      </c>
      <c r="G225" s="3">
        <f>IFERROR(VLOOKUP(A225, Dividends!$A:$B, 2, FALSE),
       IFERROR( (VLOOKUP(A225, Dividends!$A:$C, 3, FALSE) / VLOOKUP(A225, Prices!$A:$B, 2, FALSE)) * 100,
                Inputs!$B$4*100 ))</f>
        <v>65</v>
      </c>
      <c r="H225" s="3">
        <f>IFERROR(SUMIF(Purchases!B:B, A225, Purchases!D:D), 0)</f>
        <v>0</v>
      </c>
      <c r="I225" s="3">
        <f t="shared" si="1"/>
        <v>0</v>
      </c>
      <c r="J225" s="3">
        <f t="shared" si="2"/>
        <v>0</v>
      </c>
      <c r="K225" s="3">
        <f>IF(J225&gt;0,
        J225 * IF(G225&gt;0, G225/100,
            IFERROR( VLOOKUP(A225, Dividends!$A:$C, 3, FALSE) / VLOOKUP(A225, Prices!$A:$B, 2, FALSE), Inputs!$B$4)
        ) / 12,
        0)</f>
        <v>0</v>
      </c>
      <c r="L225" s="3">
        <f t="shared" si="3"/>
        <v>0</v>
      </c>
    </row>
    <row r="226" ht="15.75" customHeight="1">
      <c r="F226" s="3" t="str">
        <f>IFERROR(VLOOKUP(A226, Prices!A:B, 2, FALSE), )</f>
        <v/>
      </c>
      <c r="G226" s="3">
        <f>IFERROR(VLOOKUP(A226, Dividends!$A:$B, 2, FALSE),
       IFERROR( (VLOOKUP(A226, Dividends!$A:$C, 3, FALSE) / VLOOKUP(A226, Prices!$A:$B, 2, FALSE)) * 100,
                Inputs!$B$4*100 ))</f>
        <v>65</v>
      </c>
      <c r="H226" s="3">
        <f>IFERROR(SUMIF(Purchases!B:B, A226, Purchases!D:D), 0)</f>
        <v>0</v>
      </c>
      <c r="I226" s="3">
        <f t="shared" si="1"/>
        <v>0</v>
      </c>
      <c r="J226" s="3">
        <f t="shared" si="2"/>
        <v>0</v>
      </c>
      <c r="K226" s="3">
        <f>IF(J226&gt;0,
        J226 * IF(G226&gt;0, G226/100,
            IFERROR( VLOOKUP(A226, Dividends!$A:$C, 3, FALSE) / VLOOKUP(A226, Prices!$A:$B, 2, FALSE), Inputs!$B$4)
        ) / 12,
        0)</f>
        <v>0</v>
      </c>
      <c r="L226" s="3">
        <f t="shared" si="3"/>
        <v>0</v>
      </c>
    </row>
    <row r="227" ht="15.75" customHeight="1">
      <c r="F227" s="3" t="str">
        <f>IFERROR(VLOOKUP(A227, Prices!A:B, 2, FALSE), )</f>
        <v/>
      </c>
      <c r="G227" s="3">
        <f>IFERROR(VLOOKUP(A227, Dividends!$A:$B, 2, FALSE),
       IFERROR( (VLOOKUP(A227, Dividends!$A:$C, 3, FALSE) / VLOOKUP(A227, Prices!$A:$B, 2, FALSE)) * 100,
                Inputs!$B$4*100 ))</f>
        <v>65</v>
      </c>
      <c r="H227" s="3">
        <f>IFERROR(SUMIF(Purchases!B:B, A227, Purchases!D:D), 0)</f>
        <v>0</v>
      </c>
      <c r="I227" s="3">
        <f t="shared" si="1"/>
        <v>0</v>
      </c>
      <c r="J227" s="3">
        <f t="shared" si="2"/>
        <v>0</v>
      </c>
      <c r="K227" s="3">
        <f>IF(J227&gt;0,
        J227 * IF(G227&gt;0, G227/100,
            IFERROR( VLOOKUP(A227, Dividends!$A:$C, 3, FALSE) / VLOOKUP(A227, Prices!$A:$B, 2, FALSE), Inputs!$B$4)
        ) / 12,
        0)</f>
        <v>0</v>
      </c>
      <c r="L227" s="3">
        <f t="shared" si="3"/>
        <v>0</v>
      </c>
    </row>
    <row r="228" ht="15.75" customHeight="1">
      <c r="F228" s="3" t="str">
        <f>IFERROR(VLOOKUP(A228, Prices!A:B, 2, FALSE), )</f>
        <v/>
      </c>
      <c r="G228" s="3">
        <f>IFERROR(VLOOKUP(A228, Dividends!$A:$B, 2, FALSE),
       IFERROR( (VLOOKUP(A228, Dividends!$A:$C, 3, FALSE) / VLOOKUP(A228, Prices!$A:$B, 2, FALSE)) * 100,
                Inputs!$B$4*100 ))</f>
        <v>65</v>
      </c>
      <c r="H228" s="3">
        <f>IFERROR(SUMIF(Purchases!B:B, A228, Purchases!D:D), 0)</f>
        <v>0</v>
      </c>
      <c r="I228" s="3">
        <f t="shared" si="1"/>
        <v>0</v>
      </c>
      <c r="J228" s="3">
        <f t="shared" si="2"/>
        <v>0</v>
      </c>
      <c r="K228" s="3">
        <f>IF(J228&gt;0,
        J228 * IF(G228&gt;0, G228/100,
            IFERROR( VLOOKUP(A228, Dividends!$A:$C, 3, FALSE) / VLOOKUP(A228, Prices!$A:$B, 2, FALSE), Inputs!$B$4)
        ) / 12,
        0)</f>
        <v>0</v>
      </c>
      <c r="L228" s="3">
        <f t="shared" si="3"/>
        <v>0</v>
      </c>
    </row>
    <row r="229" ht="15.75" customHeight="1">
      <c r="F229" s="3" t="str">
        <f>IFERROR(VLOOKUP(A229, Prices!A:B, 2, FALSE), )</f>
        <v/>
      </c>
      <c r="G229" s="3">
        <f>IFERROR(VLOOKUP(A229, Dividends!$A:$B, 2, FALSE),
       IFERROR( (VLOOKUP(A229, Dividends!$A:$C, 3, FALSE) / VLOOKUP(A229, Prices!$A:$B, 2, FALSE)) * 100,
                Inputs!$B$4*100 ))</f>
        <v>65</v>
      </c>
      <c r="H229" s="3">
        <f>IFERROR(SUMIF(Purchases!B:B, A229, Purchases!D:D), 0)</f>
        <v>0</v>
      </c>
      <c r="I229" s="3">
        <f t="shared" si="1"/>
        <v>0</v>
      </c>
      <c r="J229" s="3">
        <f t="shared" si="2"/>
        <v>0</v>
      </c>
      <c r="K229" s="3">
        <f>IF(J229&gt;0,
        J229 * IF(G229&gt;0, G229/100,
            IFERROR( VLOOKUP(A229, Dividends!$A:$C, 3, FALSE) / VLOOKUP(A229, Prices!$A:$B, 2, FALSE), Inputs!$B$4)
        ) / 12,
        0)</f>
        <v>0</v>
      </c>
      <c r="L229" s="3">
        <f t="shared" si="3"/>
        <v>0</v>
      </c>
    </row>
    <row r="230" ht="15.75" customHeight="1">
      <c r="F230" s="3" t="str">
        <f>IFERROR(VLOOKUP(A230, Prices!A:B, 2, FALSE), )</f>
        <v/>
      </c>
      <c r="G230" s="3">
        <f>IFERROR(VLOOKUP(A230, Dividends!$A:$B, 2, FALSE),
       IFERROR( (VLOOKUP(A230, Dividends!$A:$C, 3, FALSE) / VLOOKUP(A230, Prices!$A:$B, 2, FALSE)) * 100,
                Inputs!$B$4*100 ))</f>
        <v>65</v>
      </c>
      <c r="H230" s="3">
        <f>IFERROR(SUMIF(Purchases!B:B, A230, Purchases!D:D), 0)</f>
        <v>0</v>
      </c>
      <c r="I230" s="3">
        <f t="shared" si="1"/>
        <v>0</v>
      </c>
      <c r="J230" s="3">
        <f t="shared" si="2"/>
        <v>0</v>
      </c>
      <c r="K230" s="3">
        <f>IF(J230&gt;0,
        J230 * IF(G230&gt;0, G230/100,
            IFERROR( VLOOKUP(A230, Dividends!$A:$C, 3, FALSE) / VLOOKUP(A230, Prices!$A:$B, 2, FALSE), Inputs!$B$4)
        ) / 12,
        0)</f>
        <v>0</v>
      </c>
      <c r="L230" s="3">
        <f t="shared" si="3"/>
        <v>0</v>
      </c>
    </row>
    <row r="231" ht="15.75" customHeight="1">
      <c r="F231" s="3" t="str">
        <f>IFERROR(VLOOKUP(A231, Prices!A:B, 2, FALSE), )</f>
        <v/>
      </c>
      <c r="G231" s="3">
        <f>IFERROR(VLOOKUP(A231, Dividends!$A:$B, 2, FALSE),
       IFERROR( (VLOOKUP(A231, Dividends!$A:$C, 3, FALSE) / VLOOKUP(A231, Prices!$A:$B, 2, FALSE)) * 100,
                Inputs!$B$4*100 ))</f>
        <v>65</v>
      </c>
      <c r="H231" s="3">
        <f>IFERROR(SUMIF(Purchases!B:B, A231, Purchases!D:D), 0)</f>
        <v>0</v>
      </c>
      <c r="I231" s="3">
        <f t="shared" si="1"/>
        <v>0</v>
      </c>
      <c r="J231" s="3">
        <f t="shared" si="2"/>
        <v>0</v>
      </c>
      <c r="K231" s="3">
        <f>IF(J231&gt;0,
        J231 * IF(G231&gt;0, G231/100,
            IFERROR( VLOOKUP(A231, Dividends!$A:$C, 3, FALSE) / VLOOKUP(A231, Prices!$A:$B, 2, FALSE), Inputs!$B$4)
        ) / 12,
        0)</f>
        <v>0</v>
      </c>
      <c r="L231" s="3">
        <f t="shared" si="3"/>
        <v>0</v>
      </c>
    </row>
    <row r="232" ht="15.75" customHeight="1">
      <c r="F232" s="3" t="str">
        <f>IFERROR(VLOOKUP(A232, Prices!A:B, 2, FALSE), )</f>
        <v/>
      </c>
      <c r="G232" s="3">
        <f>IFERROR(VLOOKUP(A232, Dividends!$A:$B, 2, FALSE),
       IFERROR( (VLOOKUP(A232, Dividends!$A:$C, 3, FALSE) / VLOOKUP(A232, Prices!$A:$B, 2, FALSE)) * 100,
                Inputs!$B$4*100 ))</f>
        <v>65</v>
      </c>
      <c r="H232" s="3">
        <f>IFERROR(SUMIF(Purchases!B:B, A232, Purchases!D:D), 0)</f>
        <v>0</v>
      </c>
      <c r="I232" s="3">
        <f t="shared" si="1"/>
        <v>0</v>
      </c>
      <c r="J232" s="3">
        <f t="shared" si="2"/>
        <v>0</v>
      </c>
      <c r="K232" s="3">
        <f>IF(J232&gt;0,
        J232 * IF(G232&gt;0, G232/100,
            IFERROR( VLOOKUP(A232, Dividends!$A:$C, 3, FALSE) / VLOOKUP(A232, Prices!$A:$B, 2, FALSE), Inputs!$B$4)
        ) / 12,
        0)</f>
        <v>0</v>
      </c>
      <c r="L232" s="3">
        <f t="shared" si="3"/>
        <v>0</v>
      </c>
    </row>
    <row r="233" ht="15.75" customHeight="1">
      <c r="F233" s="3" t="str">
        <f>IFERROR(VLOOKUP(A233, Prices!A:B, 2, FALSE), )</f>
        <v/>
      </c>
      <c r="G233" s="3">
        <f>IFERROR(VLOOKUP(A233, Dividends!$A:$B, 2, FALSE),
       IFERROR( (VLOOKUP(A233, Dividends!$A:$C, 3, FALSE) / VLOOKUP(A233, Prices!$A:$B, 2, FALSE)) * 100,
                Inputs!$B$4*100 ))</f>
        <v>65</v>
      </c>
      <c r="H233" s="3">
        <f>IFERROR(SUMIF(Purchases!B:B, A233, Purchases!D:D), 0)</f>
        <v>0</v>
      </c>
      <c r="I233" s="3">
        <f t="shared" si="1"/>
        <v>0</v>
      </c>
      <c r="J233" s="3">
        <f t="shared" si="2"/>
        <v>0</v>
      </c>
      <c r="K233" s="3">
        <f>IF(J233&gt;0,
        J233 * IF(G233&gt;0, G233/100,
            IFERROR( VLOOKUP(A233, Dividends!$A:$C, 3, FALSE) / VLOOKUP(A233, Prices!$A:$B, 2, FALSE), Inputs!$B$4)
        ) / 12,
        0)</f>
        <v>0</v>
      </c>
      <c r="L233" s="3">
        <f t="shared" si="3"/>
        <v>0</v>
      </c>
    </row>
    <row r="234" ht="15.75" customHeight="1">
      <c r="F234" s="3" t="str">
        <f>IFERROR(VLOOKUP(A234, Prices!A:B, 2, FALSE), )</f>
        <v/>
      </c>
      <c r="G234" s="3">
        <f>IFERROR(VLOOKUP(A234, Dividends!$A:$B, 2, FALSE),
       IFERROR( (VLOOKUP(A234, Dividends!$A:$C, 3, FALSE) / VLOOKUP(A234, Prices!$A:$B, 2, FALSE)) * 100,
                Inputs!$B$4*100 ))</f>
        <v>65</v>
      </c>
      <c r="H234" s="3">
        <f>IFERROR(SUMIF(Purchases!B:B, A234, Purchases!D:D), 0)</f>
        <v>0</v>
      </c>
      <c r="I234" s="3">
        <f t="shared" si="1"/>
        <v>0</v>
      </c>
      <c r="J234" s="3">
        <f t="shared" si="2"/>
        <v>0</v>
      </c>
      <c r="K234" s="3">
        <f>IF(J234&gt;0,
        J234 * IF(G234&gt;0, G234/100,
            IFERROR( VLOOKUP(A234, Dividends!$A:$C, 3, FALSE) / VLOOKUP(A234, Prices!$A:$B, 2, FALSE), Inputs!$B$4)
        ) / 12,
        0)</f>
        <v>0</v>
      </c>
      <c r="L234" s="3">
        <f t="shared" si="3"/>
        <v>0</v>
      </c>
    </row>
    <row r="235" ht="15.75" customHeight="1">
      <c r="F235" s="3" t="str">
        <f>IFERROR(VLOOKUP(A235, Prices!A:B, 2, FALSE), )</f>
        <v/>
      </c>
      <c r="G235" s="3">
        <f>IFERROR(VLOOKUP(A235, Dividends!$A:$B, 2, FALSE),
       IFERROR( (VLOOKUP(A235, Dividends!$A:$C, 3, FALSE) / VLOOKUP(A235, Prices!$A:$B, 2, FALSE)) * 100,
                Inputs!$B$4*100 ))</f>
        <v>65</v>
      </c>
      <c r="H235" s="3">
        <f>IFERROR(SUMIF(Purchases!B:B, A235, Purchases!D:D), 0)</f>
        <v>0</v>
      </c>
      <c r="I235" s="3">
        <f t="shared" si="1"/>
        <v>0</v>
      </c>
      <c r="J235" s="3">
        <f t="shared" si="2"/>
        <v>0</v>
      </c>
      <c r="K235" s="3">
        <f>IF(J235&gt;0,
        J235 * IF(G235&gt;0, G235/100,
            IFERROR( VLOOKUP(A235, Dividends!$A:$C, 3, FALSE) / VLOOKUP(A235, Prices!$A:$B, 2, FALSE), Inputs!$B$4)
        ) / 12,
        0)</f>
        <v>0</v>
      </c>
      <c r="L235" s="3">
        <f t="shared" si="3"/>
        <v>0</v>
      </c>
    </row>
    <row r="236" ht="15.75" customHeight="1">
      <c r="F236" s="3" t="str">
        <f>IFERROR(VLOOKUP(A236, Prices!A:B, 2, FALSE), )</f>
        <v/>
      </c>
      <c r="G236" s="3">
        <f>IFERROR(VLOOKUP(A236, Dividends!$A:$B, 2, FALSE),
       IFERROR( (VLOOKUP(A236, Dividends!$A:$C, 3, FALSE) / VLOOKUP(A236, Prices!$A:$B, 2, FALSE)) * 100,
                Inputs!$B$4*100 ))</f>
        <v>65</v>
      </c>
      <c r="H236" s="3">
        <f>IFERROR(SUMIF(Purchases!B:B, A236, Purchases!D:D), 0)</f>
        <v>0</v>
      </c>
      <c r="I236" s="3">
        <f t="shared" si="1"/>
        <v>0</v>
      </c>
      <c r="J236" s="3">
        <f t="shared" si="2"/>
        <v>0</v>
      </c>
      <c r="K236" s="3">
        <f>IF(J236&gt;0,
        J236 * IF(G236&gt;0, G236/100,
            IFERROR( VLOOKUP(A236, Dividends!$A:$C, 3, FALSE) / VLOOKUP(A236, Prices!$A:$B, 2, FALSE), Inputs!$B$4)
        ) / 12,
        0)</f>
        <v>0</v>
      </c>
      <c r="L236" s="3">
        <f t="shared" si="3"/>
        <v>0</v>
      </c>
    </row>
    <row r="237" ht="15.75" customHeight="1">
      <c r="F237" s="3" t="str">
        <f>IFERROR(VLOOKUP(A237, Prices!A:B, 2, FALSE), )</f>
        <v/>
      </c>
      <c r="G237" s="3">
        <f>IFERROR(VLOOKUP(A237, Dividends!$A:$B, 2, FALSE),
       IFERROR( (VLOOKUP(A237, Dividends!$A:$C, 3, FALSE) / VLOOKUP(A237, Prices!$A:$B, 2, FALSE)) * 100,
                Inputs!$B$4*100 ))</f>
        <v>65</v>
      </c>
      <c r="H237" s="3">
        <f>IFERROR(SUMIF(Purchases!B:B, A237, Purchases!D:D), 0)</f>
        <v>0</v>
      </c>
      <c r="I237" s="3">
        <f t="shared" si="1"/>
        <v>0</v>
      </c>
      <c r="J237" s="3">
        <f t="shared" si="2"/>
        <v>0</v>
      </c>
      <c r="K237" s="3">
        <f>IF(J237&gt;0,
        J237 * IF(G237&gt;0, G237/100,
            IFERROR( VLOOKUP(A237, Dividends!$A:$C, 3, FALSE) / VLOOKUP(A237, Prices!$A:$B, 2, FALSE), Inputs!$B$4)
        ) / 12,
        0)</f>
        <v>0</v>
      </c>
      <c r="L237" s="3">
        <f t="shared" si="3"/>
        <v>0</v>
      </c>
    </row>
    <row r="238" ht="15.75" customHeight="1">
      <c r="F238" s="3" t="str">
        <f>IFERROR(VLOOKUP(A238, Prices!A:B, 2, FALSE), )</f>
        <v/>
      </c>
      <c r="G238" s="3">
        <f>IFERROR(VLOOKUP(A238, Dividends!$A:$B, 2, FALSE),
       IFERROR( (VLOOKUP(A238, Dividends!$A:$C, 3, FALSE) / VLOOKUP(A238, Prices!$A:$B, 2, FALSE)) * 100,
                Inputs!$B$4*100 ))</f>
        <v>65</v>
      </c>
      <c r="H238" s="3">
        <f>IFERROR(SUMIF(Purchases!B:B, A238, Purchases!D:D), 0)</f>
        <v>0</v>
      </c>
      <c r="I238" s="3">
        <f t="shared" si="1"/>
        <v>0</v>
      </c>
      <c r="J238" s="3">
        <f t="shared" si="2"/>
        <v>0</v>
      </c>
      <c r="K238" s="3">
        <f>IF(J238&gt;0,
        J238 * IF(G238&gt;0, G238/100,
            IFERROR( VLOOKUP(A238, Dividends!$A:$C, 3, FALSE) / VLOOKUP(A238, Prices!$A:$B, 2, FALSE), Inputs!$B$4)
        ) / 12,
        0)</f>
        <v>0</v>
      </c>
      <c r="L238" s="3">
        <f t="shared" si="3"/>
        <v>0</v>
      </c>
    </row>
    <row r="239" ht="15.75" customHeight="1">
      <c r="F239" s="3" t="str">
        <f>IFERROR(VLOOKUP(A239, Prices!A:B, 2, FALSE), )</f>
        <v/>
      </c>
      <c r="G239" s="3">
        <f>IFERROR(VLOOKUP(A239, Dividends!$A:$B, 2, FALSE),
       IFERROR( (VLOOKUP(A239, Dividends!$A:$C, 3, FALSE) / VLOOKUP(A239, Prices!$A:$B, 2, FALSE)) * 100,
                Inputs!$B$4*100 ))</f>
        <v>65</v>
      </c>
      <c r="H239" s="3">
        <f>IFERROR(SUMIF(Purchases!B:B, A239, Purchases!D:D), 0)</f>
        <v>0</v>
      </c>
      <c r="I239" s="3">
        <f t="shared" si="1"/>
        <v>0</v>
      </c>
      <c r="J239" s="3">
        <f t="shared" si="2"/>
        <v>0</v>
      </c>
      <c r="K239" s="3">
        <f>IF(J239&gt;0,
        J239 * IF(G239&gt;0, G239/100,
            IFERROR( VLOOKUP(A239, Dividends!$A:$C, 3, FALSE) / VLOOKUP(A239, Prices!$A:$B, 2, FALSE), Inputs!$B$4)
        ) / 12,
        0)</f>
        <v>0</v>
      </c>
      <c r="L239" s="3">
        <f t="shared" si="3"/>
        <v>0</v>
      </c>
    </row>
    <row r="240" ht="15.75" customHeight="1">
      <c r="F240" s="3" t="str">
        <f>IFERROR(VLOOKUP(A240, Prices!A:B, 2, FALSE), )</f>
        <v/>
      </c>
      <c r="G240" s="3">
        <f>IFERROR(VLOOKUP(A240, Dividends!$A:$B, 2, FALSE),
       IFERROR( (VLOOKUP(A240, Dividends!$A:$C, 3, FALSE) / VLOOKUP(A240, Prices!$A:$B, 2, FALSE)) * 100,
                Inputs!$B$4*100 ))</f>
        <v>65</v>
      </c>
      <c r="H240" s="3">
        <f>IFERROR(SUMIF(Purchases!B:B, A240, Purchases!D:D), 0)</f>
        <v>0</v>
      </c>
      <c r="I240" s="3">
        <f t="shared" si="1"/>
        <v>0</v>
      </c>
      <c r="J240" s="3">
        <f t="shared" si="2"/>
        <v>0</v>
      </c>
      <c r="K240" s="3">
        <f>IF(J240&gt;0,
        J240 * IF(G240&gt;0, G240/100,
            IFERROR( VLOOKUP(A240, Dividends!$A:$C, 3, FALSE) / VLOOKUP(A240, Prices!$A:$B, 2, FALSE), Inputs!$B$4)
        ) / 12,
        0)</f>
        <v>0</v>
      </c>
      <c r="L240" s="3">
        <f t="shared" si="3"/>
        <v>0</v>
      </c>
    </row>
    <row r="241" ht="15.75" customHeight="1">
      <c r="F241" s="3" t="str">
        <f>IFERROR(VLOOKUP(A241, Prices!A:B, 2, FALSE), )</f>
        <v/>
      </c>
      <c r="G241" s="3">
        <f>IFERROR(VLOOKUP(A241, Dividends!$A:$B, 2, FALSE),
       IFERROR( (VLOOKUP(A241, Dividends!$A:$C, 3, FALSE) / VLOOKUP(A241, Prices!$A:$B, 2, FALSE)) * 100,
                Inputs!$B$4*100 ))</f>
        <v>65</v>
      </c>
      <c r="H241" s="3">
        <f>IFERROR(SUMIF(Purchases!B:B, A241, Purchases!D:D), 0)</f>
        <v>0</v>
      </c>
      <c r="I241" s="3">
        <f t="shared" si="1"/>
        <v>0</v>
      </c>
      <c r="J241" s="3">
        <f t="shared" si="2"/>
        <v>0</v>
      </c>
      <c r="K241" s="3">
        <f>IF(J241&gt;0,
        J241 * IF(G241&gt;0, G241/100,
            IFERROR( VLOOKUP(A241, Dividends!$A:$C, 3, FALSE) / VLOOKUP(A241, Prices!$A:$B, 2, FALSE), Inputs!$B$4)
        ) / 12,
        0)</f>
        <v>0</v>
      </c>
      <c r="L241" s="3">
        <f t="shared" si="3"/>
        <v>0</v>
      </c>
    </row>
    <row r="242" ht="15.75" customHeight="1">
      <c r="F242" s="3" t="str">
        <f>IFERROR(VLOOKUP(A242, Prices!A:B, 2, FALSE), )</f>
        <v/>
      </c>
      <c r="G242" s="3">
        <f>IFERROR(VLOOKUP(A242, Dividends!$A:$B, 2, FALSE),
       IFERROR( (VLOOKUP(A242, Dividends!$A:$C, 3, FALSE) / VLOOKUP(A242, Prices!$A:$B, 2, FALSE)) * 100,
                Inputs!$B$4*100 ))</f>
        <v>65</v>
      </c>
      <c r="H242" s="3">
        <f>IFERROR(SUMIF(Purchases!B:B, A242, Purchases!D:D), 0)</f>
        <v>0</v>
      </c>
      <c r="I242" s="3">
        <f t="shared" si="1"/>
        <v>0</v>
      </c>
      <c r="J242" s="3">
        <f t="shared" si="2"/>
        <v>0</v>
      </c>
      <c r="K242" s="3">
        <f>IF(J242&gt;0,
        J242 * IF(G242&gt;0, G242/100,
            IFERROR( VLOOKUP(A242, Dividends!$A:$C, 3, FALSE) / VLOOKUP(A242, Prices!$A:$B, 2, FALSE), Inputs!$B$4)
        ) / 12,
        0)</f>
        <v>0</v>
      </c>
      <c r="L242" s="3">
        <f t="shared" si="3"/>
        <v>0</v>
      </c>
    </row>
    <row r="243" ht="15.75" customHeight="1">
      <c r="F243" s="3" t="str">
        <f>IFERROR(VLOOKUP(A243, Prices!A:B, 2, FALSE), )</f>
        <v/>
      </c>
      <c r="G243" s="3">
        <f>IFERROR(VLOOKUP(A243, Dividends!$A:$B, 2, FALSE),
       IFERROR( (VLOOKUP(A243, Dividends!$A:$C, 3, FALSE) / VLOOKUP(A243, Prices!$A:$B, 2, FALSE)) * 100,
                Inputs!$B$4*100 ))</f>
        <v>65</v>
      </c>
      <c r="H243" s="3">
        <f>IFERROR(SUMIF(Purchases!B:B, A243, Purchases!D:D), 0)</f>
        <v>0</v>
      </c>
      <c r="I243" s="3">
        <f t="shared" si="1"/>
        <v>0</v>
      </c>
      <c r="J243" s="3">
        <f t="shared" si="2"/>
        <v>0</v>
      </c>
      <c r="K243" s="3">
        <f>IF(J243&gt;0,
        J243 * IF(G243&gt;0, G243/100,
            IFERROR( VLOOKUP(A243, Dividends!$A:$C, 3, FALSE) / VLOOKUP(A243, Prices!$A:$B, 2, FALSE), Inputs!$B$4)
        ) / 12,
        0)</f>
        <v>0</v>
      </c>
      <c r="L243" s="3">
        <f t="shared" si="3"/>
        <v>0</v>
      </c>
    </row>
    <row r="244" ht="15.75" customHeight="1">
      <c r="F244" s="3" t="str">
        <f>IFERROR(VLOOKUP(A244, Prices!A:B, 2, FALSE), )</f>
        <v/>
      </c>
      <c r="G244" s="3">
        <f>IFERROR(VLOOKUP(A244, Dividends!$A:$B, 2, FALSE),
       IFERROR( (VLOOKUP(A244, Dividends!$A:$C, 3, FALSE) / VLOOKUP(A244, Prices!$A:$B, 2, FALSE)) * 100,
                Inputs!$B$4*100 ))</f>
        <v>65</v>
      </c>
      <c r="H244" s="3">
        <f>IFERROR(SUMIF(Purchases!B:B, A244, Purchases!D:D), 0)</f>
        <v>0</v>
      </c>
      <c r="I244" s="3">
        <f t="shared" si="1"/>
        <v>0</v>
      </c>
      <c r="J244" s="3">
        <f t="shared" si="2"/>
        <v>0</v>
      </c>
      <c r="K244" s="3">
        <f>IF(J244&gt;0,
        J244 * IF(G244&gt;0, G244/100,
            IFERROR( VLOOKUP(A244, Dividends!$A:$C, 3, FALSE) / VLOOKUP(A244, Prices!$A:$B, 2, FALSE), Inputs!$B$4)
        ) / 12,
        0)</f>
        <v>0</v>
      </c>
      <c r="L244" s="3">
        <f t="shared" si="3"/>
        <v>0</v>
      </c>
    </row>
    <row r="245" ht="15.75" customHeight="1">
      <c r="F245" s="3" t="str">
        <f>IFERROR(VLOOKUP(A245, Prices!A:B, 2, FALSE), )</f>
        <v/>
      </c>
      <c r="G245" s="3">
        <f>IFERROR(VLOOKUP(A245, Dividends!$A:$B, 2, FALSE),
       IFERROR( (VLOOKUP(A245, Dividends!$A:$C, 3, FALSE) / VLOOKUP(A245, Prices!$A:$B, 2, FALSE)) * 100,
                Inputs!$B$4*100 ))</f>
        <v>65</v>
      </c>
      <c r="H245" s="3">
        <f>IFERROR(SUMIF(Purchases!B:B, A245, Purchases!D:D), 0)</f>
        <v>0</v>
      </c>
      <c r="I245" s="3">
        <f t="shared" si="1"/>
        <v>0</v>
      </c>
      <c r="J245" s="3">
        <f t="shared" si="2"/>
        <v>0</v>
      </c>
      <c r="K245" s="3">
        <f>IF(J245&gt;0,
        J245 * IF(G245&gt;0, G245/100,
            IFERROR( VLOOKUP(A245, Dividends!$A:$C, 3, FALSE) / VLOOKUP(A245, Prices!$A:$B, 2, FALSE), Inputs!$B$4)
        ) / 12,
        0)</f>
        <v>0</v>
      </c>
      <c r="L245" s="3">
        <f t="shared" si="3"/>
        <v>0</v>
      </c>
    </row>
    <row r="246" ht="15.75" customHeight="1">
      <c r="F246" s="3" t="str">
        <f>IFERROR(VLOOKUP(A246, Prices!A:B, 2, FALSE), )</f>
        <v/>
      </c>
      <c r="G246" s="3">
        <f>IFERROR(VLOOKUP(A246, Dividends!$A:$B, 2, FALSE),
       IFERROR( (VLOOKUP(A246, Dividends!$A:$C, 3, FALSE) / VLOOKUP(A246, Prices!$A:$B, 2, FALSE)) * 100,
                Inputs!$B$4*100 ))</f>
        <v>65</v>
      </c>
      <c r="H246" s="3">
        <f>IFERROR(SUMIF(Purchases!B:B, A246, Purchases!D:D), 0)</f>
        <v>0</v>
      </c>
      <c r="I246" s="3">
        <f t="shared" si="1"/>
        <v>0</v>
      </c>
      <c r="J246" s="3">
        <f t="shared" si="2"/>
        <v>0</v>
      </c>
      <c r="K246" s="3">
        <f>IF(J246&gt;0,
        J246 * IF(G246&gt;0, G246/100,
            IFERROR( VLOOKUP(A246, Dividends!$A:$C, 3, FALSE) / VLOOKUP(A246, Prices!$A:$B, 2, FALSE), Inputs!$B$4)
        ) / 12,
        0)</f>
        <v>0</v>
      </c>
      <c r="L246" s="3">
        <f t="shared" si="3"/>
        <v>0</v>
      </c>
    </row>
    <row r="247" ht="15.75" customHeight="1">
      <c r="F247" s="3" t="str">
        <f>IFERROR(VLOOKUP(A247, Prices!A:B, 2, FALSE), )</f>
        <v/>
      </c>
      <c r="G247" s="3">
        <f>IFERROR(VLOOKUP(A247, Dividends!$A:$B, 2, FALSE),
       IFERROR( (VLOOKUP(A247, Dividends!$A:$C, 3, FALSE) / VLOOKUP(A247, Prices!$A:$B, 2, FALSE)) * 100,
                Inputs!$B$4*100 ))</f>
        <v>65</v>
      </c>
      <c r="H247" s="3">
        <f>IFERROR(SUMIF(Purchases!B:B, A247, Purchases!D:D), 0)</f>
        <v>0</v>
      </c>
      <c r="I247" s="3">
        <f t="shared" si="1"/>
        <v>0</v>
      </c>
      <c r="J247" s="3">
        <f t="shared" si="2"/>
        <v>0</v>
      </c>
      <c r="K247" s="3">
        <f>IF(J247&gt;0,
        J247 * IF(G247&gt;0, G247/100,
            IFERROR( VLOOKUP(A247, Dividends!$A:$C, 3, FALSE) / VLOOKUP(A247, Prices!$A:$B, 2, FALSE), Inputs!$B$4)
        ) / 12,
        0)</f>
        <v>0</v>
      </c>
      <c r="L247" s="3">
        <f t="shared" si="3"/>
        <v>0</v>
      </c>
    </row>
    <row r="248" ht="15.75" customHeight="1">
      <c r="F248" s="3" t="str">
        <f>IFERROR(VLOOKUP(A248, Prices!A:B, 2, FALSE), )</f>
        <v/>
      </c>
      <c r="G248" s="3">
        <f>IFERROR(VLOOKUP(A248, Dividends!$A:$B, 2, FALSE),
       IFERROR( (VLOOKUP(A248, Dividends!$A:$C, 3, FALSE) / VLOOKUP(A248, Prices!$A:$B, 2, FALSE)) * 100,
                Inputs!$B$4*100 ))</f>
        <v>65</v>
      </c>
      <c r="H248" s="3">
        <f>IFERROR(SUMIF(Purchases!B:B, A248, Purchases!D:D), 0)</f>
        <v>0</v>
      </c>
      <c r="I248" s="3">
        <f t="shared" si="1"/>
        <v>0</v>
      </c>
      <c r="J248" s="3">
        <f t="shared" si="2"/>
        <v>0</v>
      </c>
      <c r="K248" s="3">
        <f>IF(J248&gt;0,
        J248 * IF(G248&gt;0, G248/100,
            IFERROR( VLOOKUP(A248, Dividends!$A:$C, 3, FALSE) / VLOOKUP(A248, Prices!$A:$B, 2, FALSE), Inputs!$B$4)
        ) / 12,
        0)</f>
        <v>0</v>
      </c>
      <c r="L248" s="3">
        <f t="shared" si="3"/>
        <v>0</v>
      </c>
    </row>
    <row r="249" ht="15.75" customHeight="1">
      <c r="F249" s="3" t="str">
        <f>IFERROR(VLOOKUP(A249, Prices!A:B, 2, FALSE), )</f>
        <v/>
      </c>
      <c r="G249" s="3">
        <f>IFERROR(VLOOKUP(A249, Dividends!$A:$B, 2, FALSE),
       IFERROR( (VLOOKUP(A249, Dividends!$A:$C, 3, FALSE) / VLOOKUP(A249, Prices!$A:$B, 2, FALSE)) * 100,
                Inputs!$B$4*100 ))</f>
        <v>65</v>
      </c>
      <c r="H249" s="3">
        <f>IFERROR(SUMIF(Purchases!B:B, A249, Purchases!D:D), 0)</f>
        <v>0</v>
      </c>
      <c r="I249" s="3">
        <f t="shared" si="1"/>
        <v>0</v>
      </c>
      <c r="J249" s="3">
        <f t="shared" si="2"/>
        <v>0</v>
      </c>
      <c r="K249" s="3">
        <f>IF(J249&gt;0,
        J249 * IF(G249&gt;0, G249/100,
            IFERROR( VLOOKUP(A249, Dividends!$A:$C, 3, FALSE) / VLOOKUP(A249, Prices!$A:$B, 2, FALSE), Inputs!$B$4)
        ) / 12,
        0)</f>
        <v>0</v>
      </c>
      <c r="L249" s="3">
        <f t="shared" si="3"/>
        <v>0</v>
      </c>
    </row>
    <row r="250" ht="15.75" customHeight="1">
      <c r="F250" s="3" t="str">
        <f>IFERROR(VLOOKUP(A250, Prices!A:B, 2, FALSE), )</f>
        <v/>
      </c>
      <c r="G250" s="3">
        <f>IFERROR(VLOOKUP(A250, Dividends!$A:$B, 2, FALSE),
       IFERROR( (VLOOKUP(A250, Dividends!$A:$C, 3, FALSE) / VLOOKUP(A250, Prices!$A:$B, 2, FALSE)) * 100,
                Inputs!$B$4*100 ))</f>
        <v>65</v>
      </c>
      <c r="H250" s="3">
        <f>IFERROR(SUMIF(Purchases!B:B, A250, Purchases!D:D), 0)</f>
        <v>0</v>
      </c>
      <c r="I250" s="3">
        <f t="shared" si="1"/>
        <v>0</v>
      </c>
      <c r="J250" s="3">
        <f t="shared" si="2"/>
        <v>0</v>
      </c>
      <c r="K250" s="3">
        <f>IF(J250&gt;0,
        J250 * IF(G250&gt;0, G250/100,
            IFERROR( VLOOKUP(A250, Dividends!$A:$C, 3, FALSE) / VLOOKUP(A250, Prices!$A:$B, 2, FALSE), Inputs!$B$4)
        ) / 12,
        0)</f>
        <v>0</v>
      </c>
      <c r="L250" s="3">
        <f t="shared" si="3"/>
        <v>0</v>
      </c>
    </row>
    <row r="251" ht="15.75" customHeight="1">
      <c r="F251" s="3" t="str">
        <f>IFERROR(VLOOKUP(A251, Prices!A:B, 2, FALSE), )</f>
        <v/>
      </c>
      <c r="G251" s="3">
        <f>IFERROR(VLOOKUP(A251, Dividends!$A:$B, 2, FALSE),
       IFERROR( (VLOOKUP(A251, Dividends!$A:$C, 3, FALSE) / VLOOKUP(A251, Prices!$A:$B, 2, FALSE)) * 100,
                Inputs!$B$4*100 ))</f>
        <v>65</v>
      </c>
      <c r="H251" s="3">
        <f>IFERROR(SUMIF(Purchases!B:B, A251, Purchases!D:D), 0)</f>
        <v>0</v>
      </c>
      <c r="I251" s="3">
        <f t="shared" si="1"/>
        <v>0</v>
      </c>
      <c r="J251" s="3">
        <f t="shared" si="2"/>
        <v>0</v>
      </c>
      <c r="K251" s="3">
        <f>IF(J251&gt;0,
        J251 * IF(G251&gt;0, G251/100,
            IFERROR( VLOOKUP(A251, Dividends!$A:$C, 3, FALSE) / VLOOKUP(A251, Prices!$A:$B, 2, FALSE), Inputs!$B$4)
        ) / 12,
        0)</f>
        <v>0</v>
      </c>
      <c r="L251" s="3">
        <f t="shared" si="3"/>
        <v>0</v>
      </c>
    </row>
    <row r="252" ht="15.75" customHeight="1">
      <c r="F252" s="3" t="str">
        <f>IFERROR(VLOOKUP(A252, Prices!A:B, 2, FALSE), )</f>
        <v/>
      </c>
      <c r="G252" s="3">
        <f>IFERROR(VLOOKUP(A252, Dividends!$A:$B, 2, FALSE),
       IFERROR( (VLOOKUP(A252, Dividends!$A:$C, 3, FALSE) / VLOOKUP(A252, Prices!$A:$B, 2, FALSE)) * 100,
                Inputs!$B$4*100 ))</f>
        <v>65</v>
      </c>
      <c r="H252" s="3">
        <f>IFERROR(SUMIF(Purchases!B:B, A252, Purchases!D:D), 0)</f>
        <v>0</v>
      </c>
      <c r="I252" s="3">
        <f t="shared" si="1"/>
        <v>0</v>
      </c>
      <c r="J252" s="3">
        <f t="shared" si="2"/>
        <v>0</v>
      </c>
      <c r="K252" s="3">
        <f>IF(J252&gt;0,
        J252 * IF(G252&gt;0, G252/100,
            IFERROR( VLOOKUP(A252, Dividends!$A:$C, 3, FALSE) / VLOOKUP(A252, Prices!$A:$B, 2, FALSE), Inputs!$B$4)
        ) / 12,
        0)</f>
        <v>0</v>
      </c>
      <c r="L252" s="3">
        <f t="shared" si="3"/>
        <v>0</v>
      </c>
    </row>
    <row r="253" ht="15.75" customHeight="1">
      <c r="F253" s="3" t="str">
        <f>IFERROR(VLOOKUP(A253, Prices!A:B, 2, FALSE), )</f>
        <v/>
      </c>
      <c r="G253" s="3">
        <f>IFERROR(VLOOKUP(A253, Dividends!$A:$B, 2, FALSE),
       IFERROR( (VLOOKUP(A253, Dividends!$A:$C, 3, FALSE) / VLOOKUP(A253, Prices!$A:$B, 2, FALSE)) * 100,
                Inputs!$B$4*100 ))</f>
        <v>65</v>
      </c>
      <c r="H253" s="3">
        <f>IFERROR(SUMIF(Purchases!B:B, A253, Purchases!D:D), 0)</f>
        <v>0</v>
      </c>
      <c r="I253" s="3">
        <f t="shared" si="1"/>
        <v>0</v>
      </c>
      <c r="J253" s="3">
        <f t="shared" si="2"/>
        <v>0</v>
      </c>
      <c r="K253" s="3">
        <f>IF(J253&gt;0,
        J253 * IF(G253&gt;0, G253/100,
            IFERROR( VLOOKUP(A253, Dividends!$A:$C, 3, FALSE) / VLOOKUP(A253, Prices!$A:$B, 2, FALSE), Inputs!$B$4)
        ) / 12,
        0)</f>
        <v>0</v>
      </c>
      <c r="L253" s="3">
        <f t="shared" si="3"/>
        <v>0</v>
      </c>
    </row>
    <row r="254" ht="15.75" customHeight="1">
      <c r="F254" s="3" t="str">
        <f>IFERROR(VLOOKUP(A254, Prices!A:B, 2, FALSE), )</f>
        <v/>
      </c>
      <c r="G254" s="3">
        <f>IFERROR(VLOOKUP(A254, Dividends!$A:$B, 2, FALSE),
       IFERROR( (VLOOKUP(A254, Dividends!$A:$C, 3, FALSE) / VLOOKUP(A254, Prices!$A:$B, 2, FALSE)) * 100,
                Inputs!$B$4*100 ))</f>
        <v>65</v>
      </c>
      <c r="H254" s="3">
        <f>IFERROR(SUMIF(Purchases!B:B, A254, Purchases!D:D), 0)</f>
        <v>0</v>
      </c>
      <c r="I254" s="3">
        <f t="shared" si="1"/>
        <v>0</v>
      </c>
      <c r="J254" s="3">
        <f t="shared" si="2"/>
        <v>0</v>
      </c>
      <c r="K254" s="3">
        <f>IF(J254&gt;0,
        J254 * IF(G254&gt;0, G254/100,
            IFERROR( VLOOKUP(A254, Dividends!$A:$C, 3, FALSE) / VLOOKUP(A254, Prices!$A:$B, 2, FALSE), Inputs!$B$4)
        ) / 12,
        0)</f>
        <v>0</v>
      </c>
      <c r="L254" s="3">
        <f t="shared" si="3"/>
        <v>0</v>
      </c>
    </row>
    <row r="255" ht="15.75" customHeight="1">
      <c r="F255" s="3" t="str">
        <f>IFERROR(VLOOKUP(A255, Prices!A:B, 2, FALSE), )</f>
        <v/>
      </c>
      <c r="G255" s="3">
        <f>IFERROR(VLOOKUP(A255, Dividends!$A:$B, 2, FALSE),
       IFERROR( (VLOOKUP(A255, Dividends!$A:$C, 3, FALSE) / VLOOKUP(A255, Prices!$A:$B, 2, FALSE)) * 100,
                Inputs!$B$4*100 ))</f>
        <v>65</v>
      </c>
      <c r="H255" s="3">
        <f>IFERROR(SUMIF(Purchases!B:B, A255, Purchases!D:D), 0)</f>
        <v>0</v>
      </c>
      <c r="I255" s="3">
        <f t="shared" si="1"/>
        <v>0</v>
      </c>
      <c r="J255" s="3">
        <f t="shared" si="2"/>
        <v>0</v>
      </c>
      <c r="K255" s="3">
        <f>IF(J255&gt;0,
        J255 * IF(G255&gt;0, G255/100,
            IFERROR( VLOOKUP(A255, Dividends!$A:$C, 3, FALSE) / VLOOKUP(A255, Prices!$A:$B, 2, FALSE), Inputs!$B$4)
        ) / 12,
        0)</f>
        <v>0</v>
      </c>
      <c r="L255" s="3">
        <f t="shared" si="3"/>
        <v>0</v>
      </c>
    </row>
    <row r="256" ht="15.75" customHeight="1">
      <c r="F256" s="3" t="str">
        <f>IFERROR(VLOOKUP(A256, Prices!A:B, 2, FALSE), )</f>
        <v/>
      </c>
      <c r="G256" s="3">
        <f>IFERROR(VLOOKUP(A256, Dividends!$A:$B, 2, FALSE),
       IFERROR( (VLOOKUP(A256, Dividends!$A:$C, 3, FALSE) / VLOOKUP(A256, Prices!$A:$B, 2, FALSE)) * 100,
                Inputs!$B$4*100 ))</f>
        <v>65</v>
      </c>
      <c r="H256" s="3">
        <f>IFERROR(SUMIF(Purchases!B:B, A256, Purchases!D:D), 0)</f>
        <v>0</v>
      </c>
      <c r="I256" s="3">
        <f t="shared" si="1"/>
        <v>0</v>
      </c>
      <c r="J256" s="3">
        <f t="shared" si="2"/>
        <v>0</v>
      </c>
      <c r="K256" s="3">
        <f>IF(J256&gt;0,
        J256 * IF(G256&gt;0, G256/100,
            IFERROR( VLOOKUP(A256, Dividends!$A:$C, 3, FALSE) / VLOOKUP(A256, Prices!$A:$B, 2, FALSE), Inputs!$B$4)
        ) / 12,
        0)</f>
        <v>0</v>
      </c>
      <c r="L256" s="3">
        <f t="shared" si="3"/>
        <v>0</v>
      </c>
    </row>
    <row r="257" ht="15.75" customHeight="1">
      <c r="F257" s="3" t="str">
        <f>IFERROR(VLOOKUP(A257, Prices!A:B, 2, FALSE), )</f>
        <v/>
      </c>
      <c r="G257" s="3">
        <f>IFERROR(VLOOKUP(A257, Dividends!$A:$B, 2, FALSE),
       IFERROR( (VLOOKUP(A257, Dividends!$A:$C, 3, FALSE) / VLOOKUP(A257, Prices!$A:$B, 2, FALSE)) * 100,
                Inputs!$B$4*100 ))</f>
        <v>65</v>
      </c>
      <c r="H257" s="3">
        <f>IFERROR(SUMIF(Purchases!B:B, A257, Purchases!D:D), 0)</f>
        <v>0</v>
      </c>
      <c r="I257" s="3">
        <f t="shared" si="1"/>
        <v>0</v>
      </c>
      <c r="J257" s="3">
        <f t="shared" si="2"/>
        <v>0</v>
      </c>
      <c r="K257" s="3">
        <f>IF(J257&gt;0,
        J257 * IF(G257&gt;0, G257/100,
            IFERROR( VLOOKUP(A257, Dividends!$A:$C, 3, FALSE) / VLOOKUP(A257, Prices!$A:$B, 2, FALSE), Inputs!$B$4)
        ) / 12,
        0)</f>
        <v>0</v>
      </c>
      <c r="L257" s="3">
        <f t="shared" si="3"/>
        <v>0</v>
      </c>
    </row>
    <row r="258" ht="15.75" customHeight="1">
      <c r="F258" s="3" t="str">
        <f>IFERROR(VLOOKUP(A258, Prices!A:B, 2, FALSE), )</f>
        <v/>
      </c>
      <c r="G258" s="3">
        <f>IFERROR(VLOOKUP(A258, Dividends!$A:$B, 2, FALSE),
       IFERROR( (VLOOKUP(A258, Dividends!$A:$C, 3, FALSE) / VLOOKUP(A258, Prices!$A:$B, 2, FALSE)) * 100,
                Inputs!$B$4*100 ))</f>
        <v>65</v>
      </c>
      <c r="H258" s="3">
        <f>IFERROR(SUMIF(Purchases!B:B, A258, Purchases!D:D), 0)</f>
        <v>0</v>
      </c>
      <c r="I258" s="3">
        <f t="shared" si="1"/>
        <v>0</v>
      </c>
      <c r="J258" s="3">
        <f t="shared" si="2"/>
        <v>0</v>
      </c>
      <c r="K258" s="3">
        <f>IF(J258&gt;0,
        J258 * IF(G258&gt;0, G258/100,
            IFERROR( VLOOKUP(A258, Dividends!$A:$C, 3, FALSE) / VLOOKUP(A258, Prices!$A:$B, 2, FALSE), Inputs!$B$4)
        ) / 12,
        0)</f>
        <v>0</v>
      </c>
      <c r="L258" s="3">
        <f t="shared" si="3"/>
        <v>0</v>
      </c>
    </row>
    <row r="259" ht="15.75" customHeight="1">
      <c r="F259" s="3" t="str">
        <f>IFERROR(VLOOKUP(A259, Prices!A:B, 2, FALSE), )</f>
        <v/>
      </c>
      <c r="G259" s="3">
        <f>IFERROR(VLOOKUP(A259, Dividends!$A:$B, 2, FALSE),
       IFERROR( (VLOOKUP(A259, Dividends!$A:$C, 3, FALSE) / VLOOKUP(A259, Prices!$A:$B, 2, FALSE)) * 100,
                Inputs!$B$4*100 ))</f>
        <v>65</v>
      </c>
      <c r="H259" s="3">
        <f>IFERROR(SUMIF(Purchases!B:B, A259, Purchases!D:D), 0)</f>
        <v>0</v>
      </c>
      <c r="I259" s="3">
        <f t="shared" si="1"/>
        <v>0</v>
      </c>
      <c r="J259" s="3">
        <f t="shared" si="2"/>
        <v>0</v>
      </c>
      <c r="K259" s="3">
        <f>IF(J259&gt;0,
        J259 * IF(G259&gt;0, G259/100,
            IFERROR( VLOOKUP(A259, Dividends!$A:$C, 3, FALSE) / VLOOKUP(A259, Prices!$A:$B, 2, FALSE), Inputs!$B$4)
        ) / 12,
        0)</f>
        <v>0</v>
      </c>
      <c r="L259" s="3">
        <f t="shared" si="3"/>
        <v>0</v>
      </c>
    </row>
    <row r="260" ht="15.75" customHeight="1">
      <c r="F260" s="3" t="str">
        <f>IFERROR(VLOOKUP(A260, Prices!A:B, 2, FALSE), )</f>
        <v/>
      </c>
      <c r="G260" s="3">
        <f>IFERROR(VLOOKUP(A260, Dividends!$A:$B, 2, FALSE),
       IFERROR( (VLOOKUP(A260, Dividends!$A:$C, 3, FALSE) / VLOOKUP(A260, Prices!$A:$B, 2, FALSE)) * 100,
                Inputs!$B$4*100 ))</f>
        <v>65</v>
      </c>
      <c r="H260" s="3">
        <f>IFERROR(SUMIF(Purchases!B:B, A260, Purchases!D:D), 0)</f>
        <v>0</v>
      </c>
      <c r="I260" s="3">
        <f t="shared" si="1"/>
        <v>0</v>
      </c>
      <c r="J260" s="3">
        <f t="shared" si="2"/>
        <v>0</v>
      </c>
      <c r="K260" s="3">
        <f>IF(J260&gt;0,
        J260 * IF(G260&gt;0, G260/100,
            IFERROR( VLOOKUP(A260, Dividends!$A:$C, 3, FALSE) / VLOOKUP(A260, Prices!$A:$B, 2, FALSE), Inputs!$B$4)
        ) / 12,
        0)</f>
        <v>0</v>
      </c>
      <c r="L260" s="3">
        <f t="shared" si="3"/>
        <v>0</v>
      </c>
    </row>
    <row r="261" ht="15.75" customHeight="1">
      <c r="F261" s="3" t="str">
        <f>IFERROR(VLOOKUP(A261, Prices!A:B, 2, FALSE), )</f>
        <v/>
      </c>
      <c r="G261" s="3">
        <f>IFERROR(VLOOKUP(A261, Dividends!$A:$B, 2, FALSE),
       IFERROR( (VLOOKUP(A261, Dividends!$A:$C, 3, FALSE) / VLOOKUP(A261, Prices!$A:$B, 2, FALSE)) * 100,
                Inputs!$B$4*100 ))</f>
        <v>65</v>
      </c>
      <c r="H261" s="3">
        <f>IFERROR(SUMIF(Purchases!B:B, A261, Purchases!D:D), 0)</f>
        <v>0</v>
      </c>
      <c r="I261" s="3">
        <f t="shared" si="1"/>
        <v>0</v>
      </c>
      <c r="J261" s="3">
        <f t="shared" si="2"/>
        <v>0</v>
      </c>
      <c r="K261" s="3">
        <f>IF(J261&gt;0,
        J261 * IF(G261&gt;0, G261/100,
            IFERROR( VLOOKUP(A261, Dividends!$A:$C, 3, FALSE) / VLOOKUP(A261, Prices!$A:$B, 2, FALSE), Inputs!$B$4)
        ) / 12,
        0)</f>
        <v>0</v>
      </c>
      <c r="L261" s="3">
        <f t="shared" si="3"/>
        <v>0</v>
      </c>
    </row>
    <row r="262" ht="15.75" customHeight="1">
      <c r="F262" s="3" t="str">
        <f>IFERROR(VLOOKUP(A262, Prices!A:B, 2, FALSE), )</f>
        <v/>
      </c>
      <c r="G262" s="3">
        <f>IFERROR(VLOOKUP(A262, Dividends!$A:$B, 2, FALSE),
       IFERROR( (VLOOKUP(A262, Dividends!$A:$C, 3, FALSE) / VLOOKUP(A262, Prices!$A:$B, 2, FALSE)) * 100,
                Inputs!$B$4*100 ))</f>
        <v>65</v>
      </c>
      <c r="H262" s="3">
        <f>IFERROR(SUMIF(Purchases!B:B, A262, Purchases!D:D), 0)</f>
        <v>0</v>
      </c>
      <c r="I262" s="3">
        <f t="shared" si="1"/>
        <v>0</v>
      </c>
      <c r="J262" s="3">
        <f t="shared" si="2"/>
        <v>0</v>
      </c>
      <c r="K262" s="3">
        <f>IF(J262&gt;0,
        J262 * IF(G262&gt;0, G262/100,
            IFERROR( VLOOKUP(A262, Dividends!$A:$C, 3, FALSE) / VLOOKUP(A262, Prices!$A:$B, 2, FALSE), Inputs!$B$4)
        ) / 12,
        0)</f>
        <v>0</v>
      </c>
      <c r="L262" s="3">
        <f t="shared" si="3"/>
        <v>0</v>
      </c>
    </row>
    <row r="263" ht="15.75" customHeight="1">
      <c r="F263" s="3" t="str">
        <f>IFERROR(VLOOKUP(A263, Prices!A:B, 2, FALSE), )</f>
        <v/>
      </c>
      <c r="G263" s="3">
        <f>IFERROR(VLOOKUP(A263, Dividends!$A:$B, 2, FALSE),
       IFERROR( (VLOOKUP(A263, Dividends!$A:$C, 3, FALSE) / VLOOKUP(A263, Prices!$A:$B, 2, FALSE)) * 100,
                Inputs!$B$4*100 ))</f>
        <v>65</v>
      </c>
      <c r="H263" s="3">
        <f>IFERROR(SUMIF(Purchases!B:B, A263, Purchases!D:D), 0)</f>
        <v>0</v>
      </c>
      <c r="I263" s="3">
        <f t="shared" si="1"/>
        <v>0</v>
      </c>
      <c r="J263" s="3">
        <f t="shared" si="2"/>
        <v>0</v>
      </c>
      <c r="K263" s="3">
        <f>IF(J263&gt;0,
        J263 * IF(G263&gt;0, G263/100,
            IFERROR( VLOOKUP(A263, Dividends!$A:$C, 3, FALSE) / VLOOKUP(A263, Prices!$A:$B, 2, FALSE), Inputs!$B$4)
        ) / 12,
        0)</f>
        <v>0</v>
      </c>
      <c r="L263" s="3">
        <f t="shared" si="3"/>
        <v>0</v>
      </c>
    </row>
    <row r="264" ht="15.75" customHeight="1">
      <c r="F264" s="3" t="str">
        <f>IFERROR(VLOOKUP(A264, Prices!A:B, 2, FALSE), )</f>
        <v/>
      </c>
      <c r="G264" s="3">
        <f>IFERROR(VLOOKUP(A264, Dividends!$A:$B, 2, FALSE),
       IFERROR( (VLOOKUP(A264, Dividends!$A:$C, 3, FALSE) / VLOOKUP(A264, Prices!$A:$B, 2, FALSE)) * 100,
                Inputs!$B$4*100 ))</f>
        <v>65</v>
      </c>
      <c r="H264" s="3">
        <f>IFERROR(SUMIF(Purchases!B:B, A264, Purchases!D:D), 0)</f>
        <v>0</v>
      </c>
      <c r="I264" s="3">
        <f t="shared" si="1"/>
        <v>0</v>
      </c>
      <c r="J264" s="3">
        <f t="shared" si="2"/>
        <v>0</v>
      </c>
      <c r="K264" s="3">
        <f>IF(J264&gt;0,
        J264 * IF(G264&gt;0, G264/100,
            IFERROR( VLOOKUP(A264, Dividends!$A:$C, 3, FALSE) / VLOOKUP(A264, Prices!$A:$B, 2, FALSE), Inputs!$B$4)
        ) / 12,
        0)</f>
        <v>0</v>
      </c>
      <c r="L264" s="3">
        <f t="shared" si="3"/>
        <v>0</v>
      </c>
    </row>
    <row r="265" ht="15.75" customHeight="1">
      <c r="F265" s="3" t="str">
        <f>IFERROR(VLOOKUP(A265, Prices!A:B, 2, FALSE), )</f>
        <v/>
      </c>
      <c r="G265" s="3">
        <f>IFERROR(VLOOKUP(A265, Dividends!$A:$B, 2, FALSE),
       IFERROR( (VLOOKUP(A265, Dividends!$A:$C, 3, FALSE) / VLOOKUP(A265, Prices!$A:$B, 2, FALSE)) * 100,
                Inputs!$B$4*100 ))</f>
        <v>65</v>
      </c>
      <c r="H265" s="3">
        <f>IFERROR(SUMIF(Purchases!B:B, A265, Purchases!D:D), 0)</f>
        <v>0</v>
      </c>
      <c r="I265" s="3">
        <f t="shared" si="1"/>
        <v>0</v>
      </c>
      <c r="J265" s="3">
        <f t="shared" si="2"/>
        <v>0</v>
      </c>
      <c r="K265" s="3">
        <f>IF(J265&gt;0,
        J265 * IF(G265&gt;0, G265/100,
            IFERROR( VLOOKUP(A265, Dividends!$A:$C, 3, FALSE) / VLOOKUP(A265, Prices!$A:$B, 2, FALSE), Inputs!$B$4)
        ) / 12,
        0)</f>
        <v>0</v>
      </c>
      <c r="L265" s="3">
        <f t="shared" si="3"/>
        <v>0</v>
      </c>
    </row>
    <row r="266" ht="15.75" customHeight="1">
      <c r="F266" s="3" t="str">
        <f>IFERROR(VLOOKUP(A266, Prices!A:B, 2, FALSE), )</f>
        <v/>
      </c>
      <c r="G266" s="3">
        <f>IFERROR(VLOOKUP(A266, Dividends!$A:$B, 2, FALSE),
       IFERROR( (VLOOKUP(A266, Dividends!$A:$C, 3, FALSE) / VLOOKUP(A266, Prices!$A:$B, 2, FALSE)) * 100,
                Inputs!$B$4*100 ))</f>
        <v>65</v>
      </c>
      <c r="H266" s="3">
        <f>IFERROR(SUMIF(Purchases!B:B, A266, Purchases!D:D), 0)</f>
        <v>0</v>
      </c>
      <c r="I266" s="3">
        <f t="shared" si="1"/>
        <v>0</v>
      </c>
      <c r="J266" s="3">
        <f t="shared" si="2"/>
        <v>0</v>
      </c>
      <c r="K266" s="3">
        <f>IF(J266&gt;0,
        J266 * IF(G266&gt;0, G266/100,
            IFERROR( VLOOKUP(A266, Dividends!$A:$C, 3, FALSE) / VLOOKUP(A266, Prices!$A:$B, 2, FALSE), Inputs!$B$4)
        ) / 12,
        0)</f>
        <v>0</v>
      </c>
      <c r="L266" s="3">
        <f t="shared" si="3"/>
        <v>0</v>
      </c>
    </row>
    <row r="267" ht="15.75" customHeight="1">
      <c r="F267" s="3" t="str">
        <f>IFERROR(VLOOKUP(A267, Prices!A:B, 2, FALSE), )</f>
        <v/>
      </c>
      <c r="G267" s="3">
        <f>IFERROR(VLOOKUP(A267, Dividends!$A:$B, 2, FALSE),
       IFERROR( (VLOOKUP(A267, Dividends!$A:$C, 3, FALSE) / VLOOKUP(A267, Prices!$A:$B, 2, FALSE)) * 100,
                Inputs!$B$4*100 ))</f>
        <v>65</v>
      </c>
      <c r="H267" s="3">
        <f>IFERROR(SUMIF(Purchases!B:B, A267, Purchases!D:D), 0)</f>
        <v>0</v>
      </c>
      <c r="I267" s="3">
        <f t="shared" si="1"/>
        <v>0</v>
      </c>
      <c r="J267" s="3">
        <f t="shared" si="2"/>
        <v>0</v>
      </c>
      <c r="K267" s="3">
        <f>IF(J267&gt;0,
        J267 * IF(G267&gt;0, G267/100,
            IFERROR( VLOOKUP(A267, Dividends!$A:$C, 3, FALSE) / VLOOKUP(A267, Prices!$A:$B, 2, FALSE), Inputs!$B$4)
        ) / 12,
        0)</f>
        <v>0</v>
      </c>
      <c r="L267" s="3">
        <f t="shared" si="3"/>
        <v>0</v>
      </c>
    </row>
    <row r="268" ht="15.75" customHeight="1">
      <c r="F268" s="3" t="str">
        <f>IFERROR(VLOOKUP(A268, Prices!A:B, 2, FALSE), )</f>
        <v/>
      </c>
      <c r="G268" s="3">
        <f>IFERROR(VLOOKUP(A268, Dividends!$A:$B, 2, FALSE),
       IFERROR( (VLOOKUP(A268, Dividends!$A:$C, 3, FALSE) / VLOOKUP(A268, Prices!$A:$B, 2, FALSE)) * 100,
                Inputs!$B$4*100 ))</f>
        <v>65</v>
      </c>
      <c r="H268" s="3">
        <f>IFERROR(SUMIF(Purchases!B:B, A268, Purchases!D:D), 0)</f>
        <v>0</v>
      </c>
      <c r="I268" s="3">
        <f t="shared" si="1"/>
        <v>0</v>
      </c>
      <c r="J268" s="3">
        <f t="shared" si="2"/>
        <v>0</v>
      </c>
      <c r="K268" s="3">
        <f>IF(J268&gt;0,
        J268 * IF(G268&gt;0, G268/100,
            IFERROR( VLOOKUP(A268, Dividends!$A:$C, 3, FALSE) / VLOOKUP(A268, Prices!$A:$B, 2, FALSE), Inputs!$B$4)
        ) / 12,
        0)</f>
        <v>0</v>
      </c>
      <c r="L268" s="3">
        <f t="shared" si="3"/>
        <v>0</v>
      </c>
    </row>
    <row r="269" ht="15.75" customHeight="1">
      <c r="F269" s="3" t="str">
        <f>IFERROR(VLOOKUP(A269, Prices!A:B, 2, FALSE), )</f>
        <v/>
      </c>
      <c r="G269" s="3">
        <f>IFERROR(VLOOKUP(A269, Dividends!$A:$B, 2, FALSE),
       IFERROR( (VLOOKUP(A269, Dividends!$A:$C, 3, FALSE) / VLOOKUP(A269, Prices!$A:$B, 2, FALSE)) * 100,
                Inputs!$B$4*100 ))</f>
        <v>65</v>
      </c>
      <c r="H269" s="3">
        <f>IFERROR(SUMIF(Purchases!B:B, A269, Purchases!D:D), 0)</f>
        <v>0</v>
      </c>
      <c r="I269" s="3">
        <f t="shared" si="1"/>
        <v>0</v>
      </c>
      <c r="J269" s="3">
        <f t="shared" si="2"/>
        <v>0</v>
      </c>
      <c r="K269" s="3">
        <f>IF(J269&gt;0,
        J269 * IF(G269&gt;0, G269/100,
            IFERROR( VLOOKUP(A269, Dividends!$A:$C, 3, FALSE) / VLOOKUP(A269, Prices!$A:$B, 2, FALSE), Inputs!$B$4)
        ) / 12,
        0)</f>
        <v>0</v>
      </c>
      <c r="L269" s="3">
        <f t="shared" si="3"/>
        <v>0</v>
      </c>
    </row>
    <row r="270" ht="15.75" customHeight="1">
      <c r="F270" s="3" t="str">
        <f>IFERROR(VLOOKUP(A270, Prices!A:B, 2, FALSE), )</f>
        <v/>
      </c>
      <c r="G270" s="3">
        <f>IFERROR(VLOOKUP(A270, Dividends!$A:$B, 2, FALSE),
       IFERROR( (VLOOKUP(A270, Dividends!$A:$C, 3, FALSE) / VLOOKUP(A270, Prices!$A:$B, 2, FALSE)) * 100,
                Inputs!$B$4*100 ))</f>
        <v>65</v>
      </c>
      <c r="H270" s="3">
        <f>IFERROR(SUMIF(Purchases!B:B, A270, Purchases!D:D), 0)</f>
        <v>0</v>
      </c>
      <c r="I270" s="3">
        <f t="shared" si="1"/>
        <v>0</v>
      </c>
      <c r="J270" s="3">
        <f t="shared" si="2"/>
        <v>0</v>
      </c>
      <c r="K270" s="3">
        <f>IF(J270&gt;0,
        J270 * IF(G270&gt;0, G270/100,
            IFERROR( VLOOKUP(A270, Dividends!$A:$C, 3, FALSE) / VLOOKUP(A270, Prices!$A:$B, 2, FALSE), Inputs!$B$4)
        ) / 12,
        0)</f>
        <v>0</v>
      </c>
      <c r="L270" s="3">
        <f t="shared" si="3"/>
        <v>0</v>
      </c>
    </row>
    <row r="271" ht="15.75" customHeight="1">
      <c r="F271" s="3" t="str">
        <f>IFERROR(VLOOKUP(A271, Prices!A:B, 2, FALSE), )</f>
        <v/>
      </c>
      <c r="G271" s="3">
        <f>IFERROR(VLOOKUP(A271, Dividends!$A:$B, 2, FALSE),
       IFERROR( (VLOOKUP(A271, Dividends!$A:$C, 3, FALSE) / VLOOKUP(A271, Prices!$A:$B, 2, FALSE)) * 100,
                Inputs!$B$4*100 ))</f>
        <v>65</v>
      </c>
      <c r="H271" s="3">
        <f>IFERROR(SUMIF(Purchases!B:B, A271, Purchases!D:D), 0)</f>
        <v>0</v>
      </c>
      <c r="I271" s="3">
        <f t="shared" si="1"/>
        <v>0</v>
      </c>
      <c r="J271" s="3">
        <f t="shared" si="2"/>
        <v>0</v>
      </c>
      <c r="K271" s="3">
        <f>IF(J271&gt;0,
        J271 * IF(G271&gt;0, G271/100,
            IFERROR( VLOOKUP(A271, Dividends!$A:$C, 3, FALSE) / VLOOKUP(A271, Prices!$A:$B, 2, FALSE), Inputs!$B$4)
        ) / 12,
        0)</f>
        <v>0</v>
      </c>
      <c r="L271" s="3">
        <f t="shared" si="3"/>
        <v>0</v>
      </c>
    </row>
    <row r="272" ht="15.75" customHeight="1">
      <c r="F272" s="3" t="str">
        <f>IFERROR(VLOOKUP(A272, Prices!A:B, 2, FALSE), )</f>
        <v/>
      </c>
      <c r="G272" s="3">
        <f>IFERROR(VLOOKUP(A272, Dividends!$A:$B, 2, FALSE),
       IFERROR( (VLOOKUP(A272, Dividends!$A:$C, 3, FALSE) / VLOOKUP(A272, Prices!$A:$B, 2, FALSE)) * 100,
                Inputs!$B$4*100 ))</f>
        <v>65</v>
      </c>
      <c r="H272" s="3">
        <f>IFERROR(SUMIF(Purchases!B:B, A272, Purchases!D:D), 0)</f>
        <v>0</v>
      </c>
      <c r="I272" s="3">
        <f t="shared" si="1"/>
        <v>0</v>
      </c>
      <c r="J272" s="3">
        <f t="shared" si="2"/>
        <v>0</v>
      </c>
      <c r="K272" s="3">
        <f>IF(J272&gt;0,
        J272 * IF(G272&gt;0, G272/100,
            IFERROR( VLOOKUP(A272, Dividends!$A:$C, 3, FALSE) / VLOOKUP(A272, Prices!$A:$B, 2, FALSE), Inputs!$B$4)
        ) / 12,
        0)</f>
        <v>0</v>
      </c>
      <c r="L272" s="3">
        <f t="shared" si="3"/>
        <v>0</v>
      </c>
    </row>
    <row r="273" ht="15.75" customHeight="1">
      <c r="F273" s="3" t="str">
        <f>IFERROR(VLOOKUP(A273, Prices!A:B, 2, FALSE), )</f>
        <v/>
      </c>
      <c r="G273" s="3">
        <f>IFERROR(VLOOKUP(A273, Dividends!$A:$B, 2, FALSE),
       IFERROR( (VLOOKUP(A273, Dividends!$A:$C, 3, FALSE) / VLOOKUP(A273, Prices!$A:$B, 2, FALSE)) * 100,
                Inputs!$B$4*100 ))</f>
        <v>65</v>
      </c>
      <c r="H273" s="3">
        <f>IFERROR(SUMIF(Purchases!B:B, A273, Purchases!D:D), 0)</f>
        <v>0</v>
      </c>
      <c r="I273" s="3">
        <f t="shared" si="1"/>
        <v>0</v>
      </c>
      <c r="J273" s="3">
        <f t="shared" si="2"/>
        <v>0</v>
      </c>
      <c r="K273" s="3">
        <f>IF(J273&gt;0,
        J273 * IF(G273&gt;0, G273/100,
            IFERROR( VLOOKUP(A273, Dividends!$A:$C, 3, FALSE) / VLOOKUP(A273, Prices!$A:$B, 2, FALSE), Inputs!$B$4)
        ) / 12,
        0)</f>
        <v>0</v>
      </c>
      <c r="L273" s="3">
        <f t="shared" si="3"/>
        <v>0</v>
      </c>
    </row>
    <row r="274" ht="15.75" customHeight="1">
      <c r="F274" s="3" t="str">
        <f>IFERROR(VLOOKUP(A274, Prices!A:B, 2, FALSE), )</f>
        <v/>
      </c>
      <c r="G274" s="3">
        <f>IFERROR(VLOOKUP(A274, Dividends!$A:$B, 2, FALSE),
       IFERROR( (VLOOKUP(A274, Dividends!$A:$C, 3, FALSE) / VLOOKUP(A274, Prices!$A:$B, 2, FALSE)) * 100,
                Inputs!$B$4*100 ))</f>
        <v>65</v>
      </c>
      <c r="H274" s="3">
        <f>IFERROR(SUMIF(Purchases!B:B, A274, Purchases!D:D), 0)</f>
        <v>0</v>
      </c>
      <c r="I274" s="3">
        <f t="shared" si="1"/>
        <v>0</v>
      </c>
      <c r="J274" s="3">
        <f t="shared" si="2"/>
        <v>0</v>
      </c>
      <c r="K274" s="3">
        <f>IF(J274&gt;0,
        J274 * IF(G274&gt;0, G274/100,
            IFERROR( VLOOKUP(A274, Dividends!$A:$C, 3, FALSE) / VLOOKUP(A274, Prices!$A:$B, 2, FALSE), Inputs!$B$4)
        ) / 12,
        0)</f>
        <v>0</v>
      </c>
      <c r="L274" s="3">
        <f t="shared" si="3"/>
        <v>0</v>
      </c>
    </row>
    <row r="275" ht="15.75" customHeight="1">
      <c r="F275" s="3" t="str">
        <f>IFERROR(VLOOKUP(A275, Prices!A:B, 2, FALSE), )</f>
        <v/>
      </c>
      <c r="G275" s="3">
        <f>IFERROR(VLOOKUP(A275, Dividends!$A:$B, 2, FALSE),
       IFERROR( (VLOOKUP(A275, Dividends!$A:$C, 3, FALSE) / VLOOKUP(A275, Prices!$A:$B, 2, FALSE)) * 100,
                Inputs!$B$4*100 ))</f>
        <v>65</v>
      </c>
      <c r="H275" s="3">
        <f>IFERROR(SUMIF(Purchases!B:B, A275, Purchases!D:D), 0)</f>
        <v>0</v>
      </c>
      <c r="I275" s="3">
        <f t="shared" si="1"/>
        <v>0</v>
      </c>
      <c r="J275" s="3">
        <f t="shared" si="2"/>
        <v>0</v>
      </c>
      <c r="K275" s="3">
        <f>IF(J275&gt;0,
        J275 * IF(G275&gt;0, G275/100,
            IFERROR( VLOOKUP(A275, Dividends!$A:$C, 3, FALSE) / VLOOKUP(A275, Prices!$A:$B, 2, FALSE), Inputs!$B$4)
        ) / 12,
        0)</f>
        <v>0</v>
      </c>
      <c r="L275" s="3">
        <f t="shared" si="3"/>
        <v>0</v>
      </c>
    </row>
    <row r="276" ht="15.75" customHeight="1">
      <c r="F276" s="3" t="str">
        <f>IFERROR(VLOOKUP(A276, Prices!A:B, 2, FALSE), )</f>
        <v/>
      </c>
      <c r="G276" s="3">
        <f>IFERROR(VLOOKUP(A276, Dividends!$A:$B, 2, FALSE),
       IFERROR( (VLOOKUP(A276, Dividends!$A:$C, 3, FALSE) / VLOOKUP(A276, Prices!$A:$B, 2, FALSE)) * 100,
                Inputs!$B$4*100 ))</f>
        <v>65</v>
      </c>
      <c r="H276" s="3">
        <f>IFERROR(SUMIF(Purchases!B:B, A276, Purchases!D:D), 0)</f>
        <v>0</v>
      </c>
      <c r="I276" s="3">
        <f t="shared" si="1"/>
        <v>0</v>
      </c>
      <c r="J276" s="3">
        <f t="shared" si="2"/>
        <v>0</v>
      </c>
      <c r="K276" s="3">
        <f>IF(J276&gt;0,
        J276 * IF(G276&gt;0, G276/100,
            IFERROR( VLOOKUP(A276, Dividends!$A:$C, 3, FALSE) / VLOOKUP(A276, Prices!$A:$B, 2, FALSE), Inputs!$B$4)
        ) / 12,
        0)</f>
        <v>0</v>
      </c>
      <c r="L276" s="3">
        <f t="shared" si="3"/>
        <v>0</v>
      </c>
    </row>
    <row r="277" ht="15.75" customHeight="1">
      <c r="F277" s="3" t="str">
        <f>IFERROR(VLOOKUP(A277, Prices!A:B, 2, FALSE), )</f>
        <v/>
      </c>
      <c r="G277" s="3">
        <f>IFERROR(VLOOKUP(A277, Dividends!$A:$B, 2, FALSE),
       IFERROR( (VLOOKUP(A277, Dividends!$A:$C, 3, FALSE) / VLOOKUP(A277, Prices!$A:$B, 2, FALSE)) * 100,
                Inputs!$B$4*100 ))</f>
        <v>65</v>
      </c>
      <c r="H277" s="3">
        <f>IFERROR(SUMIF(Purchases!B:B, A277, Purchases!D:D), 0)</f>
        <v>0</v>
      </c>
      <c r="I277" s="3">
        <f t="shared" si="1"/>
        <v>0</v>
      </c>
      <c r="J277" s="3">
        <f t="shared" si="2"/>
        <v>0</v>
      </c>
      <c r="K277" s="3">
        <f>IF(J277&gt;0,
        J277 * IF(G277&gt;0, G277/100,
            IFERROR( VLOOKUP(A277, Dividends!$A:$C, 3, FALSE) / VLOOKUP(A277, Prices!$A:$B, 2, FALSE), Inputs!$B$4)
        ) / 12,
        0)</f>
        <v>0</v>
      </c>
      <c r="L277" s="3">
        <f t="shared" si="3"/>
        <v>0</v>
      </c>
    </row>
    <row r="278" ht="15.75" customHeight="1">
      <c r="F278" s="3" t="str">
        <f>IFERROR(VLOOKUP(A278, Prices!A:B, 2, FALSE), )</f>
        <v/>
      </c>
      <c r="G278" s="3">
        <f>IFERROR(VLOOKUP(A278, Dividends!$A:$B, 2, FALSE),
       IFERROR( (VLOOKUP(A278, Dividends!$A:$C, 3, FALSE) / VLOOKUP(A278, Prices!$A:$B, 2, FALSE)) * 100,
                Inputs!$B$4*100 ))</f>
        <v>65</v>
      </c>
      <c r="H278" s="3">
        <f>IFERROR(SUMIF(Purchases!B:B, A278, Purchases!D:D), 0)</f>
        <v>0</v>
      </c>
      <c r="I278" s="3">
        <f t="shared" si="1"/>
        <v>0</v>
      </c>
      <c r="J278" s="3">
        <f t="shared" si="2"/>
        <v>0</v>
      </c>
      <c r="K278" s="3">
        <f>IF(J278&gt;0,
        J278 * IF(G278&gt;0, G278/100,
            IFERROR( VLOOKUP(A278, Dividends!$A:$C, 3, FALSE) / VLOOKUP(A278, Prices!$A:$B, 2, FALSE), Inputs!$B$4)
        ) / 12,
        0)</f>
        <v>0</v>
      </c>
      <c r="L278" s="3">
        <f t="shared" si="3"/>
        <v>0</v>
      </c>
    </row>
    <row r="279" ht="15.75" customHeight="1">
      <c r="F279" s="3" t="str">
        <f>IFERROR(VLOOKUP(A279, Prices!A:B, 2, FALSE), )</f>
        <v/>
      </c>
      <c r="G279" s="3">
        <f>IFERROR(VLOOKUP(A279, Dividends!$A:$B, 2, FALSE),
       IFERROR( (VLOOKUP(A279, Dividends!$A:$C, 3, FALSE) / VLOOKUP(A279, Prices!$A:$B, 2, FALSE)) * 100,
                Inputs!$B$4*100 ))</f>
        <v>65</v>
      </c>
      <c r="H279" s="3">
        <f>IFERROR(SUMIF(Purchases!B:B, A279, Purchases!D:D), 0)</f>
        <v>0</v>
      </c>
      <c r="I279" s="3">
        <f t="shared" si="1"/>
        <v>0</v>
      </c>
      <c r="J279" s="3">
        <f t="shared" si="2"/>
        <v>0</v>
      </c>
      <c r="K279" s="3">
        <f>IF(J279&gt;0,
        J279 * IF(G279&gt;0, G279/100,
            IFERROR( VLOOKUP(A279, Dividends!$A:$C, 3, FALSE) / VLOOKUP(A279, Prices!$A:$B, 2, FALSE), Inputs!$B$4)
        ) / 12,
        0)</f>
        <v>0</v>
      </c>
      <c r="L279" s="3">
        <f t="shared" si="3"/>
        <v>0</v>
      </c>
    </row>
    <row r="280" ht="15.75" customHeight="1">
      <c r="F280" s="3" t="str">
        <f>IFERROR(VLOOKUP(A280, Prices!A:B, 2, FALSE), )</f>
        <v/>
      </c>
      <c r="G280" s="3">
        <f>IFERROR(VLOOKUP(A280, Dividends!$A:$B, 2, FALSE),
       IFERROR( (VLOOKUP(A280, Dividends!$A:$C, 3, FALSE) / VLOOKUP(A280, Prices!$A:$B, 2, FALSE)) * 100,
                Inputs!$B$4*100 ))</f>
        <v>65</v>
      </c>
      <c r="H280" s="3">
        <f>IFERROR(SUMIF(Purchases!B:B, A280, Purchases!D:D), 0)</f>
        <v>0</v>
      </c>
      <c r="I280" s="3">
        <f t="shared" si="1"/>
        <v>0</v>
      </c>
      <c r="J280" s="3">
        <f t="shared" si="2"/>
        <v>0</v>
      </c>
      <c r="K280" s="3">
        <f>IF(J280&gt;0,
        J280 * IF(G280&gt;0, G280/100,
            IFERROR( VLOOKUP(A280, Dividends!$A:$C, 3, FALSE) / VLOOKUP(A280, Prices!$A:$B, 2, FALSE), Inputs!$B$4)
        ) / 12,
        0)</f>
        <v>0</v>
      </c>
      <c r="L280" s="3">
        <f t="shared" si="3"/>
        <v>0</v>
      </c>
    </row>
    <row r="281" ht="15.75" customHeight="1">
      <c r="F281" s="3" t="str">
        <f>IFERROR(VLOOKUP(A281, Prices!A:B, 2, FALSE), )</f>
        <v/>
      </c>
      <c r="G281" s="3">
        <f>IFERROR(VLOOKUP(A281, Dividends!$A:$B, 2, FALSE),
       IFERROR( (VLOOKUP(A281, Dividends!$A:$C, 3, FALSE) / VLOOKUP(A281, Prices!$A:$B, 2, FALSE)) * 100,
                Inputs!$B$4*100 ))</f>
        <v>65</v>
      </c>
      <c r="H281" s="3">
        <f>IFERROR(SUMIF(Purchases!B:B, A281, Purchases!D:D), 0)</f>
        <v>0</v>
      </c>
      <c r="I281" s="3">
        <f t="shared" si="1"/>
        <v>0</v>
      </c>
      <c r="J281" s="3">
        <f t="shared" si="2"/>
        <v>0</v>
      </c>
      <c r="K281" s="3">
        <f>IF(J281&gt;0,
        J281 * IF(G281&gt;0, G281/100,
            IFERROR( VLOOKUP(A281, Dividends!$A:$C, 3, FALSE) / VLOOKUP(A281, Prices!$A:$B, 2, FALSE), Inputs!$B$4)
        ) / 12,
        0)</f>
        <v>0</v>
      </c>
      <c r="L281" s="3">
        <f t="shared" si="3"/>
        <v>0</v>
      </c>
    </row>
    <row r="282" ht="15.75" customHeight="1">
      <c r="F282" s="3" t="str">
        <f>IFERROR(VLOOKUP(A282, Prices!A:B, 2, FALSE), )</f>
        <v/>
      </c>
      <c r="G282" s="3">
        <f>IFERROR(VLOOKUP(A282, Dividends!$A:$B, 2, FALSE),
       IFERROR( (VLOOKUP(A282, Dividends!$A:$C, 3, FALSE) / VLOOKUP(A282, Prices!$A:$B, 2, FALSE)) * 100,
                Inputs!$B$4*100 ))</f>
        <v>65</v>
      </c>
      <c r="H282" s="3">
        <f>IFERROR(SUMIF(Purchases!B:B, A282, Purchases!D:D), 0)</f>
        <v>0</v>
      </c>
      <c r="I282" s="3">
        <f t="shared" si="1"/>
        <v>0</v>
      </c>
      <c r="J282" s="3">
        <f t="shared" si="2"/>
        <v>0</v>
      </c>
      <c r="K282" s="3">
        <f>IF(J282&gt;0,
        J282 * IF(G282&gt;0, G282/100,
            IFERROR( VLOOKUP(A282, Dividends!$A:$C, 3, FALSE) / VLOOKUP(A282, Prices!$A:$B, 2, FALSE), Inputs!$B$4)
        ) / 12,
        0)</f>
        <v>0</v>
      </c>
      <c r="L282" s="3">
        <f t="shared" si="3"/>
        <v>0</v>
      </c>
    </row>
    <row r="283" ht="15.75" customHeight="1">
      <c r="F283" s="3" t="str">
        <f>IFERROR(VLOOKUP(A283, Prices!A:B, 2, FALSE), )</f>
        <v/>
      </c>
      <c r="G283" s="3">
        <f>IFERROR(VLOOKUP(A283, Dividends!$A:$B, 2, FALSE),
       IFERROR( (VLOOKUP(A283, Dividends!$A:$C, 3, FALSE) / VLOOKUP(A283, Prices!$A:$B, 2, FALSE)) * 100,
                Inputs!$B$4*100 ))</f>
        <v>65</v>
      </c>
      <c r="H283" s="3">
        <f>IFERROR(SUMIF(Purchases!B:B, A283, Purchases!D:D), 0)</f>
        <v>0</v>
      </c>
      <c r="I283" s="3">
        <f t="shared" si="1"/>
        <v>0</v>
      </c>
      <c r="J283" s="3">
        <f t="shared" si="2"/>
        <v>0</v>
      </c>
      <c r="K283" s="3">
        <f>IF(J283&gt;0,
        J283 * IF(G283&gt;0, G283/100,
            IFERROR( VLOOKUP(A283, Dividends!$A:$C, 3, FALSE) / VLOOKUP(A283, Prices!$A:$B, 2, FALSE), Inputs!$B$4)
        ) / 12,
        0)</f>
        <v>0</v>
      </c>
      <c r="L283" s="3">
        <f t="shared" si="3"/>
        <v>0</v>
      </c>
    </row>
    <row r="284" ht="15.75" customHeight="1">
      <c r="F284" s="3" t="str">
        <f>IFERROR(VLOOKUP(A284, Prices!A:B, 2, FALSE), )</f>
        <v/>
      </c>
      <c r="G284" s="3">
        <f>IFERROR(VLOOKUP(A284, Dividends!$A:$B, 2, FALSE),
       IFERROR( (VLOOKUP(A284, Dividends!$A:$C, 3, FALSE) / VLOOKUP(A284, Prices!$A:$B, 2, FALSE)) * 100,
                Inputs!$B$4*100 ))</f>
        <v>65</v>
      </c>
      <c r="H284" s="3">
        <f>IFERROR(SUMIF(Purchases!B:B, A284, Purchases!D:D), 0)</f>
        <v>0</v>
      </c>
      <c r="I284" s="3">
        <f t="shared" si="1"/>
        <v>0</v>
      </c>
      <c r="J284" s="3">
        <f t="shared" si="2"/>
        <v>0</v>
      </c>
      <c r="K284" s="3">
        <f>IF(J284&gt;0,
        J284 * IF(G284&gt;0, G284/100,
            IFERROR( VLOOKUP(A284, Dividends!$A:$C, 3, FALSE) / VLOOKUP(A284, Prices!$A:$B, 2, FALSE), Inputs!$B$4)
        ) / 12,
        0)</f>
        <v>0</v>
      </c>
      <c r="L284" s="3">
        <f t="shared" si="3"/>
        <v>0</v>
      </c>
    </row>
    <row r="285" ht="15.75" customHeight="1">
      <c r="F285" s="3" t="str">
        <f>IFERROR(VLOOKUP(A285, Prices!A:B, 2, FALSE), )</f>
        <v/>
      </c>
      <c r="G285" s="3">
        <f>IFERROR(VLOOKUP(A285, Dividends!$A:$B, 2, FALSE),
       IFERROR( (VLOOKUP(A285, Dividends!$A:$C, 3, FALSE) / VLOOKUP(A285, Prices!$A:$B, 2, FALSE)) * 100,
                Inputs!$B$4*100 ))</f>
        <v>65</v>
      </c>
      <c r="H285" s="3">
        <f>IFERROR(SUMIF(Purchases!B:B, A285, Purchases!D:D), 0)</f>
        <v>0</v>
      </c>
      <c r="I285" s="3">
        <f t="shared" si="1"/>
        <v>0</v>
      </c>
      <c r="J285" s="3">
        <f t="shared" si="2"/>
        <v>0</v>
      </c>
      <c r="K285" s="3">
        <f>IF(J285&gt;0,
        J285 * IF(G285&gt;0, G285/100,
            IFERROR( VLOOKUP(A285, Dividends!$A:$C, 3, FALSE) / VLOOKUP(A285, Prices!$A:$B, 2, FALSE), Inputs!$B$4)
        ) / 12,
        0)</f>
        <v>0</v>
      </c>
      <c r="L285" s="3">
        <f t="shared" si="3"/>
        <v>0</v>
      </c>
    </row>
    <row r="286" ht="15.75" customHeight="1">
      <c r="F286" s="3" t="str">
        <f>IFERROR(VLOOKUP(A286, Prices!A:B, 2, FALSE), )</f>
        <v/>
      </c>
      <c r="G286" s="3">
        <f>IFERROR(VLOOKUP(A286, Dividends!$A:$B, 2, FALSE),
       IFERROR( (VLOOKUP(A286, Dividends!$A:$C, 3, FALSE) / VLOOKUP(A286, Prices!$A:$B, 2, FALSE)) * 100,
                Inputs!$B$4*100 ))</f>
        <v>65</v>
      </c>
      <c r="H286" s="3">
        <f>IFERROR(SUMIF(Purchases!B:B, A286, Purchases!D:D), 0)</f>
        <v>0</v>
      </c>
      <c r="I286" s="3">
        <f t="shared" si="1"/>
        <v>0</v>
      </c>
      <c r="J286" s="3">
        <f t="shared" si="2"/>
        <v>0</v>
      </c>
      <c r="K286" s="3">
        <f>IF(J286&gt;0,
        J286 * IF(G286&gt;0, G286/100,
            IFERROR( VLOOKUP(A286, Dividends!$A:$C, 3, FALSE) / VLOOKUP(A286, Prices!$A:$B, 2, FALSE), Inputs!$B$4)
        ) / 12,
        0)</f>
        <v>0</v>
      </c>
      <c r="L286" s="3">
        <f t="shared" si="3"/>
        <v>0</v>
      </c>
    </row>
    <row r="287" ht="15.75" customHeight="1">
      <c r="F287" s="3" t="str">
        <f>IFERROR(VLOOKUP(A287, Prices!A:B, 2, FALSE), )</f>
        <v/>
      </c>
      <c r="G287" s="3">
        <f>IFERROR(VLOOKUP(A287, Dividends!$A:$B, 2, FALSE),
       IFERROR( (VLOOKUP(A287, Dividends!$A:$C, 3, FALSE) / VLOOKUP(A287, Prices!$A:$B, 2, FALSE)) * 100,
                Inputs!$B$4*100 ))</f>
        <v>65</v>
      </c>
      <c r="H287" s="3">
        <f>IFERROR(SUMIF(Purchases!B:B, A287, Purchases!D:D), 0)</f>
        <v>0</v>
      </c>
      <c r="I287" s="3">
        <f t="shared" si="1"/>
        <v>0</v>
      </c>
      <c r="J287" s="3">
        <f t="shared" si="2"/>
        <v>0</v>
      </c>
      <c r="K287" s="3">
        <f>IF(J287&gt;0,
        J287 * IF(G287&gt;0, G287/100,
            IFERROR( VLOOKUP(A287, Dividends!$A:$C, 3, FALSE) / VLOOKUP(A287, Prices!$A:$B, 2, FALSE), Inputs!$B$4)
        ) / 12,
        0)</f>
        <v>0</v>
      </c>
      <c r="L287" s="3">
        <f t="shared" si="3"/>
        <v>0</v>
      </c>
    </row>
    <row r="288" ht="15.75" customHeight="1">
      <c r="F288" s="3" t="str">
        <f>IFERROR(VLOOKUP(A288, Prices!A:B, 2, FALSE), )</f>
        <v/>
      </c>
      <c r="G288" s="3">
        <f>IFERROR(VLOOKUP(A288, Dividends!$A:$B, 2, FALSE),
       IFERROR( (VLOOKUP(A288, Dividends!$A:$C, 3, FALSE) / VLOOKUP(A288, Prices!$A:$B, 2, FALSE)) * 100,
                Inputs!$B$4*100 ))</f>
        <v>65</v>
      </c>
      <c r="H288" s="3">
        <f>IFERROR(SUMIF(Purchases!B:B, A288, Purchases!D:D), 0)</f>
        <v>0</v>
      </c>
      <c r="I288" s="3">
        <f t="shared" si="1"/>
        <v>0</v>
      </c>
      <c r="J288" s="3">
        <f t="shared" si="2"/>
        <v>0</v>
      </c>
      <c r="K288" s="3">
        <f>IF(J288&gt;0,
        J288 * IF(G288&gt;0, G288/100,
            IFERROR( VLOOKUP(A288, Dividends!$A:$C, 3, FALSE) / VLOOKUP(A288, Prices!$A:$B, 2, FALSE), Inputs!$B$4)
        ) / 12,
        0)</f>
        <v>0</v>
      </c>
      <c r="L288" s="3">
        <f t="shared" si="3"/>
        <v>0</v>
      </c>
    </row>
    <row r="289" ht="15.75" customHeight="1">
      <c r="F289" s="3" t="str">
        <f>IFERROR(VLOOKUP(A289, Prices!A:B, 2, FALSE), )</f>
        <v/>
      </c>
      <c r="G289" s="3">
        <f>IFERROR(VLOOKUP(A289, Dividends!$A:$B, 2, FALSE),
       IFERROR( (VLOOKUP(A289, Dividends!$A:$C, 3, FALSE) / VLOOKUP(A289, Prices!$A:$B, 2, FALSE)) * 100,
                Inputs!$B$4*100 ))</f>
        <v>65</v>
      </c>
      <c r="H289" s="3">
        <f>IFERROR(SUMIF(Purchases!B:B, A289, Purchases!D:D), 0)</f>
        <v>0</v>
      </c>
      <c r="I289" s="3">
        <f t="shared" si="1"/>
        <v>0</v>
      </c>
      <c r="J289" s="3">
        <f t="shared" si="2"/>
        <v>0</v>
      </c>
      <c r="K289" s="3">
        <f>IF(J289&gt;0,
        J289 * IF(G289&gt;0, G289/100,
            IFERROR( VLOOKUP(A289, Dividends!$A:$C, 3, FALSE) / VLOOKUP(A289, Prices!$A:$B, 2, FALSE), Inputs!$B$4)
        ) / 12,
        0)</f>
        <v>0</v>
      </c>
      <c r="L289" s="3">
        <f t="shared" si="3"/>
        <v>0</v>
      </c>
    </row>
    <row r="290" ht="15.75" customHeight="1">
      <c r="F290" s="3" t="str">
        <f>IFERROR(VLOOKUP(A290, Prices!A:B, 2, FALSE), )</f>
        <v/>
      </c>
      <c r="G290" s="3">
        <f>IFERROR(VLOOKUP(A290, Dividends!$A:$B, 2, FALSE),
       IFERROR( (VLOOKUP(A290, Dividends!$A:$C, 3, FALSE) / VLOOKUP(A290, Prices!$A:$B, 2, FALSE)) * 100,
                Inputs!$B$4*100 ))</f>
        <v>65</v>
      </c>
      <c r="H290" s="3">
        <f>IFERROR(SUMIF(Purchases!B:B, A290, Purchases!D:D), 0)</f>
        <v>0</v>
      </c>
      <c r="I290" s="3">
        <f t="shared" si="1"/>
        <v>0</v>
      </c>
      <c r="J290" s="3">
        <f t="shared" si="2"/>
        <v>0</v>
      </c>
      <c r="K290" s="3">
        <f>IF(J290&gt;0,
        J290 * IF(G290&gt;0, G290/100,
            IFERROR( VLOOKUP(A290, Dividends!$A:$C, 3, FALSE) / VLOOKUP(A290, Prices!$A:$B, 2, FALSE), Inputs!$B$4)
        ) / 12,
        0)</f>
        <v>0</v>
      </c>
      <c r="L290" s="3">
        <f t="shared" si="3"/>
        <v>0</v>
      </c>
    </row>
    <row r="291" ht="15.75" customHeight="1">
      <c r="F291" s="3" t="str">
        <f>IFERROR(VLOOKUP(A291, Prices!A:B, 2, FALSE), )</f>
        <v/>
      </c>
      <c r="G291" s="3">
        <f>IFERROR(VLOOKUP(A291, Dividends!$A:$B, 2, FALSE),
       IFERROR( (VLOOKUP(A291, Dividends!$A:$C, 3, FALSE) / VLOOKUP(A291, Prices!$A:$B, 2, FALSE)) * 100,
                Inputs!$B$4*100 ))</f>
        <v>65</v>
      </c>
      <c r="H291" s="3">
        <f>IFERROR(SUMIF(Purchases!B:B, A291, Purchases!D:D), 0)</f>
        <v>0</v>
      </c>
      <c r="I291" s="3">
        <f t="shared" si="1"/>
        <v>0</v>
      </c>
      <c r="J291" s="3">
        <f t="shared" si="2"/>
        <v>0</v>
      </c>
      <c r="K291" s="3">
        <f>IF(J291&gt;0,
        J291 * IF(G291&gt;0, G291/100,
            IFERROR( VLOOKUP(A291, Dividends!$A:$C, 3, FALSE) / VLOOKUP(A291, Prices!$A:$B, 2, FALSE), Inputs!$B$4)
        ) / 12,
        0)</f>
        <v>0</v>
      </c>
      <c r="L291" s="3">
        <f t="shared" si="3"/>
        <v>0</v>
      </c>
    </row>
    <row r="292" ht="15.75" customHeight="1">
      <c r="F292" s="3" t="str">
        <f>IFERROR(VLOOKUP(A292, Prices!A:B, 2, FALSE), )</f>
        <v/>
      </c>
      <c r="G292" s="3">
        <f>IFERROR(VLOOKUP(A292, Dividends!$A:$B, 2, FALSE),
       IFERROR( (VLOOKUP(A292, Dividends!$A:$C, 3, FALSE) / VLOOKUP(A292, Prices!$A:$B, 2, FALSE)) * 100,
                Inputs!$B$4*100 ))</f>
        <v>65</v>
      </c>
      <c r="H292" s="3">
        <f>IFERROR(SUMIF(Purchases!B:B, A292, Purchases!D:D), 0)</f>
        <v>0</v>
      </c>
      <c r="I292" s="3">
        <f t="shared" si="1"/>
        <v>0</v>
      </c>
      <c r="J292" s="3">
        <f t="shared" si="2"/>
        <v>0</v>
      </c>
      <c r="K292" s="3">
        <f>IF(J292&gt;0,
        J292 * IF(G292&gt;0, G292/100,
            IFERROR( VLOOKUP(A292, Dividends!$A:$C, 3, FALSE) / VLOOKUP(A292, Prices!$A:$B, 2, FALSE), Inputs!$B$4)
        ) / 12,
        0)</f>
        <v>0</v>
      </c>
      <c r="L292" s="3">
        <f t="shared" si="3"/>
        <v>0</v>
      </c>
    </row>
    <row r="293" ht="15.75" customHeight="1">
      <c r="F293" s="3" t="str">
        <f>IFERROR(VLOOKUP(A293, Prices!A:B, 2, FALSE), )</f>
        <v/>
      </c>
      <c r="G293" s="3">
        <f>IFERROR(VLOOKUP(A293, Dividends!$A:$B, 2, FALSE),
       IFERROR( (VLOOKUP(A293, Dividends!$A:$C, 3, FALSE) / VLOOKUP(A293, Prices!$A:$B, 2, FALSE)) * 100,
                Inputs!$B$4*100 ))</f>
        <v>65</v>
      </c>
      <c r="H293" s="3">
        <f>IFERROR(SUMIF(Purchases!B:B, A293, Purchases!D:D), 0)</f>
        <v>0</v>
      </c>
      <c r="I293" s="3">
        <f t="shared" si="1"/>
        <v>0</v>
      </c>
      <c r="J293" s="3">
        <f t="shared" si="2"/>
        <v>0</v>
      </c>
      <c r="K293" s="3">
        <f>IF(J293&gt;0,
        J293 * IF(G293&gt;0, G293/100,
            IFERROR( VLOOKUP(A293, Dividends!$A:$C, 3, FALSE) / VLOOKUP(A293, Prices!$A:$B, 2, FALSE), Inputs!$B$4)
        ) / 12,
        0)</f>
        <v>0</v>
      </c>
      <c r="L293" s="3">
        <f t="shared" si="3"/>
        <v>0</v>
      </c>
    </row>
    <row r="294" ht="15.75" customHeight="1">
      <c r="F294" s="3" t="str">
        <f>IFERROR(VLOOKUP(A294, Prices!A:B, 2, FALSE), )</f>
        <v/>
      </c>
      <c r="G294" s="3">
        <f>IFERROR(VLOOKUP(A294, Dividends!$A:$B, 2, FALSE),
       IFERROR( (VLOOKUP(A294, Dividends!$A:$C, 3, FALSE) / VLOOKUP(A294, Prices!$A:$B, 2, FALSE)) * 100,
                Inputs!$B$4*100 ))</f>
        <v>65</v>
      </c>
      <c r="H294" s="3">
        <f>IFERROR(SUMIF(Purchases!B:B, A294, Purchases!D:D), 0)</f>
        <v>0</v>
      </c>
      <c r="I294" s="3">
        <f t="shared" si="1"/>
        <v>0</v>
      </c>
      <c r="J294" s="3">
        <f t="shared" si="2"/>
        <v>0</v>
      </c>
      <c r="K294" s="3">
        <f>IF(J294&gt;0,
        J294 * IF(G294&gt;0, G294/100,
            IFERROR( VLOOKUP(A294, Dividends!$A:$C, 3, FALSE) / VLOOKUP(A294, Prices!$A:$B, 2, FALSE), Inputs!$B$4)
        ) / 12,
        0)</f>
        <v>0</v>
      </c>
      <c r="L294" s="3">
        <f t="shared" si="3"/>
        <v>0</v>
      </c>
    </row>
    <row r="295" ht="15.75" customHeight="1">
      <c r="F295" s="3" t="str">
        <f>IFERROR(VLOOKUP(A295, Prices!A:B, 2, FALSE), )</f>
        <v/>
      </c>
      <c r="G295" s="3">
        <f>IFERROR(VLOOKUP(A295, Dividends!$A:$B, 2, FALSE),
       IFERROR( (VLOOKUP(A295, Dividends!$A:$C, 3, FALSE) / VLOOKUP(A295, Prices!$A:$B, 2, FALSE)) * 100,
                Inputs!$B$4*100 ))</f>
        <v>65</v>
      </c>
      <c r="H295" s="3">
        <f>IFERROR(SUMIF(Purchases!B:B, A295, Purchases!D:D), 0)</f>
        <v>0</v>
      </c>
      <c r="I295" s="3">
        <f t="shared" si="1"/>
        <v>0</v>
      </c>
      <c r="J295" s="3">
        <f t="shared" si="2"/>
        <v>0</v>
      </c>
      <c r="K295" s="3">
        <f>IF(J295&gt;0,
        J295 * IF(G295&gt;0, G295/100,
            IFERROR( VLOOKUP(A295, Dividends!$A:$C, 3, FALSE) / VLOOKUP(A295, Prices!$A:$B, 2, FALSE), Inputs!$B$4)
        ) / 12,
        0)</f>
        <v>0</v>
      </c>
      <c r="L295" s="3">
        <f t="shared" si="3"/>
        <v>0</v>
      </c>
    </row>
    <row r="296" ht="15.75" customHeight="1">
      <c r="F296" s="3" t="str">
        <f>IFERROR(VLOOKUP(A296, Prices!A:B, 2, FALSE), )</f>
        <v/>
      </c>
      <c r="G296" s="3">
        <f>IFERROR(VLOOKUP(A296, Dividends!$A:$B, 2, FALSE),
       IFERROR( (VLOOKUP(A296, Dividends!$A:$C, 3, FALSE) / VLOOKUP(A296, Prices!$A:$B, 2, FALSE)) * 100,
                Inputs!$B$4*100 ))</f>
        <v>65</v>
      </c>
      <c r="H296" s="3">
        <f>IFERROR(SUMIF(Purchases!B:B, A296, Purchases!D:D), 0)</f>
        <v>0</v>
      </c>
      <c r="I296" s="3">
        <f t="shared" si="1"/>
        <v>0</v>
      </c>
      <c r="J296" s="3">
        <f t="shared" si="2"/>
        <v>0</v>
      </c>
      <c r="K296" s="3">
        <f>IF(J296&gt;0,
        J296 * IF(G296&gt;0, G296/100,
            IFERROR( VLOOKUP(A296, Dividends!$A:$C, 3, FALSE) / VLOOKUP(A296, Prices!$A:$B, 2, FALSE), Inputs!$B$4)
        ) / 12,
        0)</f>
        <v>0</v>
      </c>
      <c r="L296" s="3">
        <f t="shared" si="3"/>
        <v>0</v>
      </c>
    </row>
    <row r="297" ht="15.75" customHeight="1">
      <c r="F297" s="3" t="str">
        <f>IFERROR(VLOOKUP(A297, Prices!A:B, 2, FALSE), )</f>
        <v/>
      </c>
      <c r="G297" s="3">
        <f>IFERROR(VLOOKUP(A297, Dividends!$A:$B, 2, FALSE),
       IFERROR( (VLOOKUP(A297, Dividends!$A:$C, 3, FALSE) / VLOOKUP(A297, Prices!$A:$B, 2, FALSE)) * 100,
                Inputs!$B$4*100 ))</f>
        <v>65</v>
      </c>
      <c r="H297" s="3">
        <f>IFERROR(SUMIF(Purchases!B:B, A297, Purchases!D:D), 0)</f>
        <v>0</v>
      </c>
      <c r="I297" s="3">
        <f t="shared" si="1"/>
        <v>0</v>
      </c>
      <c r="J297" s="3">
        <f t="shared" si="2"/>
        <v>0</v>
      </c>
      <c r="K297" s="3">
        <f>IF(J297&gt;0,
        J297 * IF(G297&gt;0, G297/100,
            IFERROR( VLOOKUP(A297, Dividends!$A:$C, 3, FALSE) / VLOOKUP(A297, Prices!$A:$B, 2, FALSE), Inputs!$B$4)
        ) / 12,
        0)</f>
        <v>0</v>
      </c>
      <c r="L297" s="3">
        <f t="shared" si="3"/>
        <v>0</v>
      </c>
    </row>
    <row r="298" ht="15.75" customHeight="1">
      <c r="F298" s="3" t="str">
        <f>IFERROR(VLOOKUP(A298, Prices!A:B, 2, FALSE), )</f>
        <v/>
      </c>
      <c r="G298" s="3">
        <f>IFERROR(VLOOKUP(A298, Dividends!$A:$B, 2, FALSE),
       IFERROR( (VLOOKUP(A298, Dividends!$A:$C, 3, FALSE) / VLOOKUP(A298, Prices!$A:$B, 2, FALSE)) * 100,
                Inputs!$B$4*100 ))</f>
        <v>65</v>
      </c>
      <c r="H298" s="3">
        <f>IFERROR(SUMIF(Purchases!B:B, A298, Purchases!D:D), 0)</f>
        <v>0</v>
      </c>
      <c r="I298" s="3">
        <f t="shared" si="1"/>
        <v>0</v>
      </c>
      <c r="J298" s="3">
        <f t="shared" si="2"/>
        <v>0</v>
      </c>
      <c r="K298" s="3">
        <f>IF(J298&gt;0,
        J298 * IF(G298&gt;0, G298/100,
            IFERROR( VLOOKUP(A298, Dividends!$A:$C, 3, FALSE) / VLOOKUP(A298, Prices!$A:$B, 2, FALSE), Inputs!$B$4)
        ) / 12,
        0)</f>
        <v>0</v>
      </c>
      <c r="L298" s="3">
        <f t="shared" si="3"/>
        <v>0</v>
      </c>
    </row>
    <row r="299" ht="15.75" customHeight="1">
      <c r="F299" s="3" t="str">
        <f>IFERROR(VLOOKUP(A299, Prices!A:B, 2, FALSE), )</f>
        <v/>
      </c>
      <c r="G299" s="3">
        <f>IFERROR(VLOOKUP(A299, Dividends!$A:$B, 2, FALSE),
       IFERROR( (VLOOKUP(A299, Dividends!$A:$C, 3, FALSE) / VLOOKUP(A299, Prices!$A:$B, 2, FALSE)) * 100,
                Inputs!$B$4*100 ))</f>
        <v>65</v>
      </c>
      <c r="H299" s="3">
        <f>IFERROR(SUMIF(Purchases!B:B, A299, Purchases!D:D), 0)</f>
        <v>0</v>
      </c>
      <c r="I299" s="3">
        <f t="shared" si="1"/>
        <v>0</v>
      </c>
      <c r="J299" s="3">
        <f t="shared" si="2"/>
        <v>0</v>
      </c>
      <c r="K299" s="3">
        <f>IF(J299&gt;0,
        J299 * IF(G299&gt;0, G299/100,
            IFERROR( VLOOKUP(A299, Dividends!$A:$C, 3, FALSE) / VLOOKUP(A299, Prices!$A:$B, 2, FALSE), Inputs!$B$4)
        ) / 12,
        0)</f>
        <v>0</v>
      </c>
      <c r="L299" s="3">
        <f t="shared" si="3"/>
        <v>0</v>
      </c>
    </row>
    <row r="300" ht="15.75" customHeight="1">
      <c r="F300" s="3" t="str">
        <f>IFERROR(VLOOKUP(A300, Prices!A:B, 2, FALSE), )</f>
        <v/>
      </c>
      <c r="G300" s="3">
        <f>IFERROR(VLOOKUP(A300, Dividends!$A:$B, 2, FALSE),
       IFERROR( (VLOOKUP(A300, Dividends!$A:$C, 3, FALSE) / VLOOKUP(A300, Prices!$A:$B, 2, FALSE)) * 100,
                Inputs!$B$4*100 ))</f>
        <v>65</v>
      </c>
      <c r="H300" s="3">
        <f>IFERROR(SUMIF(Purchases!B:B, A300, Purchases!D:D), 0)</f>
        <v>0</v>
      </c>
      <c r="I300" s="3">
        <f t="shared" si="1"/>
        <v>0</v>
      </c>
      <c r="J300" s="3">
        <f t="shared" si="2"/>
        <v>0</v>
      </c>
      <c r="K300" s="3">
        <f>IF(J300&gt;0,
        J300 * IF(G300&gt;0, G300/100,
            IFERROR( VLOOKUP(A300, Dividends!$A:$C, 3, FALSE) / VLOOKUP(A300, Prices!$A:$B, 2, FALSE), Inputs!$B$4)
        ) / 12,
        0)</f>
        <v>0</v>
      </c>
      <c r="L300" s="3">
        <f t="shared" si="3"/>
        <v>0</v>
      </c>
    </row>
    <row r="301" ht="15.75" customHeight="1">
      <c r="F301" s="3" t="str">
        <f>IFERROR(VLOOKUP(A301, Prices!A:B, 2, FALSE), )</f>
        <v/>
      </c>
      <c r="G301" s="3">
        <f>IFERROR(VLOOKUP(A301, Dividends!$A:$B, 2, FALSE),
       IFERROR( (VLOOKUP(A301, Dividends!$A:$C, 3, FALSE) / VLOOKUP(A301, Prices!$A:$B, 2, FALSE)) * 100,
                Inputs!$B$4*100 ))</f>
        <v>65</v>
      </c>
      <c r="H301" s="3">
        <f>IFERROR(SUMIF(Purchases!B:B, A301, Purchases!D:D), 0)</f>
        <v>0</v>
      </c>
      <c r="I301" s="3">
        <f t="shared" si="1"/>
        <v>0</v>
      </c>
      <c r="J301" s="3">
        <f t="shared" si="2"/>
        <v>0</v>
      </c>
      <c r="K301" s="3">
        <f>IF(J301&gt;0,
        J301 * IF(G301&gt;0, G301/100,
            IFERROR( VLOOKUP(A301, Dividends!$A:$C, 3, FALSE) / VLOOKUP(A301, Prices!$A:$B, 2, FALSE), Inputs!$B$4)
        ) / 12,
        0)</f>
        <v>0</v>
      </c>
      <c r="L301" s="3">
        <f t="shared" si="3"/>
        <v>0</v>
      </c>
    </row>
    <row r="302" ht="15.75" customHeight="1">
      <c r="F302" s="3" t="str">
        <f>IFERROR(VLOOKUP(A302, Prices!A:B, 2, FALSE), )</f>
        <v/>
      </c>
      <c r="G302" s="3">
        <f>IFERROR(VLOOKUP(A302, Dividends!$A:$B, 2, FALSE),
       IFERROR( (VLOOKUP(A302, Dividends!$A:$C, 3, FALSE) / VLOOKUP(A302, Prices!$A:$B, 2, FALSE)) * 100,
                Inputs!$B$4*100 ))</f>
        <v>65</v>
      </c>
      <c r="H302" s="3">
        <f>IFERROR(SUMIF(Purchases!B:B, A302, Purchases!D:D), 0)</f>
        <v>0</v>
      </c>
      <c r="I302" s="3">
        <f t="shared" si="1"/>
        <v>0</v>
      </c>
      <c r="J302" s="3">
        <f t="shared" si="2"/>
        <v>0</v>
      </c>
      <c r="K302" s="3">
        <f>IF(J302&gt;0,
        J302 * IF(G302&gt;0, G302/100,
            IFERROR( VLOOKUP(A302, Dividends!$A:$C, 3, FALSE) / VLOOKUP(A302, Prices!$A:$B, 2, FALSE), Inputs!$B$4)
        ) / 12,
        0)</f>
        <v>0</v>
      </c>
      <c r="L302" s="3">
        <f t="shared" si="3"/>
        <v>0</v>
      </c>
    </row>
    <row r="303" ht="15.75" customHeight="1">
      <c r="F303" s="3" t="str">
        <f>IFERROR(VLOOKUP(A303, Prices!A:B, 2, FALSE), )</f>
        <v/>
      </c>
      <c r="G303" s="3">
        <f>IFERROR(VLOOKUP(A303, Dividends!$A:$B, 2, FALSE),
       IFERROR( (VLOOKUP(A303, Dividends!$A:$C, 3, FALSE) / VLOOKUP(A303, Prices!$A:$B, 2, FALSE)) * 100,
                Inputs!$B$4*100 ))</f>
        <v>65</v>
      </c>
      <c r="H303" s="3">
        <f>IFERROR(SUMIF(Purchases!B:B, A303, Purchases!D:D), 0)</f>
        <v>0</v>
      </c>
      <c r="I303" s="3">
        <f t="shared" si="1"/>
        <v>0</v>
      </c>
      <c r="J303" s="3">
        <f t="shared" si="2"/>
        <v>0</v>
      </c>
      <c r="K303" s="3">
        <f>IF(J303&gt;0,
        J303 * IF(G303&gt;0, G303/100,
            IFERROR( VLOOKUP(A303, Dividends!$A:$C, 3, FALSE) / VLOOKUP(A303, Prices!$A:$B, 2, FALSE), Inputs!$B$4)
        ) / 12,
        0)</f>
        <v>0</v>
      </c>
      <c r="L303" s="3">
        <f t="shared" si="3"/>
        <v>0</v>
      </c>
    </row>
    <row r="304" ht="15.75" customHeight="1">
      <c r="F304" s="3" t="str">
        <f>IFERROR(VLOOKUP(A304, Prices!A:B, 2, FALSE), )</f>
        <v/>
      </c>
      <c r="G304" s="3">
        <f>IFERROR(VLOOKUP(A304, Dividends!$A:$B, 2, FALSE),
       IFERROR( (VLOOKUP(A304, Dividends!$A:$C, 3, FALSE) / VLOOKUP(A304, Prices!$A:$B, 2, FALSE)) * 100,
                Inputs!$B$4*100 ))</f>
        <v>65</v>
      </c>
      <c r="H304" s="3">
        <f>IFERROR(SUMIF(Purchases!B:B, A304, Purchases!D:D), 0)</f>
        <v>0</v>
      </c>
      <c r="I304" s="3">
        <f t="shared" si="1"/>
        <v>0</v>
      </c>
      <c r="J304" s="3">
        <f t="shared" si="2"/>
        <v>0</v>
      </c>
      <c r="K304" s="3">
        <f>IF(J304&gt;0,
        J304 * IF(G304&gt;0, G304/100,
            IFERROR( VLOOKUP(A304, Dividends!$A:$C, 3, FALSE) / VLOOKUP(A304, Prices!$A:$B, 2, FALSE), Inputs!$B$4)
        ) / 12,
        0)</f>
        <v>0</v>
      </c>
      <c r="L304" s="3">
        <f t="shared" si="3"/>
        <v>0</v>
      </c>
    </row>
    <row r="305" ht="15.75" customHeight="1">
      <c r="F305" s="3" t="str">
        <f>IFERROR(VLOOKUP(A305, Prices!A:B, 2, FALSE), )</f>
        <v/>
      </c>
      <c r="G305" s="3">
        <f>IFERROR(VLOOKUP(A305, Dividends!$A:$B, 2, FALSE),
       IFERROR( (VLOOKUP(A305, Dividends!$A:$C, 3, FALSE) / VLOOKUP(A305, Prices!$A:$B, 2, FALSE)) * 100,
                Inputs!$B$4*100 ))</f>
        <v>65</v>
      </c>
      <c r="H305" s="3">
        <f>IFERROR(SUMIF(Purchases!B:B, A305, Purchases!D:D), 0)</f>
        <v>0</v>
      </c>
      <c r="I305" s="3">
        <f t="shared" si="1"/>
        <v>0</v>
      </c>
      <c r="J305" s="3">
        <f t="shared" si="2"/>
        <v>0</v>
      </c>
      <c r="K305" s="3">
        <f>IF(J305&gt;0,
        J305 * IF(G305&gt;0, G305/100,
            IFERROR( VLOOKUP(A305, Dividends!$A:$C, 3, FALSE) / VLOOKUP(A305, Prices!$A:$B, 2, FALSE), Inputs!$B$4)
        ) / 12,
        0)</f>
        <v>0</v>
      </c>
      <c r="L305" s="3">
        <f t="shared" si="3"/>
        <v>0</v>
      </c>
    </row>
    <row r="306" ht="15.75" customHeight="1">
      <c r="F306" s="3" t="str">
        <f>IFERROR(VLOOKUP(A306, Prices!A:B, 2, FALSE), )</f>
        <v/>
      </c>
      <c r="G306" s="3">
        <f>IFERROR(VLOOKUP(A306, Dividends!$A:$B, 2, FALSE),
       IFERROR( (VLOOKUP(A306, Dividends!$A:$C, 3, FALSE) / VLOOKUP(A306, Prices!$A:$B, 2, FALSE)) * 100,
                Inputs!$B$4*100 ))</f>
        <v>65</v>
      </c>
      <c r="H306" s="3">
        <f>IFERROR(SUMIF(Purchases!B:B, A306, Purchases!D:D), 0)</f>
        <v>0</v>
      </c>
      <c r="I306" s="3">
        <f t="shared" si="1"/>
        <v>0</v>
      </c>
      <c r="J306" s="3">
        <f t="shared" si="2"/>
        <v>0</v>
      </c>
      <c r="K306" s="3">
        <f>IF(J306&gt;0,
        J306 * IF(G306&gt;0, G306/100,
            IFERROR( VLOOKUP(A306, Dividends!$A:$C, 3, FALSE) / VLOOKUP(A306, Prices!$A:$B, 2, FALSE), Inputs!$B$4)
        ) / 12,
        0)</f>
        <v>0</v>
      </c>
      <c r="L306" s="3">
        <f t="shared" si="3"/>
        <v>0</v>
      </c>
    </row>
    <row r="307" ht="15.75" customHeight="1">
      <c r="F307" s="3" t="str">
        <f>IFERROR(VLOOKUP(A307, Prices!A:B, 2, FALSE), )</f>
        <v/>
      </c>
      <c r="G307" s="3">
        <f>IFERROR(VLOOKUP(A307, Dividends!$A:$B, 2, FALSE),
       IFERROR( (VLOOKUP(A307, Dividends!$A:$C, 3, FALSE) / VLOOKUP(A307, Prices!$A:$B, 2, FALSE)) * 100,
                Inputs!$B$4*100 ))</f>
        <v>65</v>
      </c>
      <c r="H307" s="3">
        <f>IFERROR(SUMIF(Purchases!B:B, A307, Purchases!D:D), 0)</f>
        <v>0</v>
      </c>
      <c r="I307" s="3">
        <f t="shared" si="1"/>
        <v>0</v>
      </c>
      <c r="J307" s="3">
        <f t="shared" si="2"/>
        <v>0</v>
      </c>
      <c r="K307" s="3">
        <f>IF(J307&gt;0,
        J307 * IF(G307&gt;0, G307/100,
            IFERROR( VLOOKUP(A307, Dividends!$A:$C, 3, FALSE) / VLOOKUP(A307, Prices!$A:$B, 2, FALSE), Inputs!$B$4)
        ) / 12,
        0)</f>
        <v>0</v>
      </c>
      <c r="L307" s="3">
        <f t="shared" si="3"/>
        <v>0</v>
      </c>
    </row>
    <row r="308" ht="15.75" customHeight="1">
      <c r="F308" s="3" t="str">
        <f>IFERROR(VLOOKUP(A308, Prices!A:B, 2, FALSE), )</f>
        <v/>
      </c>
      <c r="G308" s="3">
        <f>IFERROR(VLOOKUP(A308, Dividends!$A:$B, 2, FALSE),
       IFERROR( (VLOOKUP(A308, Dividends!$A:$C, 3, FALSE) / VLOOKUP(A308, Prices!$A:$B, 2, FALSE)) * 100,
                Inputs!$B$4*100 ))</f>
        <v>65</v>
      </c>
      <c r="H308" s="3">
        <f>IFERROR(SUMIF(Purchases!B:B, A308, Purchases!D:D), 0)</f>
        <v>0</v>
      </c>
      <c r="I308" s="3">
        <f t="shared" si="1"/>
        <v>0</v>
      </c>
      <c r="J308" s="3">
        <f t="shared" si="2"/>
        <v>0</v>
      </c>
      <c r="K308" s="3">
        <f>IF(J308&gt;0,
        J308 * IF(G308&gt;0, G308/100,
            IFERROR( VLOOKUP(A308, Dividends!$A:$C, 3, FALSE) / VLOOKUP(A308, Prices!$A:$B, 2, FALSE), Inputs!$B$4)
        ) / 12,
        0)</f>
        <v>0</v>
      </c>
      <c r="L308" s="3">
        <f t="shared" si="3"/>
        <v>0</v>
      </c>
    </row>
    <row r="309" ht="15.75" customHeight="1">
      <c r="F309" s="3" t="str">
        <f>IFERROR(VLOOKUP(A309, Prices!A:B, 2, FALSE), )</f>
        <v/>
      </c>
      <c r="G309" s="3">
        <f>IFERROR(VLOOKUP(A309, Dividends!$A:$B, 2, FALSE),
       IFERROR( (VLOOKUP(A309, Dividends!$A:$C, 3, FALSE) / VLOOKUP(A309, Prices!$A:$B, 2, FALSE)) * 100,
                Inputs!$B$4*100 ))</f>
        <v>65</v>
      </c>
      <c r="H309" s="3">
        <f>IFERROR(SUMIF(Purchases!B:B, A309, Purchases!D:D), 0)</f>
        <v>0</v>
      </c>
      <c r="I309" s="3">
        <f t="shared" si="1"/>
        <v>0</v>
      </c>
      <c r="J309" s="3">
        <f t="shared" si="2"/>
        <v>0</v>
      </c>
      <c r="K309" s="3">
        <f>IF(J309&gt;0,
        J309 * IF(G309&gt;0, G309/100,
            IFERROR( VLOOKUP(A309, Dividends!$A:$C, 3, FALSE) / VLOOKUP(A309, Prices!$A:$B, 2, FALSE), Inputs!$B$4)
        ) / 12,
        0)</f>
        <v>0</v>
      </c>
      <c r="L309" s="3">
        <f t="shared" si="3"/>
        <v>0</v>
      </c>
    </row>
    <row r="310" ht="15.75" customHeight="1">
      <c r="F310" s="3" t="str">
        <f>IFERROR(VLOOKUP(A310, Prices!A:B, 2, FALSE), )</f>
        <v/>
      </c>
      <c r="G310" s="3">
        <f>IFERROR(VLOOKUP(A310, Dividends!$A:$B, 2, FALSE),
       IFERROR( (VLOOKUP(A310, Dividends!$A:$C, 3, FALSE) / VLOOKUP(A310, Prices!$A:$B, 2, FALSE)) * 100,
                Inputs!$B$4*100 ))</f>
        <v>65</v>
      </c>
      <c r="H310" s="3">
        <f>IFERROR(SUMIF(Purchases!B:B, A310, Purchases!D:D), 0)</f>
        <v>0</v>
      </c>
      <c r="I310" s="3">
        <f t="shared" si="1"/>
        <v>0</v>
      </c>
      <c r="J310" s="3">
        <f t="shared" si="2"/>
        <v>0</v>
      </c>
      <c r="K310" s="3">
        <f>IF(J310&gt;0,
        J310 * IF(G310&gt;0, G310/100,
            IFERROR( VLOOKUP(A310, Dividends!$A:$C, 3, FALSE) / VLOOKUP(A310, Prices!$A:$B, 2, FALSE), Inputs!$B$4)
        ) / 12,
        0)</f>
        <v>0</v>
      </c>
      <c r="L310" s="3">
        <f t="shared" si="3"/>
        <v>0</v>
      </c>
    </row>
    <row r="311" ht="15.75" customHeight="1">
      <c r="F311" s="3" t="str">
        <f>IFERROR(VLOOKUP(A311, Prices!A:B, 2, FALSE), )</f>
        <v/>
      </c>
      <c r="G311" s="3">
        <f>IFERROR(VLOOKUP(A311, Dividends!$A:$B, 2, FALSE),
       IFERROR( (VLOOKUP(A311, Dividends!$A:$C, 3, FALSE) / VLOOKUP(A311, Prices!$A:$B, 2, FALSE)) * 100,
                Inputs!$B$4*100 ))</f>
        <v>65</v>
      </c>
      <c r="H311" s="3">
        <f>IFERROR(SUMIF(Purchases!B:B, A311, Purchases!D:D), 0)</f>
        <v>0</v>
      </c>
      <c r="I311" s="3">
        <f t="shared" si="1"/>
        <v>0</v>
      </c>
      <c r="J311" s="3">
        <f t="shared" si="2"/>
        <v>0</v>
      </c>
      <c r="K311" s="3">
        <f>IF(J311&gt;0,
        J311 * IF(G311&gt;0, G311/100,
            IFERROR( VLOOKUP(A311, Dividends!$A:$C, 3, FALSE) / VLOOKUP(A311, Prices!$A:$B, 2, FALSE), Inputs!$B$4)
        ) / 12,
        0)</f>
        <v>0</v>
      </c>
      <c r="L311" s="3">
        <f t="shared" si="3"/>
        <v>0</v>
      </c>
    </row>
    <row r="312" ht="15.75" customHeight="1">
      <c r="F312" s="3" t="str">
        <f>IFERROR(VLOOKUP(A312, Prices!A:B, 2, FALSE), )</f>
        <v/>
      </c>
      <c r="G312" s="3">
        <f>IFERROR(VLOOKUP(A312, Dividends!$A:$B, 2, FALSE),
       IFERROR( (VLOOKUP(A312, Dividends!$A:$C, 3, FALSE) / VLOOKUP(A312, Prices!$A:$B, 2, FALSE)) * 100,
                Inputs!$B$4*100 ))</f>
        <v>65</v>
      </c>
      <c r="H312" s="3">
        <f>IFERROR(SUMIF(Purchases!B:B, A312, Purchases!D:D), 0)</f>
        <v>0</v>
      </c>
      <c r="I312" s="3">
        <f t="shared" si="1"/>
        <v>0</v>
      </c>
      <c r="J312" s="3">
        <f t="shared" si="2"/>
        <v>0</v>
      </c>
      <c r="K312" s="3">
        <f>IF(J312&gt;0,
        J312 * IF(G312&gt;0, G312/100,
            IFERROR( VLOOKUP(A312, Dividends!$A:$C, 3, FALSE) / VLOOKUP(A312, Prices!$A:$B, 2, FALSE), Inputs!$B$4)
        ) / 12,
        0)</f>
        <v>0</v>
      </c>
      <c r="L312" s="3">
        <f t="shared" si="3"/>
        <v>0</v>
      </c>
    </row>
    <row r="313" ht="15.75" customHeight="1">
      <c r="F313" s="3" t="str">
        <f>IFERROR(VLOOKUP(A313, Prices!A:B, 2, FALSE), )</f>
        <v/>
      </c>
      <c r="G313" s="3">
        <f>IFERROR(VLOOKUP(A313, Dividends!$A:$B, 2, FALSE),
       IFERROR( (VLOOKUP(A313, Dividends!$A:$C, 3, FALSE) / VLOOKUP(A313, Prices!$A:$B, 2, FALSE)) * 100,
                Inputs!$B$4*100 ))</f>
        <v>65</v>
      </c>
      <c r="H313" s="3">
        <f>IFERROR(SUMIF(Purchases!B:B, A313, Purchases!D:D), 0)</f>
        <v>0</v>
      </c>
      <c r="I313" s="3">
        <f t="shared" si="1"/>
        <v>0</v>
      </c>
      <c r="J313" s="3">
        <f t="shared" si="2"/>
        <v>0</v>
      </c>
      <c r="K313" s="3">
        <f>IF(J313&gt;0,
        J313 * IF(G313&gt;0, G313/100,
            IFERROR( VLOOKUP(A313, Dividends!$A:$C, 3, FALSE) / VLOOKUP(A313, Prices!$A:$B, 2, FALSE), Inputs!$B$4)
        ) / 12,
        0)</f>
        <v>0</v>
      </c>
      <c r="L313" s="3">
        <f t="shared" si="3"/>
        <v>0</v>
      </c>
    </row>
    <row r="314" ht="15.75" customHeight="1">
      <c r="F314" s="3" t="str">
        <f>IFERROR(VLOOKUP(A314, Prices!A:B, 2, FALSE), )</f>
        <v/>
      </c>
      <c r="G314" s="3">
        <f>IFERROR(VLOOKUP(A314, Dividends!$A:$B, 2, FALSE),
       IFERROR( (VLOOKUP(A314, Dividends!$A:$C, 3, FALSE) / VLOOKUP(A314, Prices!$A:$B, 2, FALSE)) * 100,
                Inputs!$B$4*100 ))</f>
        <v>65</v>
      </c>
      <c r="H314" s="3">
        <f>IFERROR(SUMIF(Purchases!B:B, A314, Purchases!D:D), 0)</f>
        <v>0</v>
      </c>
      <c r="I314" s="3">
        <f t="shared" si="1"/>
        <v>0</v>
      </c>
      <c r="J314" s="3">
        <f t="shared" si="2"/>
        <v>0</v>
      </c>
      <c r="K314" s="3">
        <f>IF(J314&gt;0,
        J314 * IF(G314&gt;0, G314/100,
            IFERROR( VLOOKUP(A314, Dividends!$A:$C, 3, FALSE) / VLOOKUP(A314, Prices!$A:$B, 2, FALSE), Inputs!$B$4)
        ) / 12,
        0)</f>
        <v>0</v>
      </c>
      <c r="L314" s="3">
        <f t="shared" si="3"/>
        <v>0</v>
      </c>
    </row>
    <row r="315" ht="15.75" customHeight="1">
      <c r="F315" s="3" t="str">
        <f>IFERROR(VLOOKUP(A315, Prices!A:B, 2, FALSE), )</f>
        <v/>
      </c>
      <c r="G315" s="3">
        <f>IFERROR(VLOOKUP(A315, Dividends!$A:$B, 2, FALSE),
       IFERROR( (VLOOKUP(A315, Dividends!$A:$C, 3, FALSE) / VLOOKUP(A315, Prices!$A:$B, 2, FALSE)) * 100,
                Inputs!$B$4*100 ))</f>
        <v>65</v>
      </c>
      <c r="H315" s="3">
        <f>IFERROR(SUMIF(Purchases!B:B, A315, Purchases!D:D), 0)</f>
        <v>0</v>
      </c>
      <c r="I315" s="3">
        <f t="shared" si="1"/>
        <v>0</v>
      </c>
      <c r="J315" s="3">
        <f t="shared" si="2"/>
        <v>0</v>
      </c>
      <c r="K315" s="3">
        <f>IF(J315&gt;0,
        J315 * IF(G315&gt;0, G315/100,
            IFERROR( VLOOKUP(A315, Dividends!$A:$C, 3, FALSE) / VLOOKUP(A315, Prices!$A:$B, 2, FALSE), Inputs!$B$4)
        ) / 12,
        0)</f>
        <v>0</v>
      </c>
      <c r="L315" s="3">
        <f t="shared" si="3"/>
        <v>0</v>
      </c>
    </row>
    <row r="316" ht="15.75" customHeight="1">
      <c r="F316" s="3" t="str">
        <f>IFERROR(VLOOKUP(A316, Prices!A:B, 2, FALSE), )</f>
        <v/>
      </c>
      <c r="G316" s="3">
        <f>IFERROR(VLOOKUP(A316, Dividends!$A:$B, 2, FALSE),
       IFERROR( (VLOOKUP(A316, Dividends!$A:$C, 3, FALSE) / VLOOKUP(A316, Prices!$A:$B, 2, FALSE)) * 100,
                Inputs!$B$4*100 ))</f>
        <v>65</v>
      </c>
      <c r="H316" s="3">
        <f>IFERROR(SUMIF(Purchases!B:B, A316, Purchases!D:D), 0)</f>
        <v>0</v>
      </c>
      <c r="I316" s="3">
        <f t="shared" si="1"/>
        <v>0</v>
      </c>
      <c r="J316" s="3">
        <f t="shared" si="2"/>
        <v>0</v>
      </c>
      <c r="K316" s="3">
        <f>IF(J316&gt;0,
        J316 * IF(G316&gt;0, G316/100,
            IFERROR( VLOOKUP(A316, Dividends!$A:$C, 3, FALSE) / VLOOKUP(A316, Prices!$A:$B, 2, FALSE), Inputs!$B$4)
        ) / 12,
        0)</f>
        <v>0</v>
      </c>
      <c r="L316" s="3">
        <f t="shared" si="3"/>
        <v>0</v>
      </c>
    </row>
    <row r="317" ht="15.75" customHeight="1">
      <c r="F317" s="3" t="str">
        <f>IFERROR(VLOOKUP(A317, Prices!A:B, 2, FALSE), )</f>
        <v/>
      </c>
      <c r="G317" s="3">
        <f>IFERROR(VLOOKUP(A317, Dividends!$A:$B, 2, FALSE),
       IFERROR( (VLOOKUP(A317, Dividends!$A:$C, 3, FALSE) / VLOOKUP(A317, Prices!$A:$B, 2, FALSE)) * 100,
                Inputs!$B$4*100 ))</f>
        <v>65</v>
      </c>
      <c r="H317" s="3">
        <f>IFERROR(SUMIF(Purchases!B:B, A317, Purchases!D:D), 0)</f>
        <v>0</v>
      </c>
      <c r="I317" s="3">
        <f t="shared" si="1"/>
        <v>0</v>
      </c>
      <c r="J317" s="3">
        <f t="shared" si="2"/>
        <v>0</v>
      </c>
      <c r="K317" s="3">
        <f>IF(J317&gt;0,
        J317 * IF(G317&gt;0, G317/100,
            IFERROR( VLOOKUP(A317, Dividends!$A:$C, 3, FALSE) / VLOOKUP(A317, Prices!$A:$B, 2, FALSE), Inputs!$B$4)
        ) / 12,
        0)</f>
        <v>0</v>
      </c>
      <c r="L317" s="3">
        <f t="shared" si="3"/>
        <v>0</v>
      </c>
    </row>
    <row r="318" ht="15.75" customHeight="1">
      <c r="F318" s="3" t="str">
        <f>IFERROR(VLOOKUP(A318, Prices!A:B, 2, FALSE), )</f>
        <v/>
      </c>
      <c r="G318" s="3">
        <f>IFERROR(VLOOKUP(A318, Dividends!$A:$B, 2, FALSE),
       IFERROR( (VLOOKUP(A318, Dividends!$A:$C, 3, FALSE) / VLOOKUP(A318, Prices!$A:$B, 2, FALSE)) * 100,
                Inputs!$B$4*100 ))</f>
        <v>65</v>
      </c>
      <c r="H318" s="3">
        <f>IFERROR(SUMIF(Purchases!B:B, A318, Purchases!D:D), 0)</f>
        <v>0</v>
      </c>
      <c r="I318" s="3">
        <f t="shared" si="1"/>
        <v>0</v>
      </c>
      <c r="J318" s="3">
        <f t="shared" si="2"/>
        <v>0</v>
      </c>
      <c r="K318" s="3">
        <f>IF(J318&gt;0,
        J318 * IF(G318&gt;0, G318/100,
            IFERROR( VLOOKUP(A318, Dividends!$A:$C, 3, FALSE) / VLOOKUP(A318, Prices!$A:$B, 2, FALSE), Inputs!$B$4)
        ) / 12,
        0)</f>
        <v>0</v>
      </c>
      <c r="L318" s="3">
        <f t="shared" si="3"/>
        <v>0</v>
      </c>
    </row>
    <row r="319" ht="15.75" customHeight="1">
      <c r="F319" s="3" t="str">
        <f>IFERROR(VLOOKUP(A319, Prices!A:B, 2, FALSE), )</f>
        <v/>
      </c>
      <c r="G319" s="3">
        <f>IFERROR(VLOOKUP(A319, Dividends!$A:$B, 2, FALSE),
       IFERROR( (VLOOKUP(A319, Dividends!$A:$C, 3, FALSE) / VLOOKUP(A319, Prices!$A:$B, 2, FALSE)) * 100,
                Inputs!$B$4*100 ))</f>
        <v>65</v>
      </c>
      <c r="H319" s="3">
        <f>IFERROR(SUMIF(Purchases!B:B, A319, Purchases!D:D), 0)</f>
        <v>0</v>
      </c>
      <c r="I319" s="3">
        <f t="shared" si="1"/>
        <v>0</v>
      </c>
      <c r="J319" s="3">
        <f t="shared" si="2"/>
        <v>0</v>
      </c>
      <c r="K319" s="3">
        <f>IF(J319&gt;0,
        J319 * IF(G319&gt;0, G319/100,
            IFERROR( VLOOKUP(A319, Dividends!$A:$C, 3, FALSE) / VLOOKUP(A319, Prices!$A:$B, 2, FALSE), Inputs!$B$4)
        ) / 12,
        0)</f>
        <v>0</v>
      </c>
      <c r="L319" s="3">
        <f t="shared" si="3"/>
        <v>0</v>
      </c>
    </row>
    <row r="320" ht="15.75" customHeight="1">
      <c r="F320" s="3" t="str">
        <f>IFERROR(VLOOKUP(A320, Prices!A:B, 2, FALSE), )</f>
        <v/>
      </c>
      <c r="G320" s="3">
        <f>IFERROR(VLOOKUP(A320, Dividends!$A:$B, 2, FALSE),
       IFERROR( (VLOOKUP(A320, Dividends!$A:$C, 3, FALSE) / VLOOKUP(A320, Prices!$A:$B, 2, FALSE)) * 100,
                Inputs!$B$4*100 ))</f>
        <v>65</v>
      </c>
      <c r="H320" s="3">
        <f>IFERROR(SUMIF(Purchases!B:B, A320, Purchases!D:D), 0)</f>
        <v>0</v>
      </c>
      <c r="I320" s="3">
        <f t="shared" si="1"/>
        <v>0</v>
      </c>
      <c r="J320" s="3">
        <f t="shared" si="2"/>
        <v>0</v>
      </c>
      <c r="K320" s="3">
        <f>IF(J320&gt;0,
        J320 * IF(G320&gt;0, G320/100,
            IFERROR( VLOOKUP(A320, Dividends!$A:$C, 3, FALSE) / VLOOKUP(A320, Prices!$A:$B, 2, FALSE), Inputs!$B$4)
        ) / 12,
        0)</f>
        <v>0</v>
      </c>
      <c r="L320" s="3">
        <f t="shared" si="3"/>
        <v>0</v>
      </c>
    </row>
    <row r="321" ht="15.75" customHeight="1">
      <c r="F321" s="3" t="str">
        <f>IFERROR(VLOOKUP(A321, Prices!A:B, 2, FALSE), )</f>
        <v/>
      </c>
      <c r="G321" s="3">
        <f>IFERROR(VLOOKUP(A321, Dividends!$A:$B, 2, FALSE),
       IFERROR( (VLOOKUP(A321, Dividends!$A:$C, 3, FALSE) / VLOOKUP(A321, Prices!$A:$B, 2, FALSE)) * 100,
                Inputs!$B$4*100 ))</f>
        <v>65</v>
      </c>
      <c r="H321" s="3">
        <f>IFERROR(SUMIF(Purchases!B:B, A321, Purchases!D:D), 0)</f>
        <v>0</v>
      </c>
      <c r="I321" s="3">
        <f t="shared" si="1"/>
        <v>0</v>
      </c>
      <c r="J321" s="3">
        <f t="shared" si="2"/>
        <v>0</v>
      </c>
      <c r="K321" s="3">
        <f>IF(J321&gt;0,
        J321 * IF(G321&gt;0, G321/100,
            IFERROR( VLOOKUP(A321, Dividends!$A:$C, 3, FALSE) / VLOOKUP(A321, Prices!$A:$B, 2, FALSE), Inputs!$B$4)
        ) / 12,
        0)</f>
        <v>0</v>
      </c>
      <c r="L321" s="3">
        <f t="shared" si="3"/>
        <v>0</v>
      </c>
    </row>
    <row r="322" ht="15.75" customHeight="1">
      <c r="F322" s="3" t="str">
        <f>IFERROR(VLOOKUP(A322, Prices!A:B, 2, FALSE), )</f>
        <v/>
      </c>
      <c r="G322" s="3">
        <f>IFERROR(VLOOKUP(A322, Dividends!$A:$B, 2, FALSE),
       IFERROR( (VLOOKUP(A322, Dividends!$A:$C, 3, FALSE) / VLOOKUP(A322, Prices!$A:$B, 2, FALSE)) * 100,
                Inputs!$B$4*100 ))</f>
        <v>65</v>
      </c>
      <c r="H322" s="3">
        <f>IFERROR(SUMIF(Purchases!B:B, A322, Purchases!D:D), 0)</f>
        <v>0</v>
      </c>
      <c r="I322" s="3">
        <f t="shared" si="1"/>
        <v>0</v>
      </c>
      <c r="J322" s="3">
        <f t="shared" si="2"/>
        <v>0</v>
      </c>
      <c r="K322" s="3">
        <f>IF(J322&gt;0,
        J322 * IF(G322&gt;0, G322/100,
            IFERROR( VLOOKUP(A322, Dividends!$A:$C, 3, FALSE) / VLOOKUP(A322, Prices!$A:$B, 2, FALSE), Inputs!$B$4)
        ) / 12,
        0)</f>
        <v>0</v>
      </c>
      <c r="L322" s="3">
        <f t="shared" si="3"/>
        <v>0</v>
      </c>
    </row>
    <row r="323" ht="15.75" customHeight="1">
      <c r="F323" s="3" t="str">
        <f>IFERROR(VLOOKUP(A323, Prices!A:B, 2, FALSE), )</f>
        <v/>
      </c>
      <c r="G323" s="3">
        <f>IFERROR(VLOOKUP(A323, Dividends!$A:$B, 2, FALSE),
       IFERROR( (VLOOKUP(A323, Dividends!$A:$C, 3, FALSE) / VLOOKUP(A323, Prices!$A:$B, 2, FALSE)) * 100,
                Inputs!$B$4*100 ))</f>
        <v>65</v>
      </c>
      <c r="H323" s="3">
        <f>IFERROR(SUMIF(Purchases!B:B, A323, Purchases!D:D), 0)</f>
        <v>0</v>
      </c>
      <c r="I323" s="3">
        <f t="shared" si="1"/>
        <v>0</v>
      </c>
      <c r="J323" s="3">
        <f t="shared" si="2"/>
        <v>0</v>
      </c>
      <c r="K323" s="3">
        <f>IF(J323&gt;0,
        J323 * IF(G323&gt;0, G323/100,
            IFERROR( VLOOKUP(A323, Dividends!$A:$C, 3, FALSE) / VLOOKUP(A323, Prices!$A:$B, 2, FALSE), Inputs!$B$4)
        ) / 12,
        0)</f>
        <v>0</v>
      </c>
      <c r="L323" s="3">
        <f t="shared" si="3"/>
        <v>0</v>
      </c>
    </row>
    <row r="324" ht="15.75" customHeight="1">
      <c r="F324" s="3" t="str">
        <f>IFERROR(VLOOKUP(A324, Prices!A:B, 2, FALSE), )</f>
        <v/>
      </c>
      <c r="G324" s="3">
        <f>IFERROR(VLOOKUP(A324, Dividends!$A:$B, 2, FALSE),
       IFERROR( (VLOOKUP(A324, Dividends!$A:$C, 3, FALSE) / VLOOKUP(A324, Prices!$A:$B, 2, FALSE)) * 100,
                Inputs!$B$4*100 ))</f>
        <v>65</v>
      </c>
      <c r="H324" s="3">
        <f>IFERROR(SUMIF(Purchases!B:B, A324, Purchases!D:D), 0)</f>
        <v>0</v>
      </c>
      <c r="I324" s="3">
        <f t="shared" si="1"/>
        <v>0</v>
      </c>
      <c r="J324" s="3">
        <f t="shared" si="2"/>
        <v>0</v>
      </c>
      <c r="K324" s="3">
        <f>IF(J324&gt;0,
        J324 * IF(G324&gt;0, G324/100,
            IFERROR( VLOOKUP(A324, Dividends!$A:$C, 3, FALSE) / VLOOKUP(A324, Prices!$A:$B, 2, FALSE), Inputs!$B$4)
        ) / 12,
        0)</f>
        <v>0</v>
      </c>
      <c r="L324" s="3">
        <f t="shared" si="3"/>
        <v>0</v>
      </c>
    </row>
    <row r="325" ht="15.75" customHeight="1">
      <c r="F325" s="3" t="str">
        <f>IFERROR(VLOOKUP(A325, Prices!A:B, 2, FALSE), )</f>
        <v/>
      </c>
      <c r="G325" s="3">
        <f>IFERROR(VLOOKUP(A325, Dividends!$A:$B, 2, FALSE),
       IFERROR( (VLOOKUP(A325, Dividends!$A:$C, 3, FALSE) / VLOOKUP(A325, Prices!$A:$B, 2, FALSE)) * 100,
                Inputs!$B$4*100 ))</f>
        <v>65</v>
      </c>
      <c r="H325" s="3">
        <f>IFERROR(SUMIF(Purchases!B:B, A325, Purchases!D:D), 0)</f>
        <v>0</v>
      </c>
      <c r="I325" s="3">
        <f t="shared" si="1"/>
        <v>0</v>
      </c>
      <c r="J325" s="3">
        <f t="shared" si="2"/>
        <v>0</v>
      </c>
      <c r="K325" s="3">
        <f>IF(J325&gt;0,
        J325 * IF(G325&gt;0, G325/100,
            IFERROR( VLOOKUP(A325, Dividends!$A:$C, 3, FALSE) / VLOOKUP(A325, Prices!$A:$B, 2, FALSE), Inputs!$B$4)
        ) / 12,
        0)</f>
        <v>0</v>
      </c>
      <c r="L325" s="3">
        <f t="shared" si="3"/>
        <v>0</v>
      </c>
    </row>
    <row r="326" ht="15.75" customHeight="1">
      <c r="F326" s="3" t="str">
        <f>IFERROR(VLOOKUP(A326, Prices!A:B, 2, FALSE), )</f>
        <v/>
      </c>
      <c r="G326" s="3">
        <f>IFERROR(VLOOKUP(A326, Dividends!$A:$B, 2, FALSE),
       IFERROR( (VLOOKUP(A326, Dividends!$A:$C, 3, FALSE) / VLOOKUP(A326, Prices!$A:$B, 2, FALSE)) * 100,
                Inputs!$B$4*100 ))</f>
        <v>65</v>
      </c>
      <c r="H326" s="3">
        <f>IFERROR(SUMIF(Purchases!B:B, A326, Purchases!D:D), 0)</f>
        <v>0</v>
      </c>
      <c r="I326" s="3">
        <f t="shared" si="1"/>
        <v>0</v>
      </c>
      <c r="J326" s="3">
        <f t="shared" si="2"/>
        <v>0</v>
      </c>
      <c r="K326" s="3">
        <f>IF(J326&gt;0,
        J326 * IF(G326&gt;0, G326/100,
            IFERROR( VLOOKUP(A326, Dividends!$A:$C, 3, FALSE) / VLOOKUP(A326, Prices!$A:$B, 2, FALSE), Inputs!$B$4)
        ) / 12,
        0)</f>
        <v>0</v>
      </c>
      <c r="L326" s="3">
        <f t="shared" si="3"/>
        <v>0</v>
      </c>
    </row>
    <row r="327" ht="15.75" customHeight="1">
      <c r="F327" s="3" t="str">
        <f>IFERROR(VLOOKUP(A327, Prices!A:B, 2, FALSE), )</f>
        <v/>
      </c>
      <c r="G327" s="3">
        <f>IFERROR(VLOOKUP(A327, Dividends!$A:$B, 2, FALSE),
       IFERROR( (VLOOKUP(A327, Dividends!$A:$C, 3, FALSE) / VLOOKUP(A327, Prices!$A:$B, 2, FALSE)) * 100,
                Inputs!$B$4*100 ))</f>
        <v>65</v>
      </c>
      <c r="H327" s="3">
        <f>IFERROR(SUMIF(Purchases!B:B, A327, Purchases!D:D), 0)</f>
        <v>0</v>
      </c>
      <c r="I327" s="3">
        <f t="shared" si="1"/>
        <v>0</v>
      </c>
      <c r="J327" s="3">
        <f t="shared" si="2"/>
        <v>0</v>
      </c>
      <c r="K327" s="3">
        <f>IF(J327&gt;0,
        J327 * IF(G327&gt;0, G327/100,
            IFERROR( VLOOKUP(A327, Dividends!$A:$C, 3, FALSE) / VLOOKUP(A327, Prices!$A:$B, 2, FALSE), Inputs!$B$4)
        ) / 12,
        0)</f>
        <v>0</v>
      </c>
      <c r="L327" s="3">
        <f t="shared" si="3"/>
        <v>0</v>
      </c>
    </row>
    <row r="328" ht="15.75" customHeight="1">
      <c r="F328" s="3" t="str">
        <f>IFERROR(VLOOKUP(A328, Prices!A:B, 2, FALSE), )</f>
        <v/>
      </c>
      <c r="G328" s="3">
        <f>IFERROR(VLOOKUP(A328, Dividends!$A:$B, 2, FALSE),
       IFERROR( (VLOOKUP(A328, Dividends!$A:$C, 3, FALSE) / VLOOKUP(A328, Prices!$A:$B, 2, FALSE)) * 100,
                Inputs!$B$4*100 ))</f>
        <v>65</v>
      </c>
      <c r="H328" s="3">
        <f>IFERROR(SUMIF(Purchases!B:B, A328, Purchases!D:D), 0)</f>
        <v>0</v>
      </c>
      <c r="I328" s="3">
        <f t="shared" si="1"/>
        <v>0</v>
      </c>
      <c r="J328" s="3">
        <f t="shared" si="2"/>
        <v>0</v>
      </c>
      <c r="K328" s="3">
        <f>IF(J328&gt;0,
        J328 * IF(G328&gt;0, G328/100,
            IFERROR( VLOOKUP(A328, Dividends!$A:$C, 3, FALSE) / VLOOKUP(A328, Prices!$A:$B, 2, FALSE), Inputs!$B$4)
        ) / 12,
        0)</f>
        <v>0</v>
      </c>
      <c r="L328" s="3">
        <f t="shared" si="3"/>
        <v>0</v>
      </c>
    </row>
    <row r="329" ht="15.75" customHeight="1">
      <c r="F329" s="3" t="str">
        <f>IFERROR(VLOOKUP(A329, Prices!A:B, 2, FALSE), )</f>
        <v/>
      </c>
      <c r="G329" s="3">
        <f>IFERROR(VLOOKUP(A329, Dividends!$A:$B, 2, FALSE),
       IFERROR( (VLOOKUP(A329, Dividends!$A:$C, 3, FALSE) / VLOOKUP(A329, Prices!$A:$B, 2, FALSE)) * 100,
                Inputs!$B$4*100 ))</f>
        <v>65</v>
      </c>
      <c r="H329" s="3">
        <f>IFERROR(SUMIF(Purchases!B:B, A329, Purchases!D:D), 0)</f>
        <v>0</v>
      </c>
      <c r="I329" s="3">
        <f t="shared" si="1"/>
        <v>0</v>
      </c>
      <c r="J329" s="3">
        <f t="shared" si="2"/>
        <v>0</v>
      </c>
      <c r="K329" s="3">
        <f>IF(J329&gt;0,
        J329 * IF(G329&gt;0, G329/100,
            IFERROR( VLOOKUP(A329, Dividends!$A:$C, 3, FALSE) / VLOOKUP(A329, Prices!$A:$B, 2, FALSE), Inputs!$B$4)
        ) / 12,
        0)</f>
        <v>0</v>
      </c>
      <c r="L329" s="3">
        <f t="shared" si="3"/>
        <v>0</v>
      </c>
    </row>
    <row r="330" ht="15.75" customHeight="1">
      <c r="F330" s="3" t="str">
        <f>IFERROR(VLOOKUP(A330, Prices!A:B, 2, FALSE), )</f>
        <v/>
      </c>
      <c r="G330" s="3">
        <f>IFERROR(VLOOKUP(A330, Dividends!$A:$B, 2, FALSE),
       IFERROR( (VLOOKUP(A330, Dividends!$A:$C, 3, FALSE) / VLOOKUP(A330, Prices!$A:$B, 2, FALSE)) * 100,
                Inputs!$B$4*100 ))</f>
        <v>65</v>
      </c>
      <c r="H330" s="3">
        <f>IFERROR(SUMIF(Purchases!B:B, A330, Purchases!D:D), 0)</f>
        <v>0</v>
      </c>
      <c r="I330" s="3">
        <f t="shared" si="1"/>
        <v>0</v>
      </c>
      <c r="J330" s="3">
        <f t="shared" si="2"/>
        <v>0</v>
      </c>
      <c r="K330" s="3">
        <f>IF(J330&gt;0,
        J330 * IF(G330&gt;0, G330/100,
            IFERROR( VLOOKUP(A330, Dividends!$A:$C, 3, FALSE) / VLOOKUP(A330, Prices!$A:$B, 2, FALSE), Inputs!$B$4)
        ) / 12,
        0)</f>
        <v>0</v>
      </c>
      <c r="L330" s="3">
        <f t="shared" si="3"/>
        <v>0</v>
      </c>
    </row>
    <row r="331" ht="15.75" customHeight="1">
      <c r="F331" s="3" t="str">
        <f>IFERROR(VLOOKUP(A331, Prices!A:B, 2, FALSE), )</f>
        <v/>
      </c>
      <c r="G331" s="3">
        <f>IFERROR(VLOOKUP(A331, Dividends!$A:$B, 2, FALSE),
       IFERROR( (VLOOKUP(A331, Dividends!$A:$C, 3, FALSE) / VLOOKUP(A331, Prices!$A:$B, 2, FALSE)) * 100,
                Inputs!$B$4*100 ))</f>
        <v>65</v>
      </c>
      <c r="H331" s="3">
        <f>IFERROR(SUMIF(Purchases!B:B, A331, Purchases!D:D), 0)</f>
        <v>0</v>
      </c>
      <c r="I331" s="3">
        <f t="shared" si="1"/>
        <v>0</v>
      </c>
      <c r="J331" s="3">
        <f t="shared" si="2"/>
        <v>0</v>
      </c>
      <c r="K331" s="3">
        <f>IF(J331&gt;0,
        J331 * IF(G331&gt;0, G331/100,
            IFERROR( VLOOKUP(A331, Dividends!$A:$C, 3, FALSE) / VLOOKUP(A331, Prices!$A:$B, 2, FALSE), Inputs!$B$4)
        ) / 12,
        0)</f>
        <v>0</v>
      </c>
      <c r="L331" s="3">
        <f t="shared" si="3"/>
        <v>0</v>
      </c>
    </row>
    <row r="332" ht="15.75" customHeight="1">
      <c r="F332" s="3" t="str">
        <f>IFERROR(VLOOKUP(A332, Prices!A:B, 2, FALSE), )</f>
        <v/>
      </c>
      <c r="G332" s="3">
        <f>IFERROR(VLOOKUP(A332, Dividends!$A:$B, 2, FALSE),
       IFERROR( (VLOOKUP(A332, Dividends!$A:$C, 3, FALSE) / VLOOKUP(A332, Prices!$A:$B, 2, FALSE)) * 100,
                Inputs!$B$4*100 ))</f>
        <v>65</v>
      </c>
      <c r="H332" s="3">
        <f>IFERROR(SUMIF(Purchases!B:B, A332, Purchases!D:D), 0)</f>
        <v>0</v>
      </c>
      <c r="I332" s="3">
        <f t="shared" si="1"/>
        <v>0</v>
      </c>
      <c r="J332" s="3">
        <f t="shared" si="2"/>
        <v>0</v>
      </c>
      <c r="K332" s="3">
        <f>IF(J332&gt;0,
        J332 * IF(G332&gt;0, G332/100,
            IFERROR( VLOOKUP(A332, Dividends!$A:$C, 3, FALSE) / VLOOKUP(A332, Prices!$A:$B, 2, FALSE), Inputs!$B$4)
        ) / 12,
        0)</f>
        <v>0</v>
      </c>
      <c r="L332" s="3">
        <f t="shared" si="3"/>
        <v>0</v>
      </c>
    </row>
    <row r="333" ht="15.75" customHeight="1">
      <c r="F333" s="3" t="str">
        <f>IFERROR(VLOOKUP(A333, Prices!A:B, 2, FALSE), )</f>
        <v/>
      </c>
      <c r="G333" s="3">
        <f>IFERROR(VLOOKUP(A333, Dividends!$A:$B, 2, FALSE),
       IFERROR( (VLOOKUP(A333, Dividends!$A:$C, 3, FALSE) / VLOOKUP(A333, Prices!$A:$B, 2, FALSE)) * 100,
                Inputs!$B$4*100 ))</f>
        <v>65</v>
      </c>
      <c r="H333" s="3">
        <f>IFERROR(SUMIF(Purchases!B:B, A333, Purchases!D:D), 0)</f>
        <v>0</v>
      </c>
      <c r="I333" s="3">
        <f t="shared" si="1"/>
        <v>0</v>
      </c>
      <c r="J333" s="3">
        <f t="shared" si="2"/>
        <v>0</v>
      </c>
      <c r="K333" s="3">
        <f>IF(J333&gt;0,
        J333 * IF(G333&gt;0, G333/100,
            IFERROR( VLOOKUP(A333, Dividends!$A:$C, 3, FALSE) / VLOOKUP(A333, Prices!$A:$B, 2, FALSE), Inputs!$B$4)
        ) / 12,
        0)</f>
        <v>0</v>
      </c>
      <c r="L333" s="3">
        <f t="shared" si="3"/>
        <v>0</v>
      </c>
    </row>
    <row r="334" ht="15.75" customHeight="1">
      <c r="F334" s="3" t="str">
        <f>IFERROR(VLOOKUP(A334, Prices!A:B, 2, FALSE), )</f>
        <v/>
      </c>
      <c r="G334" s="3">
        <f>IFERROR(VLOOKUP(A334, Dividends!$A:$B, 2, FALSE),
       IFERROR( (VLOOKUP(A334, Dividends!$A:$C, 3, FALSE) / VLOOKUP(A334, Prices!$A:$B, 2, FALSE)) * 100,
                Inputs!$B$4*100 ))</f>
        <v>65</v>
      </c>
      <c r="H334" s="3">
        <f>IFERROR(SUMIF(Purchases!B:B, A334, Purchases!D:D), 0)</f>
        <v>0</v>
      </c>
      <c r="I334" s="3">
        <f t="shared" si="1"/>
        <v>0</v>
      </c>
      <c r="J334" s="3">
        <f t="shared" si="2"/>
        <v>0</v>
      </c>
      <c r="K334" s="3">
        <f>IF(J334&gt;0,
        J334 * IF(G334&gt;0, G334/100,
            IFERROR( VLOOKUP(A334, Dividends!$A:$C, 3, FALSE) / VLOOKUP(A334, Prices!$A:$B, 2, FALSE), Inputs!$B$4)
        ) / 12,
        0)</f>
        <v>0</v>
      </c>
      <c r="L334" s="3">
        <f t="shared" si="3"/>
        <v>0</v>
      </c>
    </row>
    <row r="335" ht="15.75" customHeight="1">
      <c r="F335" s="3" t="str">
        <f>IFERROR(VLOOKUP(A335, Prices!A:B, 2, FALSE), )</f>
        <v/>
      </c>
      <c r="G335" s="3">
        <f>IFERROR(VLOOKUP(A335, Dividends!$A:$B, 2, FALSE),
       IFERROR( (VLOOKUP(A335, Dividends!$A:$C, 3, FALSE) / VLOOKUP(A335, Prices!$A:$B, 2, FALSE)) * 100,
                Inputs!$B$4*100 ))</f>
        <v>65</v>
      </c>
      <c r="H335" s="3">
        <f>IFERROR(SUMIF(Purchases!B:B, A335, Purchases!D:D), 0)</f>
        <v>0</v>
      </c>
      <c r="I335" s="3">
        <f t="shared" si="1"/>
        <v>0</v>
      </c>
      <c r="J335" s="3">
        <f t="shared" si="2"/>
        <v>0</v>
      </c>
      <c r="K335" s="3">
        <f>IF(J335&gt;0,
        J335 * IF(G335&gt;0, G335/100,
            IFERROR( VLOOKUP(A335, Dividends!$A:$C, 3, FALSE) / VLOOKUP(A335, Prices!$A:$B, 2, FALSE), Inputs!$B$4)
        ) / 12,
        0)</f>
        <v>0</v>
      </c>
      <c r="L335" s="3">
        <f t="shared" si="3"/>
        <v>0</v>
      </c>
    </row>
    <row r="336" ht="15.75" customHeight="1">
      <c r="F336" s="3" t="str">
        <f>IFERROR(VLOOKUP(A336, Prices!A:B, 2, FALSE), )</f>
        <v/>
      </c>
      <c r="G336" s="3">
        <f>IFERROR(VLOOKUP(A336, Dividends!$A:$B, 2, FALSE),
       IFERROR( (VLOOKUP(A336, Dividends!$A:$C, 3, FALSE) / VLOOKUP(A336, Prices!$A:$B, 2, FALSE)) * 100,
                Inputs!$B$4*100 ))</f>
        <v>65</v>
      </c>
      <c r="H336" s="3">
        <f>IFERROR(SUMIF(Purchases!B:B, A336, Purchases!D:D), 0)</f>
        <v>0</v>
      </c>
      <c r="I336" s="3">
        <f t="shared" si="1"/>
        <v>0</v>
      </c>
      <c r="J336" s="3">
        <f t="shared" si="2"/>
        <v>0</v>
      </c>
      <c r="K336" s="3">
        <f>IF(J336&gt;0,
        J336 * IF(G336&gt;0, G336/100,
            IFERROR( VLOOKUP(A336, Dividends!$A:$C, 3, FALSE) / VLOOKUP(A336, Prices!$A:$B, 2, FALSE), Inputs!$B$4)
        ) / 12,
        0)</f>
        <v>0</v>
      </c>
      <c r="L336" s="3">
        <f t="shared" si="3"/>
        <v>0</v>
      </c>
    </row>
    <row r="337" ht="15.75" customHeight="1">
      <c r="F337" s="3" t="str">
        <f>IFERROR(VLOOKUP(A337, Prices!A:B, 2, FALSE), )</f>
        <v/>
      </c>
      <c r="G337" s="3">
        <f>IFERROR(VLOOKUP(A337, Dividends!$A:$B, 2, FALSE),
       IFERROR( (VLOOKUP(A337, Dividends!$A:$C, 3, FALSE) / VLOOKUP(A337, Prices!$A:$B, 2, FALSE)) * 100,
                Inputs!$B$4*100 ))</f>
        <v>65</v>
      </c>
      <c r="H337" s="3">
        <f>IFERROR(SUMIF(Purchases!B:B, A337, Purchases!D:D), 0)</f>
        <v>0</v>
      </c>
      <c r="I337" s="3">
        <f t="shared" si="1"/>
        <v>0</v>
      </c>
      <c r="J337" s="3">
        <f t="shared" si="2"/>
        <v>0</v>
      </c>
      <c r="K337" s="3">
        <f>IF(J337&gt;0,
        J337 * IF(G337&gt;0, G337/100,
            IFERROR( VLOOKUP(A337, Dividends!$A:$C, 3, FALSE) / VLOOKUP(A337, Prices!$A:$B, 2, FALSE), Inputs!$B$4)
        ) / 12,
        0)</f>
        <v>0</v>
      </c>
      <c r="L337" s="3">
        <f t="shared" si="3"/>
        <v>0</v>
      </c>
    </row>
    <row r="338" ht="15.75" customHeight="1">
      <c r="F338" s="3" t="str">
        <f>IFERROR(VLOOKUP(A338, Prices!A:B, 2, FALSE), )</f>
        <v/>
      </c>
      <c r="G338" s="3">
        <f>IFERROR(VLOOKUP(A338, Dividends!$A:$B, 2, FALSE),
       IFERROR( (VLOOKUP(A338, Dividends!$A:$C, 3, FALSE) / VLOOKUP(A338, Prices!$A:$B, 2, FALSE)) * 100,
                Inputs!$B$4*100 ))</f>
        <v>65</v>
      </c>
      <c r="H338" s="3">
        <f>IFERROR(SUMIF(Purchases!B:B, A338, Purchases!D:D), 0)</f>
        <v>0</v>
      </c>
      <c r="I338" s="3">
        <f t="shared" si="1"/>
        <v>0</v>
      </c>
      <c r="J338" s="3">
        <f t="shared" si="2"/>
        <v>0</v>
      </c>
      <c r="K338" s="3">
        <f>IF(J338&gt;0,
        J338 * IF(G338&gt;0, G338/100,
            IFERROR( VLOOKUP(A338, Dividends!$A:$C, 3, FALSE) / VLOOKUP(A338, Prices!$A:$B, 2, FALSE), Inputs!$B$4)
        ) / 12,
        0)</f>
        <v>0</v>
      </c>
      <c r="L338" s="3">
        <f t="shared" si="3"/>
        <v>0</v>
      </c>
    </row>
    <row r="339" ht="15.75" customHeight="1">
      <c r="F339" s="3" t="str">
        <f>IFERROR(VLOOKUP(A339, Prices!A:B, 2, FALSE), )</f>
        <v/>
      </c>
      <c r="G339" s="3">
        <f>IFERROR(VLOOKUP(A339, Dividends!$A:$B, 2, FALSE),
       IFERROR( (VLOOKUP(A339, Dividends!$A:$C, 3, FALSE) / VLOOKUP(A339, Prices!$A:$B, 2, FALSE)) * 100,
                Inputs!$B$4*100 ))</f>
        <v>65</v>
      </c>
      <c r="H339" s="3">
        <f>IFERROR(SUMIF(Purchases!B:B, A339, Purchases!D:D), 0)</f>
        <v>0</v>
      </c>
      <c r="I339" s="3">
        <f t="shared" si="1"/>
        <v>0</v>
      </c>
      <c r="J339" s="3">
        <f t="shared" si="2"/>
        <v>0</v>
      </c>
      <c r="K339" s="3">
        <f>IF(J339&gt;0,
        J339 * IF(G339&gt;0, G339/100,
            IFERROR( VLOOKUP(A339, Dividends!$A:$C, 3, FALSE) / VLOOKUP(A339, Prices!$A:$B, 2, FALSE), Inputs!$B$4)
        ) / 12,
        0)</f>
        <v>0</v>
      </c>
      <c r="L339" s="3">
        <f t="shared" si="3"/>
        <v>0</v>
      </c>
    </row>
    <row r="340" ht="15.75" customHeight="1">
      <c r="F340" s="3" t="str">
        <f>IFERROR(VLOOKUP(A340, Prices!A:B, 2, FALSE), )</f>
        <v/>
      </c>
      <c r="G340" s="3">
        <f>IFERROR(VLOOKUP(A340, Dividends!$A:$B, 2, FALSE),
       IFERROR( (VLOOKUP(A340, Dividends!$A:$C, 3, FALSE) / VLOOKUP(A340, Prices!$A:$B, 2, FALSE)) * 100,
                Inputs!$B$4*100 ))</f>
        <v>65</v>
      </c>
      <c r="H340" s="3">
        <f>IFERROR(SUMIF(Purchases!B:B, A340, Purchases!D:D), 0)</f>
        <v>0</v>
      </c>
      <c r="I340" s="3">
        <f t="shared" si="1"/>
        <v>0</v>
      </c>
      <c r="J340" s="3">
        <f t="shared" si="2"/>
        <v>0</v>
      </c>
      <c r="K340" s="3">
        <f>IF(J340&gt;0,
        J340 * IF(G340&gt;0, G340/100,
            IFERROR( VLOOKUP(A340, Dividends!$A:$C, 3, FALSE) / VLOOKUP(A340, Prices!$A:$B, 2, FALSE), Inputs!$B$4)
        ) / 12,
        0)</f>
        <v>0</v>
      </c>
      <c r="L340" s="3">
        <f t="shared" si="3"/>
        <v>0</v>
      </c>
    </row>
    <row r="341" ht="15.75" customHeight="1">
      <c r="F341" s="3" t="str">
        <f>IFERROR(VLOOKUP(A341, Prices!A:B, 2, FALSE), )</f>
        <v/>
      </c>
      <c r="G341" s="3">
        <f>IFERROR(VLOOKUP(A341, Dividends!$A:$B, 2, FALSE),
       IFERROR( (VLOOKUP(A341, Dividends!$A:$C, 3, FALSE) / VLOOKUP(A341, Prices!$A:$B, 2, FALSE)) * 100,
                Inputs!$B$4*100 ))</f>
        <v>65</v>
      </c>
      <c r="H341" s="3">
        <f>IFERROR(SUMIF(Purchases!B:B, A341, Purchases!D:D), 0)</f>
        <v>0</v>
      </c>
      <c r="I341" s="3">
        <f t="shared" si="1"/>
        <v>0</v>
      </c>
      <c r="J341" s="3">
        <f t="shared" si="2"/>
        <v>0</v>
      </c>
      <c r="K341" s="3">
        <f>IF(J341&gt;0,
        J341 * IF(G341&gt;0, G341/100,
            IFERROR( VLOOKUP(A341, Dividends!$A:$C, 3, FALSE) / VLOOKUP(A341, Prices!$A:$B, 2, FALSE), Inputs!$B$4)
        ) / 12,
        0)</f>
        <v>0</v>
      </c>
      <c r="L341" s="3">
        <f t="shared" si="3"/>
        <v>0</v>
      </c>
    </row>
    <row r="342" ht="15.75" customHeight="1">
      <c r="F342" s="3" t="str">
        <f>IFERROR(VLOOKUP(A342, Prices!A:B, 2, FALSE), )</f>
        <v/>
      </c>
      <c r="G342" s="3">
        <f>IFERROR(VLOOKUP(A342, Dividends!$A:$B, 2, FALSE),
       IFERROR( (VLOOKUP(A342, Dividends!$A:$C, 3, FALSE) / VLOOKUP(A342, Prices!$A:$B, 2, FALSE)) * 100,
                Inputs!$B$4*100 ))</f>
        <v>65</v>
      </c>
      <c r="H342" s="3">
        <f>IFERROR(SUMIF(Purchases!B:B, A342, Purchases!D:D), 0)</f>
        <v>0</v>
      </c>
      <c r="I342" s="3">
        <f t="shared" si="1"/>
        <v>0</v>
      </c>
      <c r="J342" s="3">
        <f t="shared" si="2"/>
        <v>0</v>
      </c>
      <c r="K342" s="3">
        <f>IF(J342&gt;0,
        J342 * IF(G342&gt;0, G342/100,
            IFERROR( VLOOKUP(A342, Dividends!$A:$C, 3, FALSE) / VLOOKUP(A342, Prices!$A:$B, 2, FALSE), Inputs!$B$4)
        ) / 12,
        0)</f>
        <v>0</v>
      </c>
      <c r="L342" s="3">
        <f t="shared" si="3"/>
        <v>0</v>
      </c>
    </row>
    <row r="343" ht="15.75" customHeight="1">
      <c r="F343" s="3" t="str">
        <f>IFERROR(VLOOKUP(A343, Prices!A:B, 2, FALSE), )</f>
        <v/>
      </c>
      <c r="G343" s="3">
        <f>IFERROR(VLOOKUP(A343, Dividends!$A:$B, 2, FALSE),
       IFERROR( (VLOOKUP(A343, Dividends!$A:$C, 3, FALSE) / VLOOKUP(A343, Prices!$A:$B, 2, FALSE)) * 100,
                Inputs!$B$4*100 ))</f>
        <v>65</v>
      </c>
      <c r="H343" s="3">
        <f>IFERROR(SUMIF(Purchases!B:B, A343, Purchases!D:D), 0)</f>
        <v>0</v>
      </c>
      <c r="I343" s="3">
        <f t="shared" si="1"/>
        <v>0</v>
      </c>
      <c r="J343" s="3">
        <f t="shared" si="2"/>
        <v>0</v>
      </c>
      <c r="K343" s="3">
        <f>IF(J343&gt;0,
        J343 * IF(G343&gt;0, G343/100,
            IFERROR( VLOOKUP(A343, Dividends!$A:$C, 3, FALSE) / VLOOKUP(A343, Prices!$A:$B, 2, FALSE), Inputs!$B$4)
        ) / 12,
        0)</f>
        <v>0</v>
      </c>
      <c r="L343" s="3">
        <f t="shared" si="3"/>
        <v>0</v>
      </c>
    </row>
    <row r="344" ht="15.75" customHeight="1">
      <c r="F344" s="3" t="str">
        <f>IFERROR(VLOOKUP(A344, Prices!A:B, 2, FALSE), )</f>
        <v/>
      </c>
      <c r="G344" s="3">
        <f>IFERROR(VLOOKUP(A344, Dividends!$A:$B, 2, FALSE),
       IFERROR( (VLOOKUP(A344, Dividends!$A:$C, 3, FALSE) / VLOOKUP(A344, Prices!$A:$B, 2, FALSE)) * 100,
                Inputs!$B$4*100 ))</f>
        <v>65</v>
      </c>
      <c r="H344" s="3">
        <f>IFERROR(SUMIF(Purchases!B:B, A344, Purchases!D:D), 0)</f>
        <v>0</v>
      </c>
      <c r="I344" s="3">
        <f t="shared" si="1"/>
        <v>0</v>
      </c>
      <c r="J344" s="3">
        <f t="shared" si="2"/>
        <v>0</v>
      </c>
      <c r="K344" s="3">
        <f>IF(J344&gt;0,
        J344 * IF(G344&gt;0, G344/100,
            IFERROR( VLOOKUP(A344, Dividends!$A:$C, 3, FALSE) / VLOOKUP(A344, Prices!$A:$B, 2, FALSE), Inputs!$B$4)
        ) / 12,
        0)</f>
        <v>0</v>
      </c>
      <c r="L344" s="3">
        <f t="shared" si="3"/>
        <v>0</v>
      </c>
    </row>
    <row r="345" ht="15.75" customHeight="1">
      <c r="F345" s="3" t="str">
        <f>IFERROR(VLOOKUP(A345, Prices!A:B, 2, FALSE), )</f>
        <v/>
      </c>
      <c r="G345" s="3">
        <f>IFERROR(VLOOKUP(A345, Dividends!$A:$B, 2, FALSE),
       IFERROR( (VLOOKUP(A345, Dividends!$A:$C, 3, FALSE) / VLOOKUP(A345, Prices!$A:$B, 2, FALSE)) * 100,
                Inputs!$B$4*100 ))</f>
        <v>65</v>
      </c>
      <c r="H345" s="3">
        <f>IFERROR(SUMIF(Purchases!B:B, A345, Purchases!D:D), 0)</f>
        <v>0</v>
      </c>
      <c r="I345" s="3">
        <f t="shared" si="1"/>
        <v>0</v>
      </c>
      <c r="J345" s="3">
        <f t="shared" si="2"/>
        <v>0</v>
      </c>
      <c r="K345" s="3">
        <f>IF(J345&gt;0,
        J345 * IF(G345&gt;0, G345/100,
            IFERROR( VLOOKUP(A345, Dividends!$A:$C, 3, FALSE) / VLOOKUP(A345, Prices!$A:$B, 2, FALSE), Inputs!$B$4)
        ) / 12,
        0)</f>
        <v>0</v>
      </c>
      <c r="L345" s="3">
        <f t="shared" si="3"/>
        <v>0</v>
      </c>
    </row>
    <row r="346" ht="15.75" customHeight="1">
      <c r="F346" s="3" t="str">
        <f>IFERROR(VLOOKUP(A346, Prices!A:B, 2, FALSE), )</f>
        <v/>
      </c>
      <c r="G346" s="3">
        <f>IFERROR(VLOOKUP(A346, Dividends!$A:$B, 2, FALSE),
       IFERROR( (VLOOKUP(A346, Dividends!$A:$C, 3, FALSE) / VLOOKUP(A346, Prices!$A:$B, 2, FALSE)) * 100,
                Inputs!$B$4*100 ))</f>
        <v>65</v>
      </c>
      <c r="H346" s="3">
        <f>IFERROR(SUMIF(Purchases!B:B, A346, Purchases!D:D), 0)</f>
        <v>0</v>
      </c>
      <c r="I346" s="3">
        <f t="shared" si="1"/>
        <v>0</v>
      </c>
      <c r="J346" s="3">
        <f t="shared" si="2"/>
        <v>0</v>
      </c>
      <c r="K346" s="3">
        <f>IF(J346&gt;0,
        J346 * IF(G346&gt;0, G346/100,
            IFERROR( VLOOKUP(A346, Dividends!$A:$C, 3, FALSE) / VLOOKUP(A346, Prices!$A:$B, 2, FALSE), Inputs!$B$4)
        ) / 12,
        0)</f>
        <v>0</v>
      </c>
      <c r="L346" s="3">
        <f t="shared" si="3"/>
        <v>0</v>
      </c>
    </row>
    <row r="347" ht="15.75" customHeight="1">
      <c r="F347" s="3" t="str">
        <f>IFERROR(VLOOKUP(A347, Prices!A:B, 2, FALSE), )</f>
        <v/>
      </c>
      <c r="G347" s="3">
        <f>IFERROR(VLOOKUP(A347, Dividends!$A:$B, 2, FALSE),
       IFERROR( (VLOOKUP(A347, Dividends!$A:$C, 3, FALSE) / VLOOKUP(A347, Prices!$A:$B, 2, FALSE)) * 100,
                Inputs!$B$4*100 ))</f>
        <v>65</v>
      </c>
      <c r="H347" s="3">
        <f>IFERROR(SUMIF(Purchases!B:B, A347, Purchases!D:D), 0)</f>
        <v>0</v>
      </c>
      <c r="I347" s="3">
        <f t="shared" si="1"/>
        <v>0</v>
      </c>
      <c r="J347" s="3">
        <f t="shared" si="2"/>
        <v>0</v>
      </c>
      <c r="K347" s="3">
        <f>IF(J347&gt;0,
        J347 * IF(G347&gt;0, G347/100,
            IFERROR( VLOOKUP(A347, Dividends!$A:$C, 3, FALSE) / VLOOKUP(A347, Prices!$A:$B, 2, FALSE), Inputs!$B$4)
        ) / 12,
        0)</f>
        <v>0</v>
      </c>
      <c r="L347" s="3">
        <f t="shared" si="3"/>
        <v>0</v>
      </c>
    </row>
    <row r="348" ht="15.75" customHeight="1">
      <c r="F348" s="3" t="str">
        <f>IFERROR(VLOOKUP(A348, Prices!A:B, 2, FALSE), )</f>
        <v/>
      </c>
      <c r="G348" s="3">
        <f>IFERROR(VLOOKUP(A348, Dividends!$A:$B, 2, FALSE),
       IFERROR( (VLOOKUP(A348, Dividends!$A:$C, 3, FALSE) / VLOOKUP(A348, Prices!$A:$B, 2, FALSE)) * 100,
                Inputs!$B$4*100 ))</f>
        <v>65</v>
      </c>
      <c r="H348" s="3">
        <f>IFERROR(SUMIF(Purchases!B:B, A348, Purchases!D:D), 0)</f>
        <v>0</v>
      </c>
      <c r="I348" s="3">
        <f t="shared" si="1"/>
        <v>0</v>
      </c>
      <c r="J348" s="3">
        <f t="shared" si="2"/>
        <v>0</v>
      </c>
      <c r="K348" s="3">
        <f>IF(J348&gt;0,
        J348 * IF(G348&gt;0, G348/100,
            IFERROR( VLOOKUP(A348, Dividends!$A:$C, 3, FALSE) / VLOOKUP(A348, Prices!$A:$B, 2, FALSE), Inputs!$B$4)
        ) / 12,
        0)</f>
        <v>0</v>
      </c>
      <c r="L348" s="3">
        <f t="shared" si="3"/>
        <v>0</v>
      </c>
    </row>
    <row r="349" ht="15.75" customHeight="1">
      <c r="F349" s="3" t="str">
        <f>IFERROR(VLOOKUP(A349, Prices!A:B, 2, FALSE), )</f>
        <v/>
      </c>
      <c r="G349" s="3">
        <f>IFERROR(VLOOKUP(A349, Dividends!$A:$B, 2, FALSE),
       IFERROR( (VLOOKUP(A349, Dividends!$A:$C, 3, FALSE) / VLOOKUP(A349, Prices!$A:$B, 2, FALSE)) * 100,
                Inputs!$B$4*100 ))</f>
        <v>65</v>
      </c>
      <c r="H349" s="3">
        <f>IFERROR(SUMIF(Purchases!B:B, A349, Purchases!D:D), 0)</f>
        <v>0</v>
      </c>
      <c r="I349" s="3">
        <f t="shared" si="1"/>
        <v>0</v>
      </c>
      <c r="J349" s="3">
        <f t="shared" si="2"/>
        <v>0</v>
      </c>
      <c r="K349" s="3">
        <f>IF(J349&gt;0,
        J349 * IF(G349&gt;0, G349/100,
            IFERROR( VLOOKUP(A349, Dividends!$A:$C, 3, FALSE) / VLOOKUP(A349, Prices!$A:$B, 2, FALSE), Inputs!$B$4)
        ) / 12,
        0)</f>
        <v>0</v>
      </c>
      <c r="L349" s="3">
        <f t="shared" si="3"/>
        <v>0</v>
      </c>
    </row>
    <row r="350" ht="15.75" customHeight="1">
      <c r="F350" s="3" t="str">
        <f>IFERROR(VLOOKUP(A350, Prices!A:B, 2, FALSE), )</f>
        <v/>
      </c>
      <c r="G350" s="3">
        <f>IFERROR(VLOOKUP(A350, Dividends!$A:$B, 2, FALSE),
       IFERROR( (VLOOKUP(A350, Dividends!$A:$C, 3, FALSE) / VLOOKUP(A350, Prices!$A:$B, 2, FALSE)) * 100,
                Inputs!$B$4*100 ))</f>
        <v>65</v>
      </c>
      <c r="H350" s="3">
        <f>IFERROR(SUMIF(Purchases!B:B, A350, Purchases!D:D), 0)</f>
        <v>0</v>
      </c>
      <c r="I350" s="3">
        <f t="shared" si="1"/>
        <v>0</v>
      </c>
      <c r="J350" s="3">
        <f t="shared" si="2"/>
        <v>0</v>
      </c>
      <c r="K350" s="3">
        <f>IF(J350&gt;0,
        J350 * IF(G350&gt;0, G350/100,
            IFERROR( VLOOKUP(A350, Dividends!$A:$C, 3, FALSE) / VLOOKUP(A350, Prices!$A:$B, 2, FALSE), Inputs!$B$4)
        ) / 12,
        0)</f>
        <v>0</v>
      </c>
      <c r="L350" s="3">
        <f t="shared" si="3"/>
        <v>0</v>
      </c>
    </row>
    <row r="351" ht="15.75" customHeight="1">
      <c r="F351" s="3" t="str">
        <f>IFERROR(VLOOKUP(A351, Prices!A:B, 2, FALSE), )</f>
        <v/>
      </c>
      <c r="G351" s="3">
        <f>IFERROR(VLOOKUP(A351, Dividends!$A:$B, 2, FALSE),
       IFERROR( (VLOOKUP(A351, Dividends!$A:$C, 3, FALSE) / VLOOKUP(A351, Prices!$A:$B, 2, FALSE)) * 100,
                Inputs!$B$4*100 ))</f>
        <v>65</v>
      </c>
      <c r="H351" s="3">
        <f>IFERROR(SUMIF(Purchases!B:B, A351, Purchases!D:D), 0)</f>
        <v>0</v>
      </c>
      <c r="I351" s="3">
        <f t="shared" si="1"/>
        <v>0</v>
      </c>
      <c r="J351" s="3">
        <f t="shared" si="2"/>
        <v>0</v>
      </c>
      <c r="K351" s="3">
        <f>IF(J351&gt;0,
        J351 * IF(G351&gt;0, G351/100,
            IFERROR( VLOOKUP(A351, Dividends!$A:$C, 3, FALSE) / VLOOKUP(A351, Prices!$A:$B, 2, FALSE), Inputs!$B$4)
        ) / 12,
        0)</f>
        <v>0</v>
      </c>
      <c r="L351" s="3">
        <f t="shared" si="3"/>
        <v>0</v>
      </c>
    </row>
    <row r="352" ht="15.75" customHeight="1">
      <c r="F352" s="3" t="str">
        <f>IFERROR(VLOOKUP(A352, Prices!A:B, 2, FALSE), )</f>
        <v/>
      </c>
      <c r="G352" s="3">
        <f>IFERROR(VLOOKUP(A352, Dividends!$A:$B, 2, FALSE),
       IFERROR( (VLOOKUP(A352, Dividends!$A:$C, 3, FALSE) / VLOOKUP(A352, Prices!$A:$B, 2, FALSE)) * 100,
                Inputs!$B$4*100 ))</f>
        <v>65</v>
      </c>
      <c r="H352" s="3">
        <f>IFERROR(SUMIF(Purchases!B:B, A352, Purchases!D:D), 0)</f>
        <v>0</v>
      </c>
      <c r="I352" s="3">
        <f t="shared" si="1"/>
        <v>0</v>
      </c>
      <c r="J352" s="3">
        <f t="shared" si="2"/>
        <v>0</v>
      </c>
      <c r="K352" s="3">
        <f>IF(J352&gt;0,
        J352 * IF(G352&gt;0, G352/100,
            IFERROR( VLOOKUP(A352, Dividends!$A:$C, 3, FALSE) / VLOOKUP(A352, Prices!$A:$B, 2, FALSE), Inputs!$B$4)
        ) / 12,
        0)</f>
        <v>0</v>
      </c>
      <c r="L352" s="3">
        <f t="shared" si="3"/>
        <v>0</v>
      </c>
    </row>
    <row r="353" ht="15.75" customHeight="1">
      <c r="F353" s="3" t="str">
        <f>IFERROR(VLOOKUP(A353, Prices!A:B, 2, FALSE), )</f>
        <v/>
      </c>
      <c r="G353" s="3">
        <f>IFERROR(VLOOKUP(A353, Dividends!$A:$B, 2, FALSE),
       IFERROR( (VLOOKUP(A353, Dividends!$A:$C, 3, FALSE) / VLOOKUP(A353, Prices!$A:$B, 2, FALSE)) * 100,
                Inputs!$B$4*100 ))</f>
        <v>65</v>
      </c>
      <c r="H353" s="3">
        <f>IFERROR(SUMIF(Purchases!B:B, A353, Purchases!D:D), 0)</f>
        <v>0</v>
      </c>
      <c r="I353" s="3">
        <f t="shared" si="1"/>
        <v>0</v>
      </c>
      <c r="J353" s="3">
        <f t="shared" si="2"/>
        <v>0</v>
      </c>
      <c r="K353" s="3">
        <f>IF(J353&gt;0,
        J353 * IF(G353&gt;0, G353/100,
            IFERROR( VLOOKUP(A353, Dividends!$A:$C, 3, FALSE) / VLOOKUP(A353, Prices!$A:$B, 2, FALSE), Inputs!$B$4)
        ) / 12,
        0)</f>
        <v>0</v>
      </c>
      <c r="L353" s="3">
        <f t="shared" si="3"/>
        <v>0</v>
      </c>
    </row>
    <row r="354" ht="15.75" customHeight="1">
      <c r="F354" s="3" t="str">
        <f>IFERROR(VLOOKUP(A354, Prices!A:B, 2, FALSE), )</f>
        <v/>
      </c>
      <c r="G354" s="3">
        <f>IFERROR(VLOOKUP(A354, Dividends!$A:$B, 2, FALSE),
       IFERROR( (VLOOKUP(A354, Dividends!$A:$C, 3, FALSE) / VLOOKUP(A354, Prices!$A:$B, 2, FALSE)) * 100,
                Inputs!$B$4*100 ))</f>
        <v>65</v>
      </c>
      <c r="H354" s="3">
        <f>IFERROR(SUMIF(Purchases!B:B, A354, Purchases!D:D), 0)</f>
        <v>0</v>
      </c>
      <c r="I354" s="3">
        <f t="shared" si="1"/>
        <v>0</v>
      </c>
      <c r="J354" s="3">
        <f t="shared" si="2"/>
        <v>0</v>
      </c>
      <c r="K354" s="3">
        <f>IF(J354&gt;0,
        J354 * IF(G354&gt;0, G354/100,
            IFERROR( VLOOKUP(A354, Dividends!$A:$C, 3, FALSE) / VLOOKUP(A354, Prices!$A:$B, 2, FALSE), Inputs!$B$4)
        ) / 12,
        0)</f>
        <v>0</v>
      </c>
      <c r="L354" s="3">
        <f t="shared" si="3"/>
        <v>0</v>
      </c>
    </row>
    <row r="355" ht="15.75" customHeight="1">
      <c r="F355" s="3" t="str">
        <f>IFERROR(VLOOKUP(A355, Prices!A:B, 2, FALSE), )</f>
        <v/>
      </c>
      <c r="G355" s="3">
        <f>IFERROR(VLOOKUP(A355, Dividends!$A:$B, 2, FALSE),
       IFERROR( (VLOOKUP(A355, Dividends!$A:$C, 3, FALSE) / VLOOKUP(A355, Prices!$A:$B, 2, FALSE)) * 100,
                Inputs!$B$4*100 ))</f>
        <v>65</v>
      </c>
      <c r="H355" s="3">
        <f>IFERROR(SUMIF(Purchases!B:B, A355, Purchases!D:D), 0)</f>
        <v>0</v>
      </c>
      <c r="I355" s="3">
        <f t="shared" si="1"/>
        <v>0</v>
      </c>
      <c r="J355" s="3">
        <f t="shared" si="2"/>
        <v>0</v>
      </c>
      <c r="K355" s="3">
        <f>IF(J355&gt;0,
        J355 * IF(G355&gt;0, G355/100,
            IFERROR( VLOOKUP(A355, Dividends!$A:$C, 3, FALSE) / VLOOKUP(A355, Prices!$A:$B, 2, FALSE), Inputs!$B$4)
        ) / 12,
        0)</f>
        <v>0</v>
      </c>
      <c r="L355" s="3">
        <f t="shared" si="3"/>
        <v>0</v>
      </c>
    </row>
    <row r="356" ht="15.75" customHeight="1">
      <c r="F356" s="3" t="str">
        <f>IFERROR(VLOOKUP(A356, Prices!A:B, 2, FALSE), )</f>
        <v/>
      </c>
      <c r="G356" s="3">
        <f>IFERROR(VLOOKUP(A356, Dividends!$A:$B, 2, FALSE),
       IFERROR( (VLOOKUP(A356, Dividends!$A:$C, 3, FALSE) / VLOOKUP(A356, Prices!$A:$B, 2, FALSE)) * 100,
                Inputs!$B$4*100 ))</f>
        <v>65</v>
      </c>
      <c r="H356" s="3">
        <f>IFERROR(SUMIF(Purchases!B:B, A356, Purchases!D:D), 0)</f>
        <v>0</v>
      </c>
      <c r="I356" s="3">
        <f t="shared" si="1"/>
        <v>0</v>
      </c>
      <c r="J356" s="3">
        <f t="shared" si="2"/>
        <v>0</v>
      </c>
      <c r="K356" s="3">
        <f>IF(J356&gt;0,
        J356 * IF(G356&gt;0, G356/100,
            IFERROR( VLOOKUP(A356, Dividends!$A:$C, 3, FALSE) / VLOOKUP(A356, Prices!$A:$B, 2, FALSE), Inputs!$B$4)
        ) / 12,
        0)</f>
        <v>0</v>
      </c>
      <c r="L356" s="3">
        <f t="shared" si="3"/>
        <v>0</v>
      </c>
    </row>
    <row r="357" ht="15.75" customHeight="1">
      <c r="F357" s="3" t="str">
        <f>IFERROR(VLOOKUP(A357, Prices!A:B, 2, FALSE), )</f>
        <v/>
      </c>
      <c r="G357" s="3">
        <f>IFERROR(VLOOKUP(A357, Dividends!$A:$B, 2, FALSE),
       IFERROR( (VLOOKUP(A357, Dividends!$A:$C, 3, FALSE) / VLOOKUP(A357, Prices!$A:$B, 2, FALSE)) * 100,
                Inputs!$B$4*100 ))</f>
        <v>65</v>
      </c>
      <c r="H357" s="3">
        <f>IFERROR(SUMIF(Purchases!B:B, A357, Purchases!D:D), 0)</f>
        <v>0</v>
      </c>
      <c r="I357" s="3">
        <f t="shared" si="1"/>
        <v>0</v>
      </c>
      <c r="J357" s="3">
        <f t="shared" si="2"/>
        <v>0</v>
      </c>
      <c r="K357" s="3">
        <f>IF(J357&gt;0,
        J357 * IF(G357&gt;0, G357/100,
            IFERROR( VLOOKUP(A357, Dividends!$A:$C, 3, FALSE) / VLOOKUP(A357, Prices!$A:$B, 2, FALSE), Inputs!$B$4)
        ) / 12,
        0)</f>
        <v>0</v>
      </c>
      <c r="L357" s="3">
        <f t="shared" si="3"/>
        <v>0</v>
      </c>
    </row>
    <row r="358" ht="15.75" customHeight="1">
      <c r="F358" s="3" t="str">
        <f>IFERROR(VLOOKUP(A358, Prices!A:B, 2, FALSE), )</f>
        <v/>
      </c>
      <c r="G358" s="3">
        <f>IFERROR(VLOOKUP(A358, Dividends!$A:$B, 2, FALSE),
       IFERROR( (VLOOKUP(A358, Dividends!$A:$C, 3, FALSE) / VLOOKUP(A358, Prices!$A:$B, 2, FALSE)) * 100,
                Inputs!$B$4*100 ))</f>
        <v>65</v>
      </c>
      <c r="H358" s="3">
        <f>IFERROR(SUMIF(Purchases!B:B, A358, Purchases!D:D), 0)</f>
        <v>0</v>
      </c>
      <c r="I358" s="3">
        <f t="shared" si="1"/>
        <v>0</v>
      </c>
      <c r="J358" s="3">
        <f t="shared" si="2"/>
        <v>0</v>
      </c>
      <c r="K358" s="3">
        <f>IF(J358&gt;0,
        J358 * IF(G358&gt;0, G358/100,
            IFERROR( VLOOKUP(A358, Dividends!$A:$C, 3, FALSE) / VLOOKUP(A358, Prices!$A:$B, 2, FALSE), Inputs!$B$4)
        ) / 12,
        0)</f>
        <v>0</v>
      </c>
      <c r="L358" s="3">
        <f t="shared" si="3"/>
        <v>0</v>
      </c>
    </row>
    <row r="359" ht="15.75" customHeight="1">
      <c r="F359" s="3" t="str">
        <f>IFERROR(VLOOKUP(A359, Prices!A:B, 2, FALSE), )</f>
        <v/>
      </c>
      <c r="G359" s="3">
        <f>IFERROR(VLOOKUP(A359, Dividends!$A:$B, 2, FALSE),
       IFERROR( (VLOOKUP(A359, Dividends!$A:$C, 3, FALSE) / VLOOKUP(A359, Prices!$A:$B, 2, FALSE)) * 100,
                Inputs!$B$4*100 ))</f>
        <v>65</v>
      </c>
      <c r="H359" s="3">
        <f>IFERROR(SUMIF(Purchases!B:B, A359, Purchases!D:D), 0)</f>
        <v>0</v>
      </c>
      <c r="I359" s="3">
        <f t="shared" si="1"/>
        <v>0</v>
      </c>
      <c r="J359" s="3">
        <f t="shared" si="2"/>
        <v>0</v>
      </c>
      <c r="K359" s="3">
        <f>IF(J359&gt;0,
        J359 * IF(G359&gt;0, G359/100,
            IFERROR( VLOOKUP(A359, Dividends!$A:$C, 3, FALSE) / VLOOKUP(A359, Prices!$A:$B, 2, FALSE), Inputs!$B$4)
        ) / 12,
        0)</f>
        <v>0</v>
      </c>
      <c r="L359" s="3">
        <f t="shared" si="3"/>
        <v>0</v>
      </c>
    </row>
    <row r="360" ht="15.75" customHeight="1">
      <c r="F360" s="3" t="str">
        <f>IFERROR(VLOOKUP(A360, Prices!A:B, 2, FALSE), )</f>
        <v/>
      </c>
      <c r="G360" s="3">
        <f>IFERROR(VLOOKUP(A360, Dividends!$A:$B, 2, FALSE),
       IFERROR( (VLOOKUP(A360, Dividends!$A:$C, 3, FALSE) / VLOOKUP(A360, Prices!$A:$B, 2, FALSE)) * 100,
                Inputs!$B$4*100 ))</f>
        <v>65</v>
      </c>
      <c r="H360" s="3">
        <f>IFERROR(SUMIF(Purchases!B:B, A360, Purchases!D:D), 0)</f>
        <v>0</v>
      </c>
      <c r="I360" s="3">
        <f t="shared" si="1"/>
        <v>0</v>
      </c>
      <c r="J360" s="3">
        <f t="shared" si="2"/>
        <v>0</v>
      </c>
      <c r="K360" s="3">
        <f>IF(J360&gt;0,
        J360 * IF(G360&gt;0, G360/100,
            IFERROR( VLOOKUP(A360, Dividends!$A:$C, 3, FALSE) / VLOOKUP(A360, Prices!$A:$B, 2, FALSE), Inputs!$B$4)
        ) / 12,
        0)</f>
        <v>0</v>
      </c>
      <c r="L360" s="3">
        <f t="shared" si="3"/>
        <v>0</v>
      </c>
    </row>
    <row r="361" ht="15.75" customHeight="1">
      <c r="F361" s="3" t="str">
        <f>IFERROR(VLOOKUP(A361, Prices!A:B, 2, FALSE), )</f>
        <v/>
      </c>
      <c r="G361" s="3">
        <f>IFERROR(VLOOKUP(A361, Dividends!$A:$B, 2, FALSE),
       IFERROR( (VLOOKUP(A361, Dividends!$A:$C, 3, FALSE) / VLOOKUP(A361, Prices!$A:$B, 2, FALSE)) * 100,
                Inputs!$B$4*100 ))</f>
        <v>65</v>
      </c>
      <c r="H361" s="3">
        <f>IFERROR(SUMIF(Purchases!B:B, A361, Purchases!D:D), 0)</f>
        <v>0</v>
      </c>
      <c r="I361" s="3">
        <f t="shared" si="1"/>
        <v>0</v>
      </c>
      <c r="J361" s="3">
        <f t="shared" si="2"/>
        <v>0</v>
      </c>
      <c r="K361" s="3">
        <f>IF(J361&gt;0,
        J361 * IF(G361&gt;0, G361/100,
            IFERROR( VLOOKUP(A361, Dividends!$A:$C, 3, FALSE) / VLOOKUP(A361, Prices!$A:$B, 2, FALSE), Inputs!$B$4)
        ) / 12,
        0)</f>
        <v>0</v>
      </c>
      <c r="L361" s="3">
        <f t="shared" si="3"/>
        <v>0</v>
      </c>
    </row>
    <row r="362" ht="15.75" customHeight="1">
      <c r="F362" s="3" t="str">
        <f>IFERROR(VLOOKUP(A362, Prices!A:B, 2, FALSE), )</f>
        <v/>
      </c>
      <c r="G362" s="3">
        <f>IFERROR(VLOOKUP(A362, Dividends!$A:$B, 2, FALSE),
       IFERROR( (VLOOKUP(A362, Dividends!$A:$C, 3, FALSE) / VLOOKUP(A362, Prices!$A:$B, 2, FALSE)) * 100,
                Inputs!$B$4*100 ))</f>
        <v>65</v>
      </c>
      <c r="H362" s="3">
        <f>IFERROR(SUMIF(Purchases!B:B, A362, Purchases!D:D), 0)</f>
        <v>0</v>
      </c>
      <c r="I362" s="3">
        <f t="shared" si="1"/>
        <v>0</v>
      </c>
      <c r="J362" s="3">
        <f t="shared" si="2"/>
        <v>0</v>
      </c>
      <c r="K362" s="3">
        <f>IF(J362&gt;0,
        J362 * IF(G362&gt;0, G362/100,
            IFERROR( VLOOKUP(A362, Dividends!$A:$C, 3, FALSE) / VLOOKUP(A362, Prices!$A:$B, 2, FALSE), Inputs!$B$4)
        ) / 12,
        0)</f>
        <v>0</v>
      </c>
      <c r="L362" s="3">
        <f t="shared" si="3"/>
        <v>0</v>
      </c>
    </row>
    <row r="363" ht="15.75" customHeight="1">
      <c r="F363" s="3" t="str">
        <f>IFERROR(VLOOKUP(A363, Prices!A:B, 2, FALSE), )</f>
        <v/>
      </c>
      <c r="G363" s="3">
        <f>IFERROR(VLOOKUP(A363, Dividends!$A:$B, 2, FALSE),
       IFERROR( (VLOOKUP(A363, Dividends!$A:$C, 3, FALSE) / VLOOKUP(A363, Prices!$A:$B, 2, FALSE)) * 100,
                Inputs!$B$4*100 ))</f>
        <v>65</v>
      </c>
      <c r="H363" s="3">
        <f>IFERROR(SUMIF(Purchases!B:B, A363, Purchases!D:D), 0)</f>
        <v>0</v>
      </c>
      <c r="I363" s="3">
        <f t="shared" si="1"/>
        <v>0</v>
      </c>
      <c r="J363" s="3">
        <f t="shared" si="2"/>
        <v>0</v>
      </c>
      <c r="K363" s="3">
        <f>IF(J363&gt;0,
        J363 * IF(G363&gt;0, G363/100,
            IFERROR( VLOOKUP(A363, Dividends!$A:$C, 3, FALSE) / VLOOKUP(A363, Prices!$A:$B, 2, FALSE), Inputs!$B$4)
        ) / 12,
        0)</f>
        <v>0</v>
      </c>
      <c r="L363" s="3">
        <f t="shared" si="3"/>
        <v>0</v>
      </c>
    </row>
    <row r="364" ht="15.75" customHeight="1">
      <c r="F364" s="3" t="str">
        <f>IFERROR(VLOOKUP(A364, Prices!A:B, 2, FALSE), )</f>
        <v/>
      </c>
      <c r="G364" s="3">
        <f>IFERROR(VLOOKUP(A364, Dividends!$A:$B, 2, FALSE),
       IFERROR( (VLOOKUP(A364, Dividends!$A:$C, 3, FALSE) / VLOOKUP(A364, Prices!$A:$B, 2, FALSE)) * 100,
                Inputs!$B$4*100 ))</f>
        <v>65</v>
      </c>
      <c r="H364" s="3">
        <f>IFERROR(SUMIF(Purchases!B:B, A364, Purchases!D:D), 0)</f>
        <v>0</v>
      </c>
      <c r="I364" s="3">
        <f t="shared" si="1"/>
        <v>0</v>
      </c>
      <c r="J364" s="3">
        <f t="shared" si="2"/>
        <v>0</v>
      </c>
      <c r="K364" s="3">
        <f>IF(J364&gt;0,
        J364 * IF(G364&gt;0, G364/100,
            IFERROR( VLOOKUP(A364, Dividends!$A:$C, 3, FALSE) / VLOOKUP(A364, Prices!$A:$B, 2, FALSE), Inputs!$B$4)
        ) / 12,
        0)</f>
        <v>0</v>
      </c>
      <c r="L364" s="3">
        <f t="shared" si="3"/>
        <v>0</v>
      </c>
    </row>
    <row r="365" ht="15.75" customHeight="1">
      <c r="F365" s="3" t="str">
        <f>IFERROR(VLOOKUP(A365, Prices!A:B, 2, FALSE), )</f>
        <v/>
      </c>
      <c r="G365" s="3">
        <f>IFERROR(VLOOKUP(A365, Dividends!$A:$B, 2, FALSE),
       IFERROR( (VLOOKUP(A365, Dividends!$A:$C, 3, FALSE) / VLOOKUP(A365, Prices!$A:$B, 2, FALSE)) * 100,
                Inputs!$B$4*100 ))</f>
        <v>65</v>
      </c>
      <c r="H365" s="3">
        <f>IFERROR(SUMIF(Purchases!B:B, A365, Purchases!D:D), 0)</f>
        <v>0</v>
      </c>
      <c r="I365" s="3">
        <f t="shared" si="1"/>
        <v>0</v>
      </c>
      <c r="J365" s="3">
        <f t="shared" si="2"/>
        <v>0</v>
      </c>
      <c r="K365" s="3">
        <f>IF(J365&gt;0,
        J365 * IF(G365&gt;0, G365/100,
            IFERROR( VLOOKUP(A365, Dividends!$A:$C, 3, FALSE) / VLOOKUP(A365, Prices!$A:$B, 2, FALSE), Inputs!$B$4)
        ) / 12,
        0)</f>
        <v>0</v>
      </c>
      <c r="L365" s="3">
        <f t="shared" si="3"/>
        <v>0</v>
      </c>
    </row>
    <row r="366" ht="15.75" customHeight="1">
      <c r="F366" s="3" t="str">
        <f>IFERROR(VLOOKUP(A366, Prices!A:B, 2, FALSE), )</f>
        <v/>
      </c>
      <c r="G366" s="3">
        <f>IFERROR(VLOOKUP(A366, Dividends!$A:$B, 2, FALSE),
       IFERROR( (VLOOKUP(A366, Dividends!$A:$C, 3, FALSE) / VLOOKUP(A366, Prices!$A:$B, 2, FALSE)) * 100,
                Inputs!$B$4*100 ))</f>
        <v>65</v>
      </c>
      <c r="H366" s="3">
        <f>IFERROR(SUMIF(Purchases!B:B, A366, Purchases!D:D), 0)</f>
        <v>0</v>
      </c>
      <c r="I366" s="3">
        <f t="shared" si="1"/>
        <v>0</v>
      </c>
      <c r="J366" s="3">
        <f t="shared" si="2"/>
        <v>0</v>
      </c>
      <c r="K366" s="3">
        <f>IF(J366&gt;0,
        J366 * IF(G366&gt;0, G366/100,
            IFERROR( VLOOKUP(A366, Dividends!$A:$C, 3, FALSE) / VLOOKUP(A366, Prices!$A:$B, 2, FALSE), Inputs!$B$4)
        ) / 12,
        0)</f>
        <v>0</v>
      </c>
      <c r="L366" s="3">
        <f t="shared" si="3"/>
        <v>0</v>
      </c>
    </row>
    <row r="367" ht="15.75" customHeight="1">
      <c r="F367" s="3" t="str">
        <f>IFERROR(VLOOKUP(A367, Prices!A:B, 2, FALSE), )</f>
        <v/>
      </c>
      <c r="G367" s="3">
        <f>IFERROR(VLOOKUP(A367, Dividends!$A:$B, 2, FALSE),
       IFERROR( (VLOOKUP(A367, Dividends!$A:$C, 3, FALSE) / VLOOKUP(A367, Prices!$A:$B, 2, FALSE)) * 100,
                Inputs!$B$4*100 ))</f>
        <v>65</v>
      </c>
      <c r="H367" s="3">
        <f>IFERROR(SUMIF(Purchases!B:B, A367, Purchases!D:D), 0)</f>
        <v>0</v>
      </c>
      <c r="I367" s="3">
        <f t="shared" si="1"/>
        <v>0</v>
      </c>
      <c r="J367" s="3">
        <f t="shared" si="2"/>
        <v>0</v>
      </c>
      <c r="K367" s="3">
        <f>IF(J367&gt;0,
        J367 * IF(G367&gt;0, G367/100,
            IFERROR( VLOOKUP(A367, Dividends!$A:$C, 3, FALSE) / VLOOKUP(A367, Prices!$A:$B, 2, FALSE), Inputs!$B$4)
        ) / 12,
        0)</f>
        <v>0</v>
      </c>
      <c r="L367" s="3">
        <f t="shared" si="3"/>
        <v>0</v>
      </c>
    </row>
    <row r="368" ht="15.75" customHeight="1">
      <c r="F368" s="3" t="str">
        <f>IFERROR(VLOOKUP(A368, Prices!A:B, 2, FALSE), )</f>
        <v/>
      </c>
      <c r="G368" s="3">
        <f>IFERROR(VLOOKUP(A368, Dividends!$A:$B, 2, FALSE),
       IFERROR( (VLOOKUP(A368, Dividends!$A:$C, 3, FALSE) / VLOOKUP(A368, Prices!$A:$B, 2, FALSE)) * 100,
                Inputs!$B$4*100 ))</f>
        <v>65</v>
      </c>
      <c r="H368" s="3">
        <f>IFERROR(SUMIF(Purchases!B:B, A368, Purchases!D:D), 0)</f>
        <v>0</v>
      </c>
      <c r="I368" s="3">
        <f t="shared" si="1"/>
        <v>0</v>
      </c>
      <c r="J368" s="3">
        <f t="shared" si="2"/>
        <v>0</v>
      </c>
      <c r="K368" s="3">
        <f>IF(J368&gt;0,
        J368 * IF(G368&gt;0, G368/100,
            IFERROR( VLOOKUP(A368, Dividends!$A:$C, 3, FALSE) / VLOOKUP(A368, Prices!$A:$B, 2, FALSE), Inputs!$B$4)
        ) / 12,
        0)</f>
        <v>0</v>
      </c>
      <c r="L368" s="3">
        <f t="shared" si="3"/>
        <v>0</v>
      </c>
    </row>
    <row r="369" ht="15.75" customHeight="1">
      <c r="F369" s="3" t="str">
        <f>IFERROR(VLOOKUP(A369, Prices!A:B, 2, FALSE), )</f>
        <v/>
      </c>
      <c r="G369" s="3">
        <f>IFERROR(VLOOKUP(A369, Dividends!$A:$B, 2, FALSE),
       IFERROR( (VLOOKUP(A369, Dividends!$A:$C, 3, FALSE) / VLOOKUP(A369, Prices!$A:$B, 2, FALSE)) * 100,
                Inputs!$B$4*100 ))</f>
        <v>65</v>
      </c>
      <c r="H369" s="3">
        <f>IFERROR(SUMIF(Purchases!B:B, A369, Purchases!D:D), 0)</f>
        <v>0</v>
      </c>
      <c r="I369" s="3">
        <f t="shared" si="1"/>
        <v>0</v>
      </c>
      <c r="J369" s="3">
        <f t="shared" si="2"/>
        <v>0</v>
      </c>
      <c r="K369" s="3">
        <f>IF(J369&gt;0,
        J369 * IF(G369&gt;0, G369/100,
            IFERROR( VLOOKUP(A369, Dividends!$A:$C, 3, FALSE) / VLOOKUP(A369, Prices!$A:$B, 2, FALSE), Inputs!$B$4)
        ) / 12,
        0)</f>
        <v>0</v>
      </c>
      <c r="L369" s="3">
        <f t="shared" si="3"/>
        <v>0</v>
      </c>
    </row>
    <row r="370" ht="15.75" customHeight="1">
      <c r="F370" s="3" t="str">
        <f>IFERROR(VLOOKUP(A370, Prices!A:B, 2, FALSE), )</f>
        <v/>
      </c>
      <c r="G370" s="3">
        <f>IFERROR(VLOOKUP(A370, Dividends!$A:$B, 2, FALSE),
       IFERROR( (VLOOKUP(A370, Dividends!$A:$C, 3, FALSE) / VLOOKUP(A370, Prices!$A:$B, 2, FALSE)) * 100,
                Inputs!$B$4*100 ))</f>
        <v>65</v>
      </c>
      <c r="H370" s="3">
        <f>IFERROR(SUMIF(Purchases!B:B, A370, Purchases!D:D), 0)</f>
        <v>0</v>
      </c>
      <c r="I370" s="3">
        <f t="shared" si="1"/>
        <v>0</v>
      </c>
      <c r="J370" s="3">
        <f t="shared" si="2"/>
        <v>0</v>
      </c>
      <c r="K370" s="3">
        <f>IF(J370&gt;0,
        J370 * IF(G370&gt;0, G370/100,
            IFERROR( VLOOKUP(A370, Dividends!$A:$C, 3, FALSE) / VLOOKUP(A370, Prices!$A:$B, 2, FALSE), Inputs!$B$4)
        ) / 12,
        0)</f>
        <v>0</v>
      </c>
      <c r="L370" s="3">
        <f t="shared" si="3"/>
        <v>0</v>
      </c>
    </row>
    <row r="371" ht="15.75" customHeight="1">
      <c r="F371" s="3" t="str">
        <f>IFERROR(VLOOKUP(A371, Prices!A:B, 2, FALSE), )</f>
        <v/>
      </c>
      <c r="G371" s="3">
        <f>IFERROR(VLOOKUP(A371, Dividends!$A:$B, 2, FALSE),
       IFERROR( (VLOOKUP(A371, Dividends!$A:$C, 3, FALSE) / VLOOKUP(A371, Prices!$A:$B, 2, FALSE)) * 100,
                Inputs!$B$4*100 ))</f>
        <v>65</v>
      </c>
      <c r="H371" s="3">
        <f>IFERROR(SUMIF(Purchases!B:B, A371, Purchases!D:D), 0)</f>
        <v>0</v>
      </c>
      <c r="I371" s="3">
        <f t="shared" si="1"/>
        <v>0</v>
      </c>
      <c r="J371" s="3">
        <f t="shared" si="2"/>
        <v>0</v>
      </c>
      <c r="K371" s="3">
        <f>IF(J371&gt;0,
        J371 * IF(G371&gt;0, G371/100,
            IFERROR( VLOOKUP(A371, Dividends!$A:$C, 3, FALSE) / VLOOKUP(A371, Prices!$A:$B, 2, FALSE), Inputs!$B$4)
        ) / 12,
        0)</f>
        <v>0</v>
      </c>
      <c r="L371" s="3">
        <f t="shared" si="3"/>
        <v>0</v>
      </c>
    </row>
    <row r="372" ht="15.75" customHeight="1">
      <c r="F372" s="3" t="str">
        <f>IFERROR(VLOOKUP(A372, Prices!A:B, 2, FALSE), )</f>
        <v/>
      </c>
      <c r="G372" s="3">
        <f>IFERROR(VLOOKUP(A372, Dividends!$A:$B, 2, FALSE),
       IFERROR( (VLOOKUP(A372, Dividends!$A:$C, 3, FALSE) / VLOOKUP(A372, Prices!$A:$B, 2, FALSE)) * 100,
                Inputs!$B$4*100 ))</f>
        <v>65</v>
      </c>
      <c r="H372" s="3">
        <f>IFERROR(SUMIF(Purchases!B:B, A372, Purchases!D:D), 0)</f>
        <v>0</v>
      </c>
      <c r="I372" s="3">
        <f t="shared" si="1"/>
        <v>0</v>
      </c>
      <c r="J372" s="3">
        <f t="shared" si="2"/>
        <v>0</v>
      </c>
      <c r="K372" s="3">
        <f>IF(J372&gt;0,
        J372 * IF(G372&gt;0, G372/100,
            IFERROR( VLOOKUP(A372, Dividends!$A:$C, 3, FALSE) / VLOOKUP(A372, Prices!$A:$B, 2, FALSE), Inputs!$B$4)
        ) / 12,
        0)</f>
        <v>0</v>
      </c>
      <c r="L372" s="3">
        <f t="shared" si="3"/>
        <v>0</v>
      </c>
    </row>
    <row r="373" ht="15.75" customHeight="1">
      <c r="F373" s="3" t="str">
        <f>IFERROR(VLOOKUP(A373, Prices!A:B, 2, FALSE), )</f>
        <v/>
      </c>
      <c r="G373" s="3">
        <f>IFERROR(VLOOKUP(A373, Dividends!$A:$B, 2, FALSE),
       IFERROR( (VLOOKUP(A373, Dividends!$A:$C, 3, FALSE) / VLOOKUP(A373, Prices!$A:$B, 2, FALSE)) * 100,
                Inputs!$B$4*100 ))</f>
        <v>65</v>
      </c>
      <c r="H373" s="3">
        <f>IFERROR(SUMIF(Purchases!B:B, A373, Purchases!D:D), 0)</f>
        <v>0</v>
      </c>
      <c r="I373" s="3">
        <f t="shared" si="1"/>
        <v>0</v>
      </c>
      <c r="J373" s="3">
        <f t="shared" si="2"/>
        <v>0</v>
      </c>
      <c r="K373" s="3">
        <f>IF(J373&gt;0,
        J373 * IF(G373&gt;0, G373/100,
            IFERROR( VLOOKUP(A373, Dividends!$A:$C, 3, FALSE) / VLOOKUP(A373, Prices!$A:$B, 2, FALSE), Inputs!$B$4)
        ) / 12,
        0)</f>
        <v>0</v>
      </c>
      <c r="L373" s="3">
        <f t="shared" si="3"/>
        <v>0</v>
      </c>
    </row>
    <row r="374" ht="15.75" customHeight="1">
      <c r="F374" s="3" t="str">
        <f>IFERROR(VLOOKUP(A374, Prices!A:B, 2, FALSE), )</f>
        <v/>
      </c>
      <c r="G374" s="3">
        <f>IFERROR(VLOOKUP(A374, Dividends!$A:$B, 2, FALSE),
       IFERROR( (VLOOKUP(A374, Dividends!$A:$C, 3, FALSE) / VLOOKUP(A374, Prices!$A:$B, 2, FALSE)) * 100,
                Inputs!$B$4*100 ))</f>
        <v>65</v>
      </c>
      <c r="H374" s="3">
        <f>IFERROR(SUMIF(Purchases!B:B, A374, Purchases!D:D), 0)</f>
        <v>0</v>
      </c>
      <c r="I374" s="3">
        <f t="shared" si="1"/>
        <v>0</v>
      </c>
      <c r="J374" s="3">
        <f t="shared" si="2"/>
        <v>0</v>
      </c>
      <c r="K374" s="3">
        <f>IF(J374&gt;0,
        J374 * IF(G374&gt;0, G374/100,
            IFERROR( VLOOKUP(A374, Dividends!$A:$C, 3, FALSE) / VLOOKUP(A374, Prices!$A:$B, 2, FALSE), Inputs!$B$4)
        ) / 12,
        0)</f>
        <v>0</v>
      </c>
      <c r="L374" s="3">
        <f t="shared" si="3"/>
        <v>0</v>
      </c>
    </row>
    <row r="375" ht="15.75" customHeight="1">
      <c r="F375" s="3" t="str">
        <f>IFERROR(VLOOKUP(A375, Prices!A:B, 2, FALSE), )</f>
        <v/>
      </c>
      <c r="G375" s="3">
        <f>IFERROR(VLOOKUP(A375, Dividends!$A:$B, 2, FALSE),
       IFERROR( (VLOOKUP(A375, Dividends!$A:$C, 3, FALSE) / VLOOKUP(A375, Prices!$A:$B, 2, FALSE)) * 100,
                Inputs!$B$4*100 ))</f>
        <v>65</v>
      </c>
      <c r="H375" s="3">
        <f>IFERROR(SUMIF(Purchases!B:B, A375, Purchases!D:D), 0)</f>
        <v>0</v>
      </c>
      <c r="I375" s="3">
        <f t="shared" si="1"/>
        <v>0</v>
      </c>
      <c r="J375" s="3">
        <f t="shared" si="2"/>
        <v>0</v>
      </c>
      <c r="K375" s="3">
        <f>IF(J375&gt;0,
        J375 * IF(G375&gt;0, G375/100,
            IFERROR( VLOOKUP(A375, Dividends!$A:$C, 3, FALSE) / VLOOKUP(A375, Prices!$A:$B, 2, FALSE), Inputs!$B$4)
        ) / 12,
        0)</f>
        <v>0</v>
      </c>
      <c r="L375" s="3">
        <f t="shared" si="3"/>
        <v>0</v>
      </c>
    </row>
    <row r="376" ht="15.75" customHeight="1">
      <c r="F376" s="3" t="str">
        <f>IFERROR(VLOOKUP(A376, Prices!A:B, 2, FALSE), )</f>
        <v/>
      </c>
      <c r="G376" s="3">
        <f>IFERROR(VLOOKUP(A376, Dividends!$A:$B, 2, FALSE),
       IFERROR( (VLOOKUP(A376, Dividends!$A:$C, 3, FALSE) / VLOOKUP(A376, Prices!$A:$B, 2, FALSE)) * 100,
                Inputs!$B$4*100 ))</f>
        <v>65</v>
      </c>
      <c r="H376" s="3">
        <f>IFERROR(SUMIF(Purchases!B:B, A376, Purchases!D:D), 0)</f>
        <v>0</v>
      </c>
      <c r="I376" s="3">
        <f t="shared" si="1"/>
        <v>0</v>
      </c>
      <c r="J376" s="3">
        <f t="shared" si="2"/>
        <v>0</v>
      </c>
      <c r="K376" s="3">
        <f>IF(J376&gt;0,
        J376 * IF(G376&gt;0, G376/100,
            IFERROR( VLOOKUP(A376, Dividends!$A:$C, 3, FALSE) / VLOOKUP(A376, Prices!$A:$B, 2, FALSE), Inputs!$B$4)
        ) / 12,
        0)</f>
        <v>0</v>
      </c>
      <c r="L376" s="3">
        <f t="shared" si="3"/>
        <v>0</v>
      </c>
    </row>
    <row r="377" ht="15.75" customHeight="1">
      <c r="F377" s="3" t="str">
        <f>IFERROR(VLOOKUP(A377, Prices!A:B, 2, FALSE), )</f>
        <v/>
      </c>
      <c r="G377" s="3">
        <f>IFERROR(VLOOKUP(A377, Dividends!$A:$B, 2, FALSE),
       IFERROR( (VLOOKUP(A377, Dividends!$A:$C, 3, FALSE) / VLOOKUP(A377, Prices!$A:$B, 2, FALSE)) * 100,
                Inputs!$B$4*100 ))</f>
        <v>65</v>
      </c>
      <c r="H377" s="3">
        <f>IFERROR(SUMIF(Purchases!B:B, A377, Purchases!D:D), 0)</f>
        <v>0</v>
      </c>
      <c r="I377" s="3">
        <f t="shared" si="1"/>
        <v>0</v>
      </c>
      <c r="J377" s="3">
        <f t="shared" si="2"/>
        <v>0</v>
      </c>
      <c r="K377" s="3">
        <f>IF(J377&gt;0,
        J377 * IF(G377&gt;0, G377/100,
            IFERROR( VLOOKUP(A377, Dividends!$A:$C, 3, FALSE) / VLOOKUP(A377, Prices!$A:$B, 2, FALSE), Inputs!$B$4)
        ) / 12,
        0)</f>
        <v>0</v>
      </c>
      <c r="L377" s="3">
        <f t="shared" si="3"/>
        <v>0</v>
      </c>
    </row>
    <row r="378" ht="15.75" customHeight="1">
      <c r="F378" s="3" t="str">
        <f>IFERROR(VLOOKUP(A378, Prices!A:B, 2, FALSE), )</f>
        <v/>
      </c>
      <c r="G378" s="3">
        <f>IFERROR(VLOOKUP(A378, Dividends!$A:$B, 2, FALSE),
       IFERROR( (VLOOKUP(A378, Dividends!$A:$C, 3, FALSE) / VLOOKUP(A378, Prices!$A:$B, 2, FALSE)) * 100,
                Inputs!$B$4*100 ))</f>
        <v>65</v>
      </c>
      <c r="H378" s="3">
        <f>IFERROR(SUMIF(Purchases!B:B, A378, Purchases!D:D), 0)</f>
        <v>0</v>
      </c>
      <c r="I378" s="3">
        <f t="shared" si="1"/>
        <v>0</v>
      </c>
      <c r="J378" s="3">
        <f t="shared" si="2"/>
        <v>0</v>
      </c>
      <c r="K378" s="3">
        <f>IF(J378&gt;0,
        J378 * IF(G378&gt;0, G378/100,
            IFERROR( VLOOKUP(A378, Dividends!$A:$C, 3, FALSE) / VLOOKUP(A378, Prices!$A:$B, 2, FALSE), Inputs!$B$4)
        ) / 12,
        0)</f>
        <v>0</v>
      </c>
      <c r="L378" s="3">
        <f t="shared" si="3"/>
        <v>0</v>
      </c>
    </row>
    <row r="379" ht="15.75" customHeight="1">
      <c r="F379" s="3" t="str">
        <f>IFERROR(VLOOKUP(A379, Prices!A:B, 2, FALSE), )</f>
        <v/>
      </c>
      <c r="G379" s="3">
        <f>IFERROR(VLOOKUP(A379, Dividends!$A:$B, 2, FALSE),
       IFERROR( (VLOOKUP(A379, Dividends!$A:$C, 3, FALSE) / VLOOKUP(A379, Prices!$A:$B, 2, FALSE)) * 100,
                Inputs!$B$4*100 ))</f>
        <v>65</v>
      </c>
      <c r="H379" s="3">
        <f>IFERROR(SUMIF(Purchases!B:B, A379, Purchases!D:D), 0)</f>
        <v>0</v>
      </c>
      <c r="I379" s="3">
        <f t="shared" si="1"/>
        <v>0</v>
      </c>
      <c r="J379" s="3">
        <f t="shared" si="2"/>
        <v>0</v>
      </c>
      <c r="K379" s="3">
        <f>IF(J379&gt;0,
        J379 * IF(G379&gt;0, G379/100,
            IFERROR( VLOOKUP(A379, Dividends!$A:$C, 3, FALSE) / VLOOKUP(A379, Prices!$A:$B, 2, FALSE), Inputs!$B$4)
        ) / 12,
        0)</f>
        <v>0</v>
      </c>
      <c r="L379" s="3">
        <f t="shared" si="3"/>
        <v>0</v>
      </c>
    </row>
    <row r="380" ht="15.75" customHeight="1">
      <c r="F380" s="3" t="str">
        <f>IFERROR(VLOOKUP(A380, Prices!A:B, 2, FALSE), )</f>
        <v/>
      </c>
      <c r="G380" s="3">
        <f>IFERROR(VLOOKUP(A380, Dividends!$A:$B, 2, FALSE),
       IFERROR( (VLOOKUP(A380, Dividends!$A:$C, 3, FALSE) / VLOOKUP(A380, Prices!$A:$B, 2, FALSE)) * 100,
                Inputs!$B$4*100 ))</f>
        <v>65</v>
      </c>
      <c r="H380" s="3">
        <f>IFERROR(SUMIF(Purchases!B:B, A380, Purchases!D:D), 0)</f>
        <v>0</v>
      </c>
      <c r="I380" s="3">
        <f t="shared" si="1"/>
        <v>0</v>
      </c>
      <c r="J380" s="3">
        <f t="shared" si="2"/>
        <v>0</v>
      </c>
      <c r="K380" s="3">
        <f>IF(J380&gt;0,
        J380 * IF(G380&gt;0, G380/100,
            IFERROR( VLOOKUP(A380, Dividends!$A:$C, 3, FALSE) / VLOOKUP(A380, Prices!$A:$B, 2, FALSE), Inputs!$B$4)
        ) / 12,
        0)</f>
        <v>0</v>
      </c>
      <c r="L380" s="3">
        <f t="shared" si="3"/>
        <v>0</v>
      </c>
    </row>
    <row r="381" ht="15.75" customHeight="1">
      <c r="F381" s="3" t="str">
        <f>IFERROR(VLOOKUP(A381, Prices!A:B, 2, FALSE), )</f>
        <v/>
      </c>
      <c r="G381" s="3">
        <f>IFERROR(VLOOKUP(A381, Dividends!$A:$B, 2, FALSE),
       IFERROR( (VLOOKUP(A381, Dividends!$A:$C, 3, FALSE) / VLOOKUP(A381, Prices!$A:$B, 2, FALSE)) * 100,
                Inputs!$B$4*100 ))</f>
        <v>65</v>
      </c>
      <c r="H381" s="3">
        <f>IFERROR(SUMIF(Purchases!B:B, A381, Purchases!D:D), 0)</f>
        <v>0</v>
      </c>
      <c r="I381" s="3">
        <f t="shared" si="1"/>
        <v>0</v>
      </c>
      <c r="J381" s="3">
        <f t="shared" si="2"/>
        <v>0</v>
      </c>
      <c r="K381" s="3">
        <f>IF(J381&gt;0,
        J381 * IF(G381&gt;0, G381/100,
            IFERROR( VLOOKUP(A381, Dividends!$A:$C, 3, FALSE) / VLOOKUP(A381, Prices!$A:$B, 2, FALSE), Inputs!$B$4)
        ) / 12,
        0)</f>
        <v>0</v>
      </c>
      <c r="L381" s="3">
        <f t="shared" si="3"/>
        <v>0</v>
      </c>
    </row>
    <row r="382" ht="15.75" customHeight="1">
      <c r="F382" s="3" t="str">
        <f>IFERROR(VLOOKUP(A382, Prices!A:B, 2, FALSE), )</f>
        <v/>
      </c>
      <c r="G382" s="3">
        <f>IFERROR(VLOOKUP(A382, Dividends!$A:$B, 2, FALSE),
       IFERROR( (VLOOKUP(A382, Dividends!$A:$C, 3, FALSE) / VLOOKUP(A382, Prices!$A:$B, 2, FALSE)) * 100,
                Inputs!$B$4*100 ))</f>
        <v>65</v>
      </c>
      <c r="H382" s="3">
        <f>IFERROR(SUMIF(Purchases!B:B, A382, Purchases!D:D), 0)</f>
        <v>0</v>
      </c>
      <c r="I382" s="3">
        <f t="shared" si="1"/>
        <v>0</v>
      </c>
      <c r="J382" s="3">
        <f t="shared" si="2"/>
        <v>0</v>
      </c>
      <c r="K382" s="3">
        <f>IF(J382&gt;0,
        J382 * IF(G382&gt;0, G382/100,
            IFERROR( VLOOKUP(A382, Dividends!$A:$C, 3, FALSE) / VLOOKUP(A382, Prices!$A:$B, 2, FALSE), Inputs!$B$4)
        ) / 12,
        0)</f>
        <v>0</v>
      </c>
      <c r="L382" s="3">
        <f t="shared" si="3"/>
        <v>0</v>
      </c>
    </row>
    <row r="383" ht="15.75" customHeight="1">
      <c r="F383" s="3" t="str">
        <f>IFERROR(VLOOKUP(A383, Prices!A:B, 2, FALSE), )</f>
        <v/>
      </c>
      <c r="G383" s="3">
        <f>IFERROR(VLOOKUP(A383, Dividends!$A:$B, 2, FALSE),
       IFERROR( (VLOOKUP(A383, Dividends!$A:$C, 3, FALSE) / VLOOKUP(A383, Prices!$A:$B, 2, FALSE)) * 100,
                Inputs!$B$4*100 ))</f>
        <v>65</v>
      </c>
      <c r="H383" s="3">
        <f>IFERROR(SUMIF(Purchases!B:B, A383, Purchases!D:D), 0)</f>
        <v>0</v>
      </c>
      <c r="I383" s="3">
        <f t="shared" si="1"/>
        <v>0</v>
      </c>
      <c r="J383" s="3">
        <f t="shared" si="2"/>
        <v>0</v>
      </c>
      <c r="K383" s="3">
        <f>IF(J383&gt;0,
        J383 * IF(G383&gt;0, G383/100,
            IFERROR( VLOOKUP(A383, Dividends!$A:$C, 3, FALSE) / VLOOKUP(A383, Prices!$A:$B, 2, FALSE), Inputs!$B$4)
        ) / 12,
        0)</f>
        <v>0</v>
      </c>
      <c r="L383" s="3">
        <f t="shared" si="3"/>
        <v>0</v>
      </c>
    </row>
    <row r="384" ht="15.75" customHeight="1">
      <c r="F384" s="3" t="str">
        <f>IFERROR(VLOOKUP(A384, Prices!A:B, 2, FALSE), )</f>
        <v/>
      </c>
      <c r="G384" s="3">
        <f>IFERROR(VLOOKUP(A384, Dividends!$A:$B, 2, FALSE),
       IFERROR( (VLOOKUP(A384, Dividends!$A:$C, 3, FALSE) / VLOOKUP(A384, Prices!$A:$B, 2, FALSE)) * 100,
                Inputs!$B$4*100 ))</f>
        <v>65</v>
      </c>
      <c r="H384" s="3">
        <f>IFERROR(SUMIF(Purchases!B:B, A384, Purchases!D:D), 0)</f>
        <v>0</v>
      </c>
      <c r="I384" s="3">
        <f t="shared" si="1"/>
        <v>0</v>
      </c>
      <c r="J384" s="3">
        <f t="shared" si="2"/>
        <v>0</v>
      </c>
      <c r="K384" s="3">
        <f>IF(J384&gt;0,
        J384 * IF(G384&gt;0, G384/100,
            IFERROR( VLOOKUP(A384, Dividends!$A:$C, 3, FALSE) / VLOOKUP(A384, Prices!$A:$B, 2, FALSE), Inputs!$B$4)
        ) / 12,
        0)</f>
        <v>0</v>
      </c>
      <c r="L384" s="3">
        <f t="shared" si="3"/>
        <v>0</v>
      </c>
    </row>
    <row r="385" ht="15.75" customHeight="1">
      <c r="F385" s="3" t="str">
        <f>IFERROR(VLOOKUP(A385, Prices!A:B, 2, FALSE), )</f>
        <v/>
      </c>
      <c r="G385" s="3">
        <f>IFERROR(VLOOKUP(A385, Dividends!$A:$B, 2, FALSE),
       IFERROR( (VLOOKUP(A385, Dividends!$A:$C, 3, FALSE) / VLOOKUP(A385, Prices!$A:$B, 2, FALSE)) * 100,
                Inputs!$B$4*100 ))</f>
        <v>65</v>
      </c>
      <c r="H385" s="3">
        <f>IFERROR(SUMIF(Purchases!B:B, A385, Purchases!D:D), 0)</f>
        <v>0</v>
      </c>
      <c r="I385" s="3">
        <f t="shared" si="1"/>
        <v>0</v>
      </c>
      <c r="J385" s="3">
        <f t="shared" si="2"/>
        <v>0</v>
      </c>
      <c r="K385" s="3">
        <f>IF(J385&gt;0,
        J385 * IF(G385&gt;0, G385/100,
            IFERROR( VLOOKUP(A385, Dividends!$A:$C, 3, FALSE) / VLOOKUP(A385, Prices!$A:$B, 2, FALSE), Inputs!$B$4)
        ) / 12,
        0)</f>
        <v>0</v>
      </c>
      <c r="L385" s="3">
        <f t="shared" si="3"/>
        <v>0</v>
      </c>
    </row>
    <row r="386" ht="15.75" customHeight="1">
      <c r="F386" s="3" t="str">
        <f>IFERROR(VLOOKUP(A386, Prices!A:B, 2, FALSE), )</f>
        <v/>
      </c>
      <c r="G386" s="3">
        <f>IFERROR(VLOOKUP(A386, Dividends!$A:$B, 2, FALSE),
       IFERROR( (VLOOKUP(A386, Dividends!$A:$C, 3, FALSE) / VLOOKUP(A386, Prices!$A:$B, 2, FALSE)) * 100,
                Inputs!$B$4*100 ))</f>
        <v>65</v>
      </c>
      <c r="H386" s="3">
        <f>IFERROR(SUMIF(Purchases!B:B, A386, Purchases!D:D), 0)</f>
        <v>0</v>
      </c>
      <c r="I386" s="3">
        <f t="shared" si="1"/>
        <v>0</v>
      </c>
      <c r="J386" s="3">
        <f t="shared" si="2"/>
        <v>0</v>
      </c>
      <c r="K386" s="3">
        <f>IF(J386&gt;0,
        J386 * IF(G386&gt;0, G386/100,
            IFERROR( VLOOKUP(A386, Dividends!$A:$C, 3, FALSE) / VLOOKUP(A386, Prices!$A:$B, 2, FALSE), Inputs!$B$4)
        ) / 12,
        0)</f>
        <v>0</v>
      </c>
      <c r="L386" s="3">
        <f t="shared" si="3"/>
        <v>0</v>
      </c>
    </row>
    <row r="387" ht="15.75" customHeight="1">
      <c r="F387" s="3" t="str">
        <f>IFERROR(VLOOKUP(A387, Prices!A:B, 2, FALSE), )</f>
        <v/>
      </c>
      <c r="G387" s="3">
        <f>IFERROR(VLOOKUP(A387, Dividends!$A:$B, 2, FALSE),
       IFERROR( (VLOOKUP(A387, Dividends!$A:$C, 3, FALSE) / VLOOKUP(A387, Prices!$A:$B, 2, FALSE)) * 100,
                Inputs!$B$4*100 ))</f>
        <v>65</v>
      </c>
      <c r="H387" s="3">
        <f>IFERROR(SUMIF(Purchases!B:B, A387, Purchases!D:D), 0)</f>
        <v>0</v>
      </c>
      <c r="I387" s="3">
        <f t="shared" si="1"/>
        <v>0</v>
      </c>
      <c r="J387" s="3">
        <f t="shared" si="2"/>
        <v>0</v>
      </c>
      <c r="K387" s="3">
        <f>IF(J387&gt;0,
        J387 * IF(G387&gt;0, G387/100,
            IFERROR( VLOOKUP(A387, Dividends!$A:$C, 3, FALSE) / VLOOKUP(A387, Prices!$A:$B, 2, FALSE), Inputs!$B$4)
        ) / 12,
        0)</f>
        <v>0</v>
      </c>
      <c r="L387" s="3">
        <f t="shared" si="3"/>
        <v>0</v>
      </c>
    </row>
    <row r="388" ht="15.75" customHeight="1">
      <c r="F388" s="3" t="str">
        <f>IFERROR(VLOOKUP(A388, Prices!A:B, 2, FALSE), )</f>
        <v/>
      </c>
      <c r="G388" s="3">
        <f>IFERROR(VLOOKUP(A388, Dividends!$A:$B, 2, FALSE),
       IFERROR( (VLOOKUP(A388, Dividends!$A:$C, 3, FALSE) / VLOOKUP(A388, Prices!$A:$B, 2, FALSE)) * 100,
                Inputs!$B$4*100 ))</f>
        <v>65</v>
      </c>
      <c r="H388" s="3">
        <f>IFERROR(SUMIF(Purchases!B:B, A388, Purchases!D:D), 0)</f>
        <v>0</v>
      </c>
      <c r="I388" s="3">
        <f t="shared" si="1"/>
        <v>0</v>
      </c>
      <c r="J388" s="3">
        <f t="shared" si="2"/>
        <v>0</v>
      </c>
      <c r="K388" s="3">
        <f>IF(J388&gt;0,
        J388 * IF(G388&gt;0, G388/100,
            IFERROR( VLOOKUP(A388, Dividends!$A:$C, 3, FALSE) / VLOOKUP(A388, Prices!$A:$B, 2, FALSE), Inputs!$B$4)
        ) / 12,
        0)</f>
        <v>0</v>
      </c>
      <c r="L388" s="3">
        <f t="shared" si="3"/>
        <v>0</v>
      </c>
    </row>
    <row r="389" ht="15.75" customHeight="1">
      <c r="F389" s="3" t="str">
        <f>IFERROR(VLOOKUP(A389, Prices!A:B, 2, FALSE), )</f>
        <v/>
      </c>
      <c r="G389" s="3">
        <f>IFERROR(VLOOKUP(A389, Dividends!$A:$B, 2, FALSE),
       IFERROR( (VLOOKUP(A389, Dividends!$A:$C, 3, FALSE) / VLOOKUP(A389, Prices!$A:$B, 2, FALSE)) * 100,
                Inputs!$B$4*100 ))</f>
        <v>65</v>
      </c>
      <c r="H389" s="3">
        <f>IFERROR(SUMIF(Purchases!B:B, A389, Purchases!D:D), 0)</f>
        <v>0</v>
      </c>
      <c r="I389" s="3">
        <f t="shared" si="1"/>
        <v>0</v>
      </c>
      <c r="J389" s="3">
        <f t="shared" si="2"/>
        <v>0</v>
      </c>
      <c r="K389" s="3">
        <f>IF(J389&gt;0,
        J389 * IF(G389&gt;0, G389/100,
            IFERROR( VLOOKUP(A389, Dividends!$A:$C, 3, FALSE) / VLOOKUP(A389, Prices!$A:$B, 2, FALSE), Inputs!$B$4)
        ) / 12,
        0)</f>
        <v>0</v>
      </c>
      <c r="L389" s="3">
        <f t="shared" si="3"/>
        <v>0</v>
      </c>
    </row>
    <row r="390" ht="15.75" customHeight="1">
      <c r="F390" s="3" t="str">
        <f>IFERROR(VLOOKUP(A390, Prices!A:B, 2, FALSE), )</f>
        <v/>
      </c>
      <c r="G390" s="3">
        <f>IFERROR(VLOOKUP(A390, Dividends!$A:$B, 2, FALSE),
       IFERROR( (VLOOKUP(A390, Dividends!$A:$C, 3, FALSE) / VLOOKUP(A390, Prices!$A:$B, 2, FALSE)) * 100,
                Inputs!$B$4*100 ))</f>
        <v>65</v>
      </c>
      <c r="H390" s="3">
        <f>IFERROR(SUMIF(Purchases!B:B, A390, Purchases!D:D), 0)</f>
        <v>0</v>
      </c>
      <c r="I390" s="3">
        <f t="shared" si="1"/>
        <v>0</v>
      </c>
      <c r="J390" s="3">
        <f t="shared" si="2"/>
        <v>0</v>
      </c>
      <c r="K390" s="3">
        <f>IF(J390&gt;0,
        J390 * IF(G390&gt;0, G390/100,
            IFERROR( VLOOKUP(A390, Dividends!$A:$C, 3, FALSE) / VLOOKUP(A390, Prices!$A:$B, 2, FALSE), Inputs!$B$4)
        ) / 12,
        0)</f>
        <v>0</v>
      </c>
      <c r="L390" s="3">
        <f t="shared" si="3"/>
        <v>0</v>
      </c>
    </row>
    <row r="391" ht="15.75" customHeight="1">
      <c r="F391" s="3" t="str">
        <f>IFERROR(VLOOKUP(A391, Prices!A:B, 2, FALSE), )</f>
        <v/>
      </c>
      <c r="G391" s="3">
        <f>IFERROR(VLOOKUP(A391, Dividends!$A:$B, 2, FALSE),
       IFERROR( (VLOOKUP(A391, Dividends!$A:$C, 3, FALSE) / VLOOKUP(A391, Prices!$A:$B, 2, FALSE)) * 100,
                Inputs!$B$4*100 ))</f>
        <v>65</v>
      </c>
      <c r="H391" s="3">
        <f>IFERROR(SUMIF(Purchases!B:B, A391, Purchases!D:D), 0)</f>
        <v>0</v>
      </c>
      <c r="I391" s="3">
        <f t="shared" si="1"/>
        <v>0</v>
      </c>
      <c r="J391" s="3">
        <f t="shared" si="2"/>
        <v>0</v>
      </c>
      <c r="K391" s="3">
        <f>IF(J391&gt;0,
        J391 * IF(G391&gt;0, G391/100,
            IFERROR( VLOOKUP(A391, Dividends!$A:$C, 3, FALSE) / VLOOKUP(A391, Prices!$A:$B, 2, FALSE), Inputs!$B$4)
        ) / 12,
        0)</f>
        <v>0</v>
      </c>
      <c r="L391" s="3">
        <f t="shared" si="3"/>
        <v>0</v>
      </c>
    </row>
    <row r="392" ht="15.75" customHeight="1">
      <c r="F392" s="3" t="str">
        <f>IFERROR(VLOOKUP(A392, Prices!A:B, 2, FALSE), )</f>
        <v/>
      </c>
      <c r="G392" s="3">
        <f>IFERROR(VLOOKUP(A392, Dividends!$A:$B, 2, FALSE),
       IFERROR( (VLOOKUP(A392, Dividends!$A:$C, 3, FALSE) / VLOOKUP(A392, Prices!$A:$B, 2, FALSE)) * 100,
                Inputs!$B$4*100 ))</f>
        <v>65</v>
      </c>
      <c r="H392" s="3">
        <f>IFERROR(SUMIF(Purchases!B:B, A392, Purchases!D:D), 0)</f>
        <v>0</v>
      </c>
      <c r="I392" s="3">
        <f t="shared" si="1"/>
        <v>0</v>
      </c>
      <c r="J392" s="3">
        <f t="shared" si="2"/>
        <v>0</v>
      </c>
      <c r="K392" s="3">
        <f>IF(J392&gt;0,
        J392 * IF(G392&gt;0, G392/100,
            IFERROR( VLOOKUP(A392, Dividends!$A:$C, 3, FALSE) / VLOOKUP(A392, Prices!$A:$B, 2, FALSE), Inputs!$B$4)
        ) / 12,
        0)</f>
        <v>0</v>
      </c>
      <c r="L392" s="3">
        <f t="shared" si="3"/>
        <v>0</v>
      </c>
    </row>
    <row r="393" ht="15.75" customHeight="1">
      <c r="F393" s="3" t="str">
        <f>IFERROR(VLOOKUP(A393, Prices!A:B, 2, FALSE), )</f>
        <v/>
      </c>
      <c r="G393" s="3">
        <f>IFERROR(VLOOKUP(A393, Dividends!$A:$B, 2, FALSE),
       IFERROR( (VLOOKUP(A393, Dividends!$A:$C, 3, FALSE) / VLOOKUP(A393, Prices!$A:$B, 2, FALSE)) * 100,
                Inputs!$B$4*100 ))</f>
        <v>65</v>
      </c>
      <c r="H393" s="3">
        <f>IFERROR(SUMIF(Purchases!B:B, A393, Purchases!D:D), 0)</f>
        <v>0</v>
      </c>
      <c r="I393" s="3">
        <f t="shared" si="1"/>
        <v>0</v>
      </c>
      <c r="J393" s="3">
        <f t="shared" si="2"/>
        <v>0</v>
      </c>
      <c r="K393" s="3">
        <f>IF(J393&gt;0,
        J393 * IF(G393&gt;0, G393/100,
            IFERROR( VLOOKUP(A393, Dividends!$A:$C, 3, FALSE) / VLOOKUP(A393, Prices!$A:$B, 2, FALSE), Inputs!$B$4)
        ) / 12,
        0)</f>
        <v>0</v>
      </c>
      <c r="L393" s="3">
        <f t="shared" si="3"/>
        <v>0</v>
      </c>
    </row>
    <row r="394" ht="15.75" customHeight="1">
      <c r="F394" s="3" t="str">
        <f>IFERROR(VLOOKUP(A394, Prices!A:B, 2, FALSE), )</f>
        <v/>
      </c>
      <c r="G394" s="3">
        <f>IFERROR(VLOOKUP(A394, Dividends!$A:$B, 2, FALSE),
       IFERROR( (VLOOKUP(A394, Dividends!$A:$C, 3, FALSE) / VLOOKUP(A394, Prices!$A:$B, 2, FALSE)) * 100,
                Inputs!$B$4*100 ))</f>
        <v>65</v>
      </c>
      <c r="H394" s="3">
        <f>IFERROR(SUMIF(Purchases!B:B, A394, Purchases!D:D), 0)</f>
        <v>0</v>
      </c>
      <c r="I394" s="3">
        <f t="shared" si="1"/>
        <v>0</v>
      </c>
      <c r="J394" s="3">
        <f t="shared" si="2"/>
        <v>0</v>
      </c>
      <c r="K394" s="3">
        <f>IF(J394&gt;0,
        J394 * IF(G394&gt;0, G394/100,
            IFERROR( VLOOKUP(A394, Dividends!$A:$C, 3, FALSE) / VLOOKUP(A394, Prices!$A:$B, 2, FALSE), Inputs!$B$4)
        ) / 12,
        0)</f>
        <v>0</v>
      </c>
      <c r="L394" s="3">
        <f t="shared" si="3"/>
        <v>0</v>
      </c>
    </row>
    <row r="395" ht="15.75" customHeight="1">
      <c r="F395" s="3" t="str">
        <f>IFERROR(VLOOKUP(A395, Prices!A:B, 2, FALSE), )</f>
        <v/>
      </c>
      <c r="G395" s="3">
        <f>IFERROR(VLOOKUP(A395, Dividends!$A:$B, 2, FALSE),
       IFERROR( (VLOOKUP(A395, Dividends!$A:$C, 3, FALSE) / VLOOKUP(A395, Prices!$A:$B, 2, FALSE)) * 100,
                Inputs!$B$4*100 ))</f>
        <v>65</v>
      </c>
      <c r="H395" s="3">
        <f>IFERROR(SUMIF(Purchases!B:B, A395, Purchases!D:D), 0)</f>
        <v>0</v>
      </c>
      <c r="I395" s="3">
        <f t="shared" si="1"/>
        <v>0</v>
      </c>
      <c r="J395" s="3">
        <f t="shared" si="2"/>
        <v>0</v>
      </c>
      <c r="K395" s="3">
        <f>IF(J395&gt;0,
        J395 * IF(G395&gt;0, G395/100,
            IFERROR( VLOOKUP(A395, Dividends!$A:$C, 3, FALSE) / VLOOKUP(A395, Prices!$A:$B, 2, FALSE), Inputs!$B$4)
        ) / 12,
        0)</f>
        <v>0</v>
      </c>
      <c r="L395" s="3">
        <f t="shared" si="3"/>
        <v>0</v>
      </c>
    </row>
    <row r="396" ht="15.75" customHeight="1">
      <c r="F396" s="3" t="str">
        <f>IFERROR(VLOOKUP(A396, Prices!A:B, 2, FALSE), )</f>
        <v/>
      </c>
      <c r="G396" s="3">
        <f>IFERROR(VLOOKUP(A396, Dividends!$A:$B, 2, FALSE),
       IFERROR( (VLOOKUP(A396, Dividends!$A:$C, 3, FALSE) / VLOOKUP(A396, Prices!$A:$B, 2, FALSE)) * 100,
                Inputs!$B$4*100 ))</f>
        <v>65</v>
      </c>
      <c r="H396" s="3">
        <f>IFERROR(SUMIF(Purchases!B:B, A396, Purchases!D:D), 0)</f>
        <v>0</v>
      </c>
      <c r="I396" s="3">
        <f t="shared" si="1"/>
        <v>0</v>
      </c>
      <c r="J396" s="3">
        <f t="shared" si="2"/>
        <v>0</v>
      </c>
      <c r="K396" s="3">
        <f>IF(J396&gt;0,
        J396 * IF(G396&gt;0, G396/100,
            IFERROR( VLOOKUP(A396, Dividends!$A:$C, 3, FALSE) / VLOOKUP(A396, Prices!$A:$B, 2, FALSE), Inputs!$B$4)
        ) / 12,
        0)</f>
        <v>0</v>
      </c>
      <c r="L396" s="3">
        <f t="shared" si="3"/>
        <v>0</v>
      </c>
    </row>
    <row r="397" ht="15.75" customHeight="1">
      <c r="F397" s="3" t="str">
        <f>IFERROR(VLOOKUP(A397, Prices!A:B, 2, FALSE), )</f>
        <v/>
      </c>
      <c r="G397" s="3">
        <f>IFERROR(VLOOKUP(A397, Dividends!$A:$B, 2, FALSE),
       IFERROR( (VLOOKUP(A397, Dividends!$A:$C, 3, FALSE) / VLOOKUP(A397, Prices!$A:$B, 2, FALSE)) * 100,
                Inputs!$B$4*100 ))</f>
        <v>65</v>
      </c>
      <c r="H397" s="3">
        <f>IFERROR(SUMIF(Purchases!B:B, A397, Purchases!D:D), 0)</f>
        <v>0</v>
      </c>
      <c r="I397" s="3">
        <f t="shared" si="1"/>
        <v>0</v>
      </c>
      <c r="J397" s="3">
        <f t="shared" si="2"/>
        <v>0</v>
      </c>
      <c r="K397" s="3">
        <f>IF(J397&gt;0,
        J397 * IF(G397&gt;0, G397/100,
            IFERROR( VLOOKUP(A397, Dividends!$A:$C, 3, FALSE) / VLOOKUP(A397, Prices!$A:$B, 2, FALSE), Inputs!$B$4)
        ) / 12,
        0)</f>
        <v>0</v>
      </c>
      <c r="L397" s="3">
        <f t="shared" si="3"/>
        <v>0</v>
      </c>
    </row>
    <row r="398" ht="15.75" customHeight="1">
      <c r="F398" s="3" t="str">
        <f>IFERROR(VLOOKUP(A398, Prices!A:B, 2, FALSE), )</f>
        <v/>
      </c>
      <c r="G398" s="3">
        <f>IFERROR(VLOOKUP(A398, Dividends!$A:$B, 2, FALSE),
       IFERROR( (VLOOKUP(A398, Dividends!$A:$C, 3, FALSE) / VLOOKUP(A398, Prices!$A:$B, 2, FALSE)) * 100,
                Inputs!$B$4*100 ))</f>
        <v>65</v>
      </c>
      <c r="H398" s="3">
        <f>IFERROR(SUMIF(Purchases!B:B, A398, Purchases!D:D), 0)</f>
        <v>0</v>
      </c>
      <c r="I398" s="3">
        <f t="shared" si="1"/>
        <v>0</v>
      </c>
      <c r="J398" s="3">
        <f t="shared" si="2"/>
        <v>0</v>
      </c>
      <c r="K398" s="3">
        <f>IF(J398&gt;0,
        J398 * IF(G398&gt;0, G398/100,
            IFERROR( VLOOKUP(A398, Dividends!$A:$C, 3, FALSE) / VLOOKUP(A398, Prices!$A:$B, 2, FALSE), Inputs!$B$4)
        ) / 12,
        0)</f>
        <v>0</v>
      </c>
      <c r="L398" s="3">
        <f t="shared" si="3"/>
        <v>0</v>
      </c>
    </row>
    <row r="399" ht="15.75" customHeight="1">
      <c r="F399" s="3" t="str">
        <f>IFERROR(VLOOKUP(A399, Prices!A:B, 2, FALSE), )</f>
        <v/>
      </c>
      <c r="G399" s="3">
        <f>IFERROR(VLOOKUP(A399, Dividends!$A:$B, 2, FALSE),
       IFERROR( (VLOOKUP(A399, Dividends!$A:$C, 3, FALSE) / VLOOKUP(A399, Prices!$A:$B, 2, FALSE)) * 100,
                Inputs!$B$4*100 ))</f>
        <v>65</v>
      </c>
      <c r="H399" s="3">
        <f>IFERROR(SUMIF(Purchases!B:B, A399, Purchases!D:D), 0)</f>
        <v>0</v>
      </c>
      <c r="I399" s="3">
        <f t="shared" si="1"/>
        <v>0</v>
      </c>
      <c r="J399" s="3">
        <f t="shared" si="2"/>
        <v>0</v>
      </c>
      <c r="K399" s="3">
        <f>IF(J399&gt;0,
        J399 * IF(G399&gt;0, G399/100,
            IFERROR( VLOOKUP(A399, Dividends!$A:$C, 3, FALSE) / VLOOKUP(A399, Prices!$A:$B, 2, FALSE), Inputs!$B$4)
        ) / 12,
        0)</f>
        <v>0</v>
      </c>
      <c r="L399" s="3">
        <f t="shared" si="3"/>
        <v>0</v>
      </c>
    </row>
    <row r="400" ht="15.75" customHeight="1">
      <c r="F400" s="3" t="str">
        <f>IFERROR(VLOOKUP(A400, Prices!A:B, 2, FALSE), )</f>
        <v/>
      </c>
      <c r="G400" s="3">
        <f>IFERROR(VLOOKUP(A400, Dividends!$A:$B, 2, FALSE),
       IFERROR( (VLOOKUP(A400, Dividends!$A:$C, 3, FALSE) / VLOOKUP(A400, Prices!$A:$B, 2, FALSE)) * 100,
                Inputs!$B$4*100 ))</f>
        <v>65</v>
      </c>
      <c r="H400" s="3">
        <f>IFERROR(SUMIF(Purchases!B:B, A400, Purchases!D:D), 0)</f>
        <v>0</v>
      </c>
      <c r="I400" s="3">
        <f t="shared" si="1"/>
        <v>0</v>
      </c>
      <c r="J400" s="3">
        <f t="shared" si="2"/>
        <v>0</v>
      </c>
      <c r="K400" s="3">
        <f>IF(J400&gt;0,
        J400 * IF(G400&gt;0, G400/100,
            IFERROR( VLOOKUP(A400, Dividends!$A:$C, 3, FALSE) / VLOOKUP(A400, Prices!$A:$B, 2, FALSE), Inputs!$B$4)
        ) / 12,
        0)</f>
        <v>0</v>
      </c>
      <c r="L400" s="3">
        <f t="shared" si="3"/>
        <v>0</v>
      </c>
    </row>
    <row r="401" ht="15.75" customHeight="1">
      <c r="F401" s="3" t="str">
        <f>IFERROR(VLOOKUP(A401, Prices!A:B, 2, FALSE), )</f>
        <v/>
      </c>
      <c r="G401" s="3">
        <f>IFERROR(VLOOKUP(A401, Dividends!$A:$B, 2, FALSE),
       IFERROR( (VLOOKUP(A401, Dividends!$A:$C, 3, FALSE) / VLOOKUP(A401, Prices!$A:$B, 2, FALSE)) * 100,
                Inputs!$B$4*100 ))</f>
        <v>65</v>
      </c>
      <c r="H401" s="3">
        <f>IFERROR(SUMIF(Purchases!B:B, A401, Purchases!D:D), 0)</f>
        <v>0</v>
      </c>
      <c r="I401" s="3">
        <f t="shared" si="1"/>
        <v>0</v>
      </c>
      <c r="J401" s="3">
        <f t="shared" si="2"/>
        <v>0</v>
      </c>
      <c r="K401" s="3">
        <f>IF(J401&gt;0,
        J401 * IF(G401&gt;0, G401/100,
            IFERROR( VLOOKUP(A401, Dividends!$A:$C, 3, FALSE) / VLOOKUP(A401, Prices!$A:$B, 2, FALSE), Inputs!$B$4)
        ) / 12,
        0)</f>
        <v>0</v>
      </c>
      <c r="L401" s="3">
        <f t="shared" si="3"/>
        <v>0</v>
      </c>
    </row>
    <row r="402" ht="15.75" customHeight="1">
      <c r="F402" s="3" t="str">
        <f>IFERROR(VLOOKUP(A402, Prices!A:B, 2, FALSE), )</f>
        <v/>
      </c>
      <c r="G402" s="3">
        <f>IFERROR(VLOOKUP(A402, Dividends!$A:$B, 2, FALSE),
       IFERROR( (VLOOKUP(A402, Dividends!$A:$C, 3, FALSE) / VLOOKUP(A402, Prices!$A:$B, 2, FALSE)) * 100,
                Inputs!$B$4*100 ))</f>
        <v>65</v>
      </c>
      <c r="H402" s="3">
        <f>IFERROR(SUMIF(Purchases!B:B, A402, Purchases!D:D), 0)</f>
        <v>0</v>
      </c>
      <c r="I402" s="3">
        <f t="shared" si="1"/>
        <v>0</v>
      </c>
      <c r="J402" s="3">
        <f t="shared" si="2"/>
        <v>0</v>
      </c>
      <c r="K402" s="3">
        <f>IF(J402&gt;0,
        J402 * IF(G402&gt;0, G402/100,
            IFERROR( VLOOKUP(A402, Dividends!$A:$C, 3, FALSE) / VLOOKUP(A402, Prices!$A:$B, 2, FALSE), Inputs!$B$4)
        ) / 12,
        0)</f>
        <v>0</v>
      </c>
      <c r="L402" s="3">
        <f t="shared" si="3"/>
        <v>0</v>
      </c>
    </row>
    <row r="403" ht="15.75" customHeight="1">
      <c r="F403" s="3" t="str">
        <f>IFERROR(VLOOKUP(A403, Prices!A:B, 2, FALSE), )</f>
        <v/>
      </c>
      <c r="G403" s="3">
        <f>IFERROR(VLOOKUP(A403, Dividends!$A:$B, 2, FALSE),
       IFERROR( (VLOOKUP(A403, Dividends!$A:$C, 3, FALSE) / VLOOKUP(A403, Prices!$A:$B, 2, FALSE)) * 100,
                Inputs!$B$4*100 ))</f>
        <v>65</v>
      </c>
      <c r="H403" s="3">
        <f>IFERROR(SUMIF(Purchases!B:B, A403, Purchases!D:D), 0)</f>
        <v>0</v>
      </c>
      <c r="I403" s="3">
        <f t="shared" si="1"/>
        <v>0</v>
      </c>
      <c r="J403" s="3">
        <f t="shared" si="2"/>
        <v>0</v>
      </c>
      <c r="K403" s="3">
        <f>IF(J403&gt;0,
        J403 * IF(G403&gt;0, G403/100,
            IFERROR( VLOOKUP(A403, Dividends!$A:$C, 3, FALSE) / VLOOKUP(A403, Prices!$A:$B, 2, FALSE), Inputs!$B$4)
        ) / 12,
        0)</f>
        <v>0</v>
      </c>
      <c r="L403" s="3">
        <f t="shared" si="3"/>
        <v>0</v>
      </c>
    </row>
    <row r="404" ht="15.75" customHeight="1">
      <c r="F404" s="3" t="str">
        <f>IFERROR(VLOOKUP(A404, Prices!A:B, 2, FALSE), )</f>
        <v/>
      </c>
      <c r="G404" s="3">
        <f>IFERROR(VLOOKUP(A404, Dividends!$A:$B, 2, FALSE),
       IFERROR( (VLOOKUP(A404, Dividends!$A:$C, 3, FALSE) / VLOOKUP(A404, Prices!$A:$B, 2, FALSE)) * 100,
                Inputs!$B$4*100 ))</f>
        <v>65</v>
      </c>
      <c r="H404" s="3">
        <f>IFERROR(SUMIF(Purchases!B:B, A404, Purchases!D:D), 0)</f>
        <v>0</v>
      </c>
      <c r="I404" s="3">
        <f t="shared" si="1"/>
        <v>0</v>
      </c>
      <c r="J404" s="3">
        <f t="shared" si="2"/>
        <v>0</v>
      </c>
      <c r="K404" s="3">
        <f>IF(J404&gt;0,
        J404 * IF(G404&gt;0, G404/100,
            IFERROR( VLOOKUP(A404, Dividends!$A:$C, 3, FALSE) / VLOOKUP(A404, Prices!$A:$B, 2, FALSE), Inputs!$B$4)
        ) / 12,
        0)</f>
        <v>0</v>
      </c>
      <c r="L404" s="3">
        <f t="shared" si="3"/>
        <v>0</v>
      </c>
    </row>
    <row r="405" ht="15.75" customHeight="1">
      <c r="F405" s="3" t="str">
        <f>IFERROR(VLOOKUP(A405, Prices!A:B, 2, FALSE), )</f>
        <v/>
      </c>
      <c r="G405" s="3">
        <f>IFERROR(VLOOKUP(A405, Dividends!$A:$B, 2, FALSE),
       IFERROR( (VLOOKUP(A405, Dividends!$A:$C, 3, FALSE) / VLOOKUP(A405, Prices!$A:$B, 2, FALSE)) * 100,
                Inputs!$B$4*100 ))</f>
        <v>65</v>
      </c>
      <c r="H405" s="3">
        <f>IFERROR(SUMIF(Purchases!B:B, A405, Purchases!D:D), 0)</f>
        <v>0</v>
      </c>
      <c r="I405" s="3">
        <f t="shared" si="1"/>
        <v>0</v>
      </c>
      <c r="J405" s="3">
        <f t="shared" si="2"/>
        <v>0</v>
      </c>
      <c r="K405" s="3">
        <f>IF(J405&gt;0,
        J405 * IF(G405&gt;0, G405/100,
            IFERROR( VLOOKUP(A405, Dividends!$A:$C, 3, FALSE) / VLOOKUP(A405, Prices!$A:$B, 2, FALSE), Inputs!$B$4)
        ) / 12,
        0)</f>
        <v>0</v>
      </c>
      <c r="L405" s="3">
        <f t="shared" si="3"/>
        <v>0</v>
      </c>
    </row>
    <row r="406" ht="15.75" customHeight="1">
      <c r="F406" s="3" t="str">
        <f>IFERROR(VLOOKUP(A406, Prices!A:B, 2, FALSE), )</f>
        <v/>
      </c>
      <c r="G406" s="3">
        <f>IFERROR(VLOOKUP(A406, Dividends!$A:$B, 2, FALSE),
       IFERROR( (VLOOKUP(A406, Dividends!$A:$C, 3, FALSE) / VLOOKUP(A406, Prices!$A:$B, 2, FALSE)) * 100,
                Inputs!$B$4*100 ))</f>
        <v>65</v>
      </c>
      <c r="H406" s="3">
        <f>IFERROR(SUMIF(Purchases!B:B, A406, Purchases!D:D), 0)</f>
        <v>0</v>
      </c>
      <c r="I406" s="3">
        <f t="shared" si="1"/>
        <v>0</v>
      </c>
      <c r="J406" s="3">
        <f t="shared" si="2"/>
        <v>0</v>
      </c>
      <c r="K406" s="3">
        <f>IF(J406&gt;0,
        J406 * IF(G406&gt;0, G406/100,
            IFERROR( VLOOKUP(A406, Dividends!$A:$C, 3, FALSE) / VLOOKUP(A406, Prices!$A:$B, 2, FALSE), Inputs!$B$4)
        ) / 12,
        0)</f>
        <v>0</v>
      </c>
      <c r="L406" s="3">
        <f t="shared" si="3"/>
        <v>0</v>
      </c>
    </row>
    <row r="407" ht="15.75" customHeight="1">
      <c r="F407" s="3" t="str">
        <f>IFERROR(VLOOKUP(A407, Prices!A:B, 2, FALSE), )</f>
        <v/>
      </c>
      <c r="G407" s="3">
        <f>IFERROR(VLOOKUP(A407, Dividends!$A:$B, 2, FALSE),
       IFERROR( (VLOOKUP(A407, Dividends!$A:$C, 3, FALSE) / VLOOKUP(A407, Prices!$A:$B, 2, FALSE)) * 100,
                Inputs!$B$4*100 ))</f>
        <v>65</v>
      </c>
      <c r="H407" s="3">
        <f>IFERROR(SUMIF(Purchases!B:B, A407, Purchases!D:D), 0)</f>
        <v>0</v>
      </c>
      <c r="I407" s="3">
        <f t="shared" si="1"/>
        <v>0</v>
      </c>
      <c r="J407" s="3">
        <f t="shared" si="2"/>
        <v>0</v>
      </c>
      <c r="K407" s="3">
        <f>IF(J407&gt;0,
        J407 * IF(G407&gt;0, G407/100,
            IFERROR( VLOOKUP(A407, Dividends!$A:$C, 3, FALSE) / VLOOKUP(A407, Prices!$A:$B, 2, FALSE), Inputs!$B$4)
        ) / 12,
        0)</f>
        <v>0</v>
      </c>
      <c r="L407" s="3">
        <f t="shared" si="3"/>
        <v>0</v>
      </c>
    </row>
    <row r="408" ht="15.75" customHeight="1">
      <c r="F408" s="3" t="str">
        <f>IFERROR(VLOOKUP(A408, Prices!A:B, 2, FALSE), )</f>
        <v/>
      </c>
      <c r="G408" s="3">
        <f>IFERROR(VLOOKUP(A408, Dividends!$A:$B, 2, FALSE),
       IFERROR( (VLOOKUP(A408, Dividends!$A:$C, 3, FALSE) / VLOOKUP(A408, Prices!$A:$B, 2, FALSE)) * 100,
                Inputs!$B$4*100 ))</f>
        <v>65</v>
      </c>
      <c r="H408" s="3">
        <f>IFERROR(SUMIF(Purchases!B:B, A408, Purchases!D:D), 0)</f>
        <v>0</v>
      </c>
      <c r="I408" s="3">
        <f t="shared" si="1"/>
        <v>0</v>
      </c>
      <c r="J408" s="3">
        <f t="shared" si="2"/>
        <v>0</v>
      </c>
      <c r="K408" s="3">
        <f>IF(J408&gt;0,
        J408 * IF(G408&gt;0, G408/100,
            IFERROR( VLOOKUP(A408, Dividends!$A:$C, 3, FALSE) / VLOOKUP(A408, Prices!$A:$B, 2, FALSE), Inputs!$B$4)
        ) / 12,
        0)</f>
        <v>0</v>
      </c>
      <c r="L408" s="3">
        <f t="shared" si="3"/>
        <v>0</v>
      </c>
    </row>
    <row r="409" ht="15.75" customHeight="1">
      <c r="F409" s="3" t="str">
        <f>IFERROR(VLOOKUP(A409, Prices!A:B, 2, FALSE), )</f>
        <v/>
      </c>
      <c r="G409" s="3">
        <f>IFERROR(VLOOKUP(A409, Dividends!$A:$B, 2, FALSE),
       IFERROR( (VLOOKUP(A409, Dividends!$A:$C, 3, FALSE) / VLOOKUP(A409, Prices!$A:$B, 2, FALSE)) * 100,
                Inputs!$B$4*100 ))</f>
        <v>65</v>
      </c>
      <c r="H409" s="3">
        <f>IFERROR(SUMIF(Purchases!B:B, A409, Purchases!D:D), 0)</f>
        <v>0</v>
      </c>
      <c r="I409" s="3">
        <f t="shared" si="1"/>
        <v>0</v>
      </c>
      <c r="J409" s="3">
        <f t="shared" si="2"/>
        <v>0</v>
      </c>
      <c r="K409" s="3">
        <f>IF(J409&gt;0,
        J409 * IF(G409&gt;0, G409/100,
            IFERROR( VLOOKUP(A409, Dividends!$A:$C, 3, FALSE) / VLOOKUP(A409, Prices!$A:$B, 2, FALSE), Inputs!$B$4)
        ) / 12,
        0)</f>
        <v>0</v>
      </c>
      <c r="L409" s="3">
        <f t="shared" si="3"/>
        <v>0</v>
      </c>
    </row>
    <row r="410" ht="15.75" customHeight="1">
      <c r="F410" s="3" t="str">
        <f>IFERROR(VLOOKUP(A410, Prices!A:B, 2, FALSE), )</f>
        <v/>
      </c>
      <c r="G410" s="3">
        <f>IFERROR(VLOOKUP(A410, Dividends!$A:$B, 2, FALSE),
       IFERROR( (VLOOKUP(A410, Dividends!$A:$C, 3, FALSE) / VLOOKUP(A410, Prices!$A:$B, 2, FALSE)) * 100,
                Inputs!$B$4*100 ))</f>
        <v>65</v>
      </c>
      <c r="H410" s="3">
        <f>IFERROR(SUMIF(Purchases!B:B, A410, Purchases!D:D), 0)</f>
        <v>0</v>
      </c>
      <c r="I410" s="3">
        <f t="shared" si="1"/>
        <v>0</v>
      </c>
      <c r="J410" s="3">
        <f t="shared" si="2"/>
        <v>0</v>
      </c>
      <c r="K410" s="3">
        <f>IF(J410&gt;0,
        J410 * IF(G410&gt;0, G410/100,
            IFERROR( VLOOKUP(A410, Dividends!$A:$C, 3, FALSE) / VLOOKUP(A410, Prices!$A:$B, 2, FALSE), Inputs!$B$4)
        ) / 12,
        0)</f>
        <v>0</v>
      </c>
      <c r="L410" s="3">
        <f t="shared" si="3"/>
        <v>0</v>
      </c>
    </row>
    <row r="411" ht="15.75" customHeight="1">
      <c r="F411" s="3" t="str">
        <f>IFERROR(VLOOKUP(A411, Prices!A:B, 2, FALSE), )</f>
        <v/>
      </c>
      <c r="G411" s="3">
        <f>IFERROR(VLOOKUP(A411, Dividends!$A:$B, 2, FALSE),
       IFERROR( (VLOOKUP(A411, Dividends!$A:$C, 3, FALSE) / VLOOKUP(A411, Prices!$A:$B, 2, FALSE)) * 100,
                Inputs!$B$4*100 ))</f>
        <v>65</v>
      </c>
      <c r="H411" s="3">
        <f>IFERROR(SUMIF(Purchases!B:B, A411, Purchases!D:D), 0)</f>
        <v>0</v>
      </c>
      <c r="I411" s="3">
        <f t="shared" si="1"/>
        <v>0</v>
      </c>
      <c r="J411" s="3">
        <f t="shared" si="2"/>
        <v>0</v>
      </c>
      <c r="K411" s="3">
        <f>IF(J411&gt;0,
        J411 * IF(G411&gt;0, G411/100,
            IFERROR( VLOOKUP(A411, Dividends!$A:$C, 3, FALSE) / VLOOKUP(A411, Prices!$A:$B, 2, FALSE), Inputs!$B$4)
        ) / 12,
        0)</f>
        <v>0</v>
      </c>
      <c r="L411" s="3">
        <f t="shared" si="3"/>
        <v>0</v>
      </c>
    </row>
    <row r="412" ht="15.75" customHeight="1">
      <c r="F412" s="3" t="str">
        <f>IFERROR(VLOOKUP(A412, Prices!A:B, 2, FALSE), )</f>
        <v/>
      </c>
      <c r="G412" s="3">
        <f>IFERROR(VLOOKUP(A412, Dividends!$A:$B, 2, FALSE),
       IFERROR( (VLOOKUP(A412, Dividends!$A:$C, 3, FALSE) / VLOOKUP(A412, Prices!$A:$B, 2, FALSE)) * 100,
                Inputs!$B$4*100 ))</f>
        <v>65</v>
      </c>
      <c r="H412" s="3">
        <f>IFERROR(SUMIF(Purchases!B:B, A412, Purchases!D:D), 0)</f>
        <v>0</v>
      </c>
      <c r="I412" s="3">
        <f t="shared" si="1"/>
        <v>0</v>
      </c>
      <c r="J412" s="3">
        <f t="shared" si="2"/>
        <v>0</v>
      </c>
      <c r="K412" s="3">
        <f>IF(J412&gt;0,
        J412 * IF(G412&gt;0, G412/100,
            IFERROR( VLOOKUP(A412, Dividends!$A:$C, 3, FALSE) / VLOOKUP(A412, Prices!$A:$B, 2, FALSE), Inputs!$B$4)
        ) / 12,
        0)</f>
        <v>0</v>
      </c>
      <c r="L412" s="3">
        <f t="shared" si="3"/>
        <v>0</v>
      </c>
    </row>
    <row r="413" ht="15.75" customHeight="1">
      <c r="F413" s="3" t="str">
        <f>IFERROR(VLOOKUP(A413, Prices!A:B, 2, FALSE), )</f>
        <v/>
      </c>
      <c r="G413" s="3">
        <f>IFERROR(VLOOKUP(A413, Dividends!$A:$B, 2, FALSE),
       IFERROR( (VLOOKUP(A413, Dividends!$A:$C, 3, FALSE) / VLOOKUP(A413, Prices!$A:$B, 2, FALSE)) * 100,
                Inputs!$B$4*100 ))</f>
        <v>65</v>
      </c>
      <c r="H413" s="3">
        <f>IFERROR(SUMIF(Purchases!B:B, A413, Purchases!D:D), 0)</f>
        <v>0</v>
      </c>
      <c r="I413" s="3">
        <f t="shared" si="1"/>
        <v>0</v>
      </c>
      <c r="J413" s="3">
        <f t="shared" si="2"/>
        <v>0</v>
      </c>
      <c r="K413" s="3">
        <f>IF(J413&gt;0,
        J413 * IF(G413&gt;0, G413/100,
            IFERROR( VLOOKUP(A413, Dividends!$A:$C, 3, FALSE) / VLOOKUP(A413, Prices!$A:$B, 2, FALSE), Inputs!$B$4)
        ) / 12,
        0)</f>
        <v>0</v>
      </c>
      <c r="L413" s="3">
        <f t="shared" si="3"/>
        <v>0</v>
      </c>
    </row>
    <row r="414" ht="15.75" customHeight="1">
      <c r="F414" s="3" t="str">
        <f>IFERROR(VLOOKUP(A414, Prices!A:B, 2, FALSE), )</f>
        <v/>
      </c>
      <c r="G414" s="3">
        <f>IFERROR(VLOOKUP(A414, Dividends!$A:$B, 2, FALSE),
       IFERROR( (VLOOKUP(A414, Dividends!$A:$C, 3, FALSE) / VLOOKUP(A414, Prices!$A:$B, 2, FALSE)) * 100,
                Inputs!$B$4*100 ))</f>
        <v>65</v>
      </c>
      <c r="H414" s="3">
        <f>IFERROR(SUMIF(Purchases!B:B, A414, Purchases!D:D), 0)</f>
        <v>0</v>
      </c>
      <c r="I414" s="3">
        <f t="shared" si="1"/>
        <v>0</v>
      </c>
      <c r="J414" s="3">
        <f t="shared" si="2"/>
        <v>0</v>
      </c>
      <c r="K414" s="3">
        <f>IF(J414&gt;0,
        J414 * IF(G414&gt;0, G414/100,
            IFERROR( VLOOKUP(A414, Dividends!$A:$C, 3, FALSE) / VLOOKUP(A414, Prices!$A:$B, 2, FALSE), Inputs!$B$4)
        ) / 12,
        0)</f>
        <v>0</v>
      </c>
      <c r="L414" s="3">
        <f t="shared" si="3"/>
        <v>0</v>
      </c>
    </row>
    <row r="415" ht="15.75" customHeight="1">
      <c r="F415" s="3" t="str">
        <f>IFERROR(VLOOKUP(A415, Prices!A:B, 2, FALSE), )</f>
        <v/>
      </c>
      <c r="G415" s="3">
        <f>IFERROR(VLOOKUP(A415, Dividends!$A:$B, 2, FALSE),
       IFERROR( (VLOOKUP(A415, Dividends!$A:$C, 3, FALSE) / VLOOKUP(A415, Prices!$A:$B, 2, FALSE)) * 100,
                Inputs!$B$4*100 ))</f>
        <v>65</v>
      </c>
      <c r="H415" s="3">
        <f>IFERROR(SUMIF(Purchases!B:B, A415, Purchases!D:D), 0)</f>
        <v>0</v>
      </c>
      <c r="I415" s="3">
        <f t="shared" si="1"/>
        <v>0</v>
      </c>
      <c r="J415" s="3">
        <f t="shared" si="2"/>
        <v>0</v>
      </c>
      <c r="K415" s="3">
        <f>IF(J415&gt;0,
        J415 * IF(G415&gt;0, G415/100,
            IFERROR( VLOOKUP(A415, Dividends!$A:$C, 3, FALSE) / VLOOKUP(A415, Prices!$A:$B, 2, FALSE), Inputs!$B$4)
        ) / 12,
        0)</f>
        <v>0</v>
      </c>
      <c r="L415" s="3">
        <f t="shared" si="3"/>
        <v>0</v>
      </c>
    </row>
    <row r="416" ht="15.75" customHeight="1">
      <c r="F416" s="3" t="str">
        <f>IFERROR(VLOOKUP(A416, Prices!A:B, 2, FALSE), )</f>
        <v/>
      </c>
      <c r="G416" s="3">
        <f>IFERROR(VLOOKUP(A416, Dividends!$A:$B, 2, FALSE),
       IFERROR( (VLOOKUP(A416, Dividends!$A:$C, 3, FALSE) / VLOOKUP(A416, Prices!$A:$B, 2, FALSE)) * 100,
                Inputs!$B$4*100 ))</f>
        <v>65</v>
      </c>
      <c r="H416" s="3">
        <f>IFERROR(SUMIF(Purchases!B:B, A416, Purchases!D:D), 0)</f>
        <v>0</v>
      </c>
      <c r="I416" s="3">
        <f t="shared" si="1"/>
        <v>0</v>
      </c>
      <c r="J416" s="3">
        <f t="shared" si="2"/>
        <v>0</v>
      </c>
      <c r="K416" s="3">
        <f>IF(J416&gt;0,
        J416 * IF(G416&gt;0, G416/100,
            IFERROR( VLOOKUP(A416, Dividends!$A:$C, 3, FALSE) / VLOOKUP(A416, Prices!$A:$B, 2, FALSE), Inputs!$B$4)
        ) / 12,
        0)</f>
        <v>0</v>
      </c>
      <c r="L416" s="3">
        <f t="shared" si="3"/>
        <v>0</v>
      </c>
    </row>
    <row r="417" ht="15.75" customHeight="1">
      <c r="F417" s="3" t="str">
        <f>IFERROR(VLOOKUP(A417, Prices!A:B, 2, FALSE), )</f>
        <v/>
      </c>
      <c r="G417" s="3">
        <f>IFERROR(VLOOKUP(A417, Dividends!$A:$B, 2, FALSE),
       IFERROR( (VLOOKUP(A417, Dividends!$A:$C, 3, FALSE) / VLOOKUP(A417, Prices!$A:$B, 2, FALSE)) * 100,
                Inputs!$B$4*100 ))</f>
        <v>65</v>
      </c>
      <c r="H417" s="3">
        <f>IFERROR(SUMIF(Purchases!B:B, A417, Purchases!D:D), 0)</f>
        <v>0</v>
      </c>
      <c r="I417" s="3">
        <f t="shared" si="1"/>
        <v>0</v>
      </c>
      <c r="J417" s="3">
        <f t="shared" si="2"/>
        <v>0</v>
      </c>
      <c r="K417" s="3">
        <f>IF(J417&gt;0,
        J417 * IF(G417&gt;0, G417/100,
            IFERROR( VLOOKUP(A417, Dividends!$A:$C, 3, FALSE) / VLOOKUP(A417, Prices!$A:$B, 2, FALSE), Inputs!$B$4)
        ) / 12,
        0)</f>
        <v>0</v>
      </c>
      <c r="L417" s="3">
        <f t="shared" si="3"/>
        <v>0</v>
      </c>
    </row>
    <row r="418" ht="15.75" customHeight="1">
      <c r="F418" s="3" t="str">
        <f>IFERROR(VLOOKUP(A418, Prices!A:B, 2, FALSE), )</f>
        <v/>
      </c>
      <c r="G418" s="3">
        <f>IFERROR(VLOOKUP(A418, Dividends!$A:$B, 2, FALSE),
       IFERROR( (VLOOKUP(A418, Dividends!$A:$C, 3, FALSE) / VLOOKUP(A418, Prices!$A:$B, 2, FALSE)) * 100,
                Inputs!$B$4*100 ))</f>
        <v>65</v>
      </c>
      <c r="H418" s="3">
        <f>IFERROR(SUMIF(Purchases!B:B, A418, Purchases!D:D), 0)</f>
        <v>0</v>
      </c>
      <c r="I418" s="3">
        <f t="shared" si="1"/>
        <v>0</v>
      </c>
      <c r="J418" s="3">
        <f t="shared" si="2"/>
        <v>0</v>
      </c>
      <c r="K418" s="3">
        <f>IF(J418&gt;0,
        J418 * IF(G418&gt;0, G418/100,
            IFERROR( VLOOKUP(A418, Dividends!$A:$C, 3, FALSE) / VLOOKUP(A418, Prices!$A:$B, 2, FALSE), Inputs!$B$4)
        ) / 12,
        0)</f>
        <v>0</v>
      </c>
      <c r="L418" s="3">
        <f t="shared" si="3"/>
        <v>0</v>
      </c>
    </row>
    <row r="419" ht="15.75" customHeight="1">
      <c r="F419" s="3" t="str">
        <f>IFERROR(VLOOKUP(A419, Prices!A:B, 2, FALSE), )</f>
        <v/>
      </c>
      <c r="G419" s="3">
        <f>IFERROR(VLOOKUP(A419, Dividends!$A:$B, 2, FALSE),
       IFERROR( (VLOOKUP(A419, Dividends!$A:$C, 3, FALSE) / VLOOKUP(A419, Prices!$A:$B, 2, FALSE)) * 100,
                Inputs!$B$4*100 ))</f>
        <v>65</v>
      </c>
      <c r="H419" s="3">
        <f>IFERROR(SUMIF(Purchases!B:B, A419, Purchases!D:D), 0)</f>
        <v>0</v>
      </c>
      <c r="I419" s="3">
        <f t="shared" si="1"/>
        <v>0</v>
      </c>
      <c r="J419" s="3">
        <f t="shared" si="2"/>
        <v>0</v>
      </c>
      <c r="K419" s="3">
        <f>IF(J419&gt;0,
        J419 * IF(G419&gt;0, G419/100,
            IFERROR( VLOOKUP(A419, Dividends!$A:$C, 3, FALSE) / VLOOKUP(A419, Prices!$A:$B, 2, FALSE), Inputs!$B$4)
        ) / 12,
        0)</f>
        <v>0</v>
      </c>
      <c r="L419" s="3">
        <f t="shared" si="3"/>
        <v>0</v>
      </c>
    </row>
    <row r="420" ht="15.75" customHeight="1">
      <c r="F420" s="3" t="str">
        <f>IFERROR(VLOOKUP(A420, Prices!A:B, 2, FALSE), )</f>
        <v/>
      </c>
      <c r="G420" s="3">
        <f>IFERROR(VLOOKUP(A420, Dividends!$A:$B, 2, FALSE),
       IFERROR( (VLOOKUP(A420, Dividends!$A:$C, 3, FALSE) / VLOOKUP(A420, Prices!$A:$B, 2, FALSE)) * 100,
                Inputs!$B$4*100 ))</f>
        <v>65</v>
      </c>
      <c r="H420" s="3">
        <f>IFERROR(SUMIF(Purchases!B:B, A420, Purchases!D:D), 0)</f>
        <v>0</v>
      </c>
      <c r="I420" s="3">
        <f t="shared" si="1"/>
        <v>0</v>
      </c>
      <c r="J420" s="3">
        <f t="shared" si="2"/>
        <v>0</v>
      </c>
      <c r="K420" s="3">
        <f>IF(J420&gt;0,
        J420 * IF(G420&gt;0, G420/100,
            IFERROR( VLOOKUP(A420, Dividends!$A:$C, 3, FALSE) / VLOOKUP(A420, Prices!$A:$B, 2, FALSE), Inputs!$B$4)
        ) / 12,
        0)</f>
        <v>0</v>
      </c>
      <c r="L420" s="3">
        <f t="shared" si="3"/>
        <v>0</v>
      </c>
    </row>
    <row r="421" ht="15.75" customHeight="1">
      <c r="F421" s="3" t="str">
        <f>IFERROR(VLOOKUP(A421, Prices!A:B, 2, FALSE), )</f>
        <v/>
      </c>
      <c r="G421" s="3">
        <f>IFERROR(VLOOKUP(A421, Dividends!$A:$B, 2, FALSE),
       IFERROR( (VLOOKUP(A421, Dividends!$A:$C, 3, FALSE) / VLOOKUP(A421, Prices!$A:$B, 2, FALSE)) * 100,
                Inputs!$B$4*100 ))</f>
        <v>65</v>
      </c>
      <c r="H421" s="3">
        <f>IFERROR(SUMIF(Purchases!B:B, A421, Purchases!D:D), 0)</f>
        <v>0</v>
      </c>
      <c r="I421" s="3">
        <f t="shared" si="1"/>
        <v>0</v>
      </c>
      <c r="J421" s="3">
        <f t="shared" si="2"/>
        <v>0</v>
      </c>
      <c r="K421" s="3">
        <f>IF(J421&gt;0,
        J421 * IF(G421&gt;0, G421/100,
            IFERROR( VLOOKUP(A421, Dividends!$A:$C, 3, FALSE) / VLOOKUP(A421, Prices!$A:$B, 2, FALSE), Inputs!$B$4)
        ) / 12,
        0)</f>
        <v>0</v>
      </c>
      <c r="L421" s="3">
        <f t="shared" si="3"/>
        <v>0</v>
      </c>
    </row>
    <row r="422" ht="15.75" customHeight="1">
      <c r="F422" s="3" t="str">
        <f>IFERROR(VLOOKUP(A422, Prices!A:B, 2, FALSE), )</f>
        <v/>
      </c>
      <c r="G422" s="3">
        <f>IFERROR(VLOOKUP(A422, Dividends!$A:$B, 2, FALSE),
       IFERROR( (VLOOKUP(A422, Dividends!$A:$C, 3, FALSE) / VLOOKUP(A422, Prices!$A:$B, 2, FALSE)) * 100,
                Inputs!$B$4*100 ))</f>
        <v>65</v>
      </c>
      <c r="H422" s="3">
        <f>IFERROR(SUMIF(Purchases!B:B, A422, Purchases!D:D), 0)</f>
        <v>0</v>
      </c>
      <c r="I422" s="3">
        <f t="shared" si="1"/>
        <v>0</v>
      </c>
      <c r="J422" s="3">
        <f t="shared" si="2"/>
        <v>0</v>
      </c>
      <c r="K422" s="3">
        <f>IF(J422&gt;0,
        J422 * IF(G422&gt;0, G422/100,
            IFERROR( VLOOKUP(A422, Dividends!$A:$C, 3, FALSE) / VLOOKUP(A422, Prices!$A:$B, 2, FALSE), Inputs!$B$4)
        ) / 12,
        0)</f>
        <v>0</v>
      </c>
      <c r="L422" s="3">
        <f t="shared" si="3"/>
        <v>0</v>
      </c>
    </row>
    <row r="423" ht="15.75" customHeight="1">
      <c r="F423" s="3" t="str">
        <f>IFERROR(VLOOKUP(A423, Prices!A:B, 2, FALSE), )</f>
        <v/>
      </c>
      <c r="G423" s="3">
        <f>IFERROR(VLOOKUP(A423, Dividends!$A:$B, 2, FALSE),
       IFERROR( (VLOOKUP(A423, Dividends!$A:$C, 3, FALSE) / VLOOKUP(A423, Prices!$A:$B, 2, FALSE)) * 100,
                Inputs!$B$4*100 ))</f>
        <v>65</v>
      </c>
      <c r="H423" s="3">
        <f>IFERROR(SUMIF(Purchases!B:B, A423, Purchases!D:D), 0)</f>
        <v>0</v>
      </c>
      <c r="I423" s="3">
        <f t="shared" si="1"/>
        <v>0</v>
      </c>
      <c r="J423" s="3">
        <f t="shared" si="2"/>
        <v>0</v>
      </c>
      <c r="K423" s="3">
        <f>IF(J423&gt;0,
        J423 * IF(G423&gt;0, G423/100,
            IFERROR( VLOOKUP(A423, Dividends!$A:$C, 3, FALSE) / VLOOKUP(A423, Prices!$A:$B, 2, FALSE), Inputs!$B$4)
        ) / 12,
        0)</f>
        <v>0</v>
      </c>
      <c r="L423" s="3">
        <f t="shared" si="3"/>
        <v>0</v>
      </c>
    </row>
    <row r="424" ht="15.75" customHeight="1">
      <c r="F424" s="3" t="str">
        <f>IFERROR(VLOOKUP(A424, Prices!A:B, 2, FALSE), )</f>
        <v/>
      </c>
      <c r="G424" s="3">
        <f>IFERROR(VLOOKUP(A424, Dividends!$A:$B, 2, FALSE),
       IFERROR( (VLOOKUP(A424, Dividends!$A:$C, 3, FALSE) / VLOOKUP(A424, Prices!$A:$B, 2, FALSE)) * 100,
                Inputs!$B$4*100 ))</f>
        <v>65</v>
      </c>
      <c r="H424" s="3">
        <f>IFERROR(SUMIF(Purchases!B:B, A424, Purchases!D:D), 0)</f>
        <v>0</v>
      </c>
      <c r="I424" s="3">
        <f t="shared" si="1"/>
        <v>0</v>
      </c>
      <c r="J424" s="3">
        <f t="shared" si="2"/>
        <v>0</v>
      </c>
      <c r="K424" s="3">
        <f>IF(J424&gt;0,
        J424 * IF(G424&gt;0, G424/100,
            IFERROR( VLOOKUP(A424, Dividends!$A:$C, 3, FALSE) / VLOOKUP(A424, Prices!$A:$B, 2, FALSE), Inputs!$B$4)
        ) / 12,
        0)</f>
        <v>0</v>
      </c>
      <c r="L424" s="3">
        <f t="shared" si="3"/>
        <v>0</v>
      </c>
    </row>
    <row r="425" ht="15.75" customHeight="1">
      <c r="F425" s="3" t="str">
        <f>IFERROR(VLOOKUP(A425, Prices!A:B, 2, FALSE), )</f>
        <v/>
      </c>
      <c r="G425" s="3">
        <f>IFERROR(VLOOKUP(A425, Dividends!$A:$B, 2, FALSE),
       IFERROR( (VLOOKUP(A425, Dividends!$A:$C, 3, FALSE) / VLOOKUP(A425, Prices!$A:$B, 2, FALSE)) * 100,
                Inputs!$B$4*100 ))</f>
        <v>65</v>
      </c>
      <c r="H425" s="3">
        <f>IFERROR(SUMIF(Purchases!B:B, A425, Purchases!D:D), 0)</f>
        <v>0</v>
      </c>
      <c r="I425" s="3">
        <f t="shared" si="1"/>
        <v>0</v>
      </c>
      <c r="J425" s="3">
        <f t="shared" si="2"/>
        <v>0</v>
      </c>
      <c r="K425" s="3">
        <f>IF(J425&gt;0,
        J425 * IF(G425&gt;0, G425/100,
            IFERROR( VLOOKUP(A425, Dividends!$A:$C, 3, FALSE) / VLOOKUP(A425, Prices!$A:$B, 2, FALSE), Inputs!$B$4)
        ) / 12,
        0)</f>
        <v>0</v>
      </c>
      <c r="L425" s="3">
        <f t="shared" si="3"/>
        <v>0</v>
      </c>
    </row>
    <row r="426" ht="15.75" customHeight="1">
      <c r="F426" s="3" t="str">
        <f>IFERROR(VLOOKUP(A426, Prices!A:B, 2, FALSE), )</f>
        <v/>
      </c>
      <c r="G426" s="3">
        <f>IFERROR(VLOOKUP(A426, Dividends!$A:$B, 2, FALSE),
       IFERROR( (VLOOKUP(A426, Dividends!$A:$C, 3, FALSE) / VLOOKUP(A426, Prices!$A:$B, 2, FALSE)) * 100,
                Inputs!$B$4*100 ))</f>
        <v>65</v>
      </c>
      <c r="H426" s="3">
        <f>IFERROR(SUMIF(Purchases!B:B, A426, Purchases!D:D), 0)</f>
        <v>0</v>
      </c>
      <c r="I426" s="3">
        <f t="shared" si="1"/>
        <v>0</v>
      </c>
      <c r="J426" s="3">
        <f t="shared" si="2"/>
        <v>0</v>
      </c>
      <c r="K426" s="3">
        <f>IF(J426&gt;0,
        J426 * IF(G426&gt;0, G426/100,
            IFERROR( VLOOKUP(A426, Dividends!$A:$C, 3, FALSE) / VLOOKUP(A426, Prices!$A:$B, 2, FALSE), Inputs!$B$4)
        ) / 12,
        0)</f>
        <v>0</v>
      </c>
      <c r="L426" s="3">
        <f t="shared" si="3"/>
        <v>0</v>
      </c>
    </row>
    <row r="427" ht="15.75" customHeight="1">
      <c r="F427" s="3" t="str">
        <f>IFERROR(VLOOKUP(A427, Prices!A:B, 2, FALSE), )</f>
        <v/>
      </c>
      <c r="G427" s="3">
        <f>IFERROR(VLOOKUP(A427, Dividends!$A:$B, 2, FALSE),
       IFERROR( (VLOOKUP(A427, Dividends!$A:$C, 3, FALSE) / VLOOKUP(A427, Prices!$A:$B, 2, FALSE)) * 100,
                Inputs!$B$4*100 ))</f>
        <v>65</v>
      </c>
      <c r="H427" s="3">
        <f>IFERROR(SUMIF(Purchases!B:B, A427, Purchases!D:D), 0)</f>
        <v>0</v>
      </c>
      <c r="I427" s="3">
        <f t="shared" si="1"/>
        <v>0</v>
      </c>
      <c r="J427" s="3">
        <f t="shared" si="2"/>
        <v>0</v>
      </c>
      <c r="K427" s="3">
        <f>IF(J427&gt;0,
        J427 * IF(G427&gt;0, G427/100,
            IFERROR( VLOOKUP(A427, Dividends!$A:$C, 3, FALSE) / VLOOKUP(A427, Prices!$A:$B, 2, FALSE), Inputs!$B$4)
        ) / 12,
        0)</f>
        <v>0</v>
      </c>
      <c r="L427" s="3">
        <f t="shared" si="3"/>
        <v>0</v>
      </c>
    </row>
    <row r="428" ht="15.75" customHeight="1">
      <c r="F428" s="3" t="str">
        <f>IFERROR(VLOOKUP(A428, Prices!A:B, 2, FALSE), )</f>
        <v/>
      </c>
      <c r="G428" s="3">
        <f>IFERROR(VLOOKUP(A428, Dividends!$A:$B, 2, FALSE),
       IFERROR( (VLOOKUP(A428, Dividends!$A:$C, 3, FALSE) / VLOOKUP(A428, Prices!$A:$B, 2, FALSE)) * 100,
                Inputs!$B$4*100 ))</f>
        <v>65</v>
      </c>
      <c r="H428" s="3">
        <f>IFERROR(SUMIF(Purchases!B:B, A428, Purchases!D:D), 0)</f>
        <v>0</v>
      </c>
      <c r="I428" s="3">
        <f t="shared" si="1"/>
        <v>0</v>
      </c>
      <c r="J428" s="3">
        <f t="shared" si="2"/>
        <v>0</v>
      </c>
      <c r="K428" s="3">
        <f>IF(J428&gt;0,
        J428 * IF(G428&gt;0, G428/100,
            IFERROR( VLOOKUP(A428, Dividends!$A:$C, 3, FALSE) / VLOOKUP(A428, Prices!$A:$B, 2, FALSE), Inputs!$B$4)
        ) / 12,
        0)</f>
        <v>0</v>
      </c>
      <c r="L428" s="3">
        <f t="shared" si="3"/>
        <v>0</v>
      </c>
    </row>
    <row r="429" ht="15.75" customHeight="1">
      <c r="F429" s="3" t="str">
        <f>IFERROR(VLOOKUP(A429, Prices!A:B, 2, FALSE), )</f>
        <v/>
      </c>
      <c r="G429" s="3">
        <f>IFERROR(VLOOKUP(A429, Dividends!$A:$B, 2, FALSE),
       IFERROR( (VLOOKUP(A429, Dividends!$A:$C, 3, FALSE) / VLOOKUP(A429, Prices!$A:$B, 2, FALSE)) * 100,
                Inputs!$B$4*100 ))</f>
        <v>65</v>
      </c>
      <c r="H429" s="3">
        <f>IFERROR(SUMIF(Purchases!B:B, A429, Purchases!D:D), 0)</f>
        <v>0</v>
      </c>
      <c r="I429" s="3">
        <f t="shared" si="1"/>
        <v>0</v>
      </c>
      <c r="J429" s="3">
        <f t="shared" si="2"/>
        <v>0</v>
      </c>
      <c r="K429" s="3">
        <f>IF(J429&gt;0,
        J429 * IF(G429&gt;0, G429/100,
            IFERROR( VLOOKUP(A429, Dividends!$A:$C, 3, FALSE) / VLOOKUP(A429, Prices!$A:$B, 2, FALSE), Inputs!$B$4)
        ) / 12,
        0)</f>
        <v>0</v>
      </c>
      <c r="L429" s="3">
        <f t="shared" si="3"/>
        <v>0</v>
      </c>
    </row>
    <row r="430" ht="15.75" customHeight="1">
      <c r="F430" s="3" t="str">
        <f>IFERROR(VLOOKUP(A430, Prices!A:B, 2, FALSE), )</f>
        <v/>
      </c>
      <c r="G430" s="3">
        <f>IFERROR(VLOOKUP(A430, Dividends!$A:$B, 2, FALSE),
       IFERROR( (VLOOKUP(A430, Dividends!$A:$C, 3, FALSE) / VLOOKUP(A430, Prices!$A:$B, 2, FALSE)) * 100,
                Inputs!$B$4*100 ))</f>
        <v>65</v>
      </c>
      <c r="H430" s="3">
        <f>IFERROR(SUMIF(Purchases!B:B, A430, Purchases!D:D), 0)</f>
        <v>0</v>
      </c>
      <c r="I430" s="3">
        <f t="shared" si="1"/>
        <v>0</v>
      </c>
      <c r="J430" s="3">
        <f t="shared" si="2"/>
        <v>0</v>
      </c>
      <c r="K430" s="3">
        <f>IF(J430&gt;0,
        J430 * IF(G430&gt;0, G430/100,
            IFERROR( VLOOKUP(A430, Dividends!$A:$C, 3, FALSE) / VLOOKUP(A430, Prices!$A:$B, 2, FALSE), Inputs!$B$4)
        ) / 12,
        0)</f>
        <v>0</v>
      </c>
      <c r="L430" s="3">
        <f t="shared" si="3"/>
        <v>0</v>
      </c>
    </row>
    <row r="431" ht="15.75" customHeight="1">
      <c r="F431" s="3" t="str">
        <f>IFERROR(VLOOKUP(A431, Prices!A:B, 2, FALSE), )</f>
        <v/>
      </c>
      <c r="G431" s="3">
        <f>IFERROR(VLOOKUP(A431, Dividends!$A:$B, 2, FALSE),
       IFERROR( (VLOOKUP(A431, Dividends!$A:$C, 3, FALSE) / VLOOKUP(A431, Prices!$A:$B, 2, FALSE)) * 100,
                Inputs!$B$4*100 ))</f>
        <v>65</v>
      </c>
      <c r="H431" s="3">
        <f>IFERROR(SUMIF(Purchases!B:B, A431, Purchases!D:D), 0)</f>
        <v>0</v>
      </c>
      <c r="I431" s="3">
        <f t="shared" si="1"/>
        <v>0</v>
      </c>
      <c r="J431" s="3">
        <f t="shared" si="2"/>
        <v>0</v>
      </c>
      <c r="K431" s="3">
        <f>IF(J431&gt;0,
        J431 * IF(G431&gt;0, G431/100,
            IFERROR( VLOOKUP(A431, Dividends!$A:$C, 3, FALSE) / VLOOKUP(A431, Prices!$A:$B, 2, FALSE), Inputs!$B$4)
        ) / 12,
        0)</f>
        <v>0</v>
      </c>
      <c r="L431" s="3">
        <f t="shared" si="3"/>
        <v>0</v>
      </c>
    </row>
    <row r="432" ht="15.75" customHeight="1">
      <c r="F432" s="3" t="str">
        <f>IFERROR(VLOOKUP(A432, Prices!A:B, 2, FALSE), )</f>
        <v/>
      </c>
      <c r="G432" s="3">
        <f>IFERROR(VLOOKUP(A432, Dividends!$A:$B, 2, FALSE),
       IFERROR( (VLOOKUP(A432, Dividends!$A:$C, 3, FALSE) / VLOOKUP(A432, Prices!$A:$B, 2, FALSE)) * 100,
                Inputs!$B$4*100 ))</f>
        <v>65</v>
      </c>
      <c r="H432" s="3">
        <f>IFERROR(SUMIF(Purchases!B:B, A432, Purchases!D:D), 0)</f>
        <v>0</v>
      </c>
      <c r="I432" s="3">
        <f t="shared" si="1"/>
        <v>0</v>
      </c>
      <c r="J432" s="3">
        <f t="shared" si="2"/>
        <v>0</v>
      </c>
      <c r="K432" s="3">
        <f>IF(J432&gt;0,
        J432 * IF(G432&gt;0, G432/100,
            IFERROR( VLOOKUP(A432, Dividends!$A:$C, 3, FALSE) / VLOOKUP(A432, Prices!$A:$B, 2, FALSE), Inputs!$B$4)
        ) / 12,
        0)</f>
        <v>0</v>
      </c>
      <c r="L432" s="3">
        <f t="shared" si="3"/>
        <v>0</v>
      </c>
    </row>
    <row r="433" ht="15.75" customHeight="1">
      <c r="F433" s="3" t="str">
        <f>IFERROR(VLOOKUP(A433, Prices!A:B, 2, FALSE), )</f>
        <v/>
      </c>
      <c r="G433" s="3">
        <f>IFERROR(VLOOKUP(A433, Dividends!$A:$B, 2, FALSE),
       IFERROR( (VLOOKUP(A433, Dividends!$A:$C, 3, FALSE) / VLOOKUP(A433, Prices!$A:$B, 2, FALSE)) * 100,
                Inputs!$B$4*100 ))</f>
        <v>65</v>
      </c>
      <c r="H433" s="3">
        <f>IFERROR(SUMIF(Purchases!B:B, A433, Purchases!D:D), 0)</f>
        <v>0</v>
      </c>
      <c r="I433" s="3">
        <f t="shared" si="1"/>
        <v>0</v>
      </c>
      <c r="J433" s="3">
        <f t="shared" si="2"/>
        <v>0</v>
      </c>
      <c r="K433" s="3">
        <f>IF(J433&gt;0,
        J433 * IF(G433&gt;0, G433/100,
            IFERROR( VLOOKUP(A433, Dividends!$A:$C, 3, FALSE) / VLOOKUP(A433, Prices!$A:$B, 2, FALSE), Inputs!$B$4)
        ) / 12,
        0)</f>
        <v>0</v>
      </c>
      <c r="L433" s="3">
        <f t="shared" si="3"/>
        <v>0</v>
      </c>
    </row>
    <row r="434" ht="15.75" customHeight="1">
      <c r="F434" s="3" t="str">
        <f>IFERROR(VLOOKUP(A434, Prices!A:B, 2, FALSE), )</f>
        <v/>
      </c>
      <c r="G434" s="3">
        <f>IFERROR(VLOOKUP(A434, Dividends!$A:$B, 2, FALSE),
       IFERROR( (VLOOKUP(A434, Dividends!$A:$C, 3, FALSE) / VLOOKUP(A434, Prices!$A:$B, 2, FALSE)) * 100,
                Inputs!$B$4*100 ))</f>
        <v>65</v>
      </c>
      <c r="H434" s="3">
        <f>IFERROR(SUMIF(Purchases!B:B, A434, Purchases!D:D), 0)</f>
        <v>0</v>
      </c>
      <c r="I434" s="3">
        <f t="shared" si="1"/>
        <v>0</v>
      </c>
      <c r="J434" s="3">
        <f t="shared" si="2"/>
        <v>0</v>
      </c>
      <c r="K434" s="3">
        <f>IF(J434&gt;0,
        J434 * IF(G434&gt;0, G434/100,
            IFERROR( VLOOKUP(A434, Dividends!$A:$C, 3, FALSE) / VLOOKUP(A434, Prices!$A:$B, 2, FALSE), Inputs!$B$4)
        ) / 12,
        0)</f>
        <v>0</v>
      </c>
      <c r="L434" s="3">
        <f t="shared" si="3"/>
        <v>0</v>
      </c>
    </row>
    <row r="435" ht="15.75" customHeight="1">
      <c r="F435" s="3" t="str">
        <f>IFERROR(VLOOKUP(A435, Prices!A:B, 2, FALSE), )</f>
        <v/>
      </c>
      <c r="G435" s="3">
        <f>IFERROR(VLOOKUP(A435, Dividends!$A:$B, 2, FALSE),
       IFERROR( (VLOOKUP(A435, Dividends!$A:$C, 3, FALSE) / VLOOKUP(A435, Prices!$A:$B, 2, FALSE)) * 100,
                Inputs!$B$4*100 ))</f>
        <v>65</v>
      </c>
      <c r="H435" s="3">
        <f>IFERROR(SUMIF(Purchases!B:B, A435, Purchases!D:D), 0)</f>
        <v>0</v>
      </c>
      <c r="I435" s="3">
        <f t="shared" si="1"/>
        <v>0</v>
      </c>
      <c r="J435" s="3">
        <f t="shared" si="2"/>
        <v>0</v>
      </c>
      <c r="K435" s="3">
        <f>IF(J435&gt;0,
        J435 * IF(G435&gt;0, G435/100,
            IFERROR( VLOOKUP(A435, Dividends!$A:$C, 3, FALSE) / VLOOKUP(A435, Prices!$A:$B, 2, FALSE), Inputs!$B$4)
        ) / 12,
        0)</f>
        <v>0</v>
      </c>
      <c r="L435" s="3">
        <f t="shared" si="3"/>
        <v>0</v>
      </c>
    </row>
    <row r="436" ht="15.75" customHeight="1">
      <c r="F436" s="3" t="str">
        <f>IFERROR(VLOOKUP(A436, Prices!A:B, 2, FALSE), )</f>
        <v/>
      </c>
      <c r="G436" s="3">
        <f>IFERROR(VLOOKUP(A436, Dividends!$A:$B, 2, FALSE),
       IFERROR( (VLOOKUP(A436, Dividends!$A:$C, 3, FALSE) / VLOOKUP(A436, Prices!$A:$B, 2, FALSE)) * 100,
                Inputs!$B$4*100 ))</f>
        <v>65</v>
      </c>
      <c r="H436" s="3">
        <f>IFERROR(SUMIF(Purchases!B:B, A436, Purchases!D:D), 0)</f>
        <v>0</v>
      </c>
      <c r="I436" s="3">
        <f t="shared" si="1"/>
        <v>0</v>
      </c>
      <c r="J436" s="3">
        <f t="shared" si="2"/>
        <v>0</v>
      </c>
      <c r="K436" s="3">
        <f>IF(J436&gt;0,
        J436 * IF(G436&gt;0, G436/100,
            IFERROR( VLOOKUP(A436, Dividends!$A:$C, 3, FALSE) / VLOOKUP(A436, Prices!$A:$B, 2, FALSE), Inputs!$B$4)
        ) / 12,
        0)</f>
        <v>0</v>
      </c>
      <c r="L436" s="3">
        <f t="shared" si="3"/>
        <v>0</v>
      </c>
    </row>
    <row r="437" ht="15.75" customHeight="1">
      <c r="F437" s="3" t="str">
        <f>IFERROR(VLOOKUP(A437, Prices!A:B, 2, FALSE), )</f>
        <v/>
      </c>
      <c r="G437" s="3">
        <f>IFERROR(VLOOKUP(A437, Dividends!$A:$B, 2, FALSE),
       IFERROR( (VLOOKUP(A437, Dividends!$A:$C, 3, FALSE) / VLOOKUP(A437, Prices!$A:$B, 2, FALSE)) * 100,
                Inputs!$B$4*100 ))</f>
        <v>65</v>
      </c>
      <c r="H437" s="3">
        <f>IFERROR(SUMIF(Purchases!B:B, A437, Purchases!D:D), 0)</f>
        <v>0</v>
      </c>
      <c r="I437" s="3">
        <f t="shared" si="1"/>
        <v>0</v>
      </c>
      <c r="J437" s="3">
        <f t="shared" si="2"/>
        <v>0</v>
      </c>
      <c r="K437" s="3">
        <f>IF(J437&gt;0,
        J437 * IF(G437&gt;0, G437/100,
            IFERROR( VLOOKUP(A437, Dividends!$A:$C, 3, FALSE) / VLOOKUP(A437, Prices!$A:$B, 2, FALSE), Inputs!$B$4)
        ) / 12,
        0)</f>
        <v>0</v>
      </c>
      <c r="L437" s="3">
        <f t="shared" si="3"/>
        <v>0</v>
      </c>
    </row>
    <row r="438" ht="15.75" customHeight="1">
      <c r="F438" s="3" t="str">
        <f>IFERROR(VLOOKUP(A438, Prices!A:B, 2, FALSE), )</f>
        <v/>
      </c>
      <c r="G438" s="3">
        <f>IFERROR(VLOOKUP(A438, Dividends!$A:$B, 2, FALSE),
       IFERROR( (VLOOKUP(A438, Dividends!$A:$C, 3, FALSE) / VLOOKUP(A438, Prices!$A:$B, 2, FALSE)) * 100,
                Inputs!$B$4*100 ))</f>
        <v>65</v>
      </c>
      <c r="H438" s="3">
        <f>IFERROR(SUMIF(Purchases!B:B, A438, Purchases!D:D), 0)</f>
        <v>0</v>
      </c>
      <c r="I438" s="3">
        <f t="shared" si="1"/>
        <v>0</v>
      </c>
      <c r="J438" s="3">
        <f t="shared" si="2"/>
        <v>0</v>
      </c>
      <c r="K438" s="3">
        <f>IF(J438&gt;0,
        J438 * IF(G438&gt;0, G438/100,
            IFERROR( VLOOKUP(A438, Dividends!$A:$C, 3, FALSE) / VLOOKUP(A438, Prices!$A:$B, 2, FALSE), Inputs!$B$4)
        ) / 12,
        0)</f>
        <v>0</v>
      </c>
      <c r="L438" s="3">
        <f t="shared" si="3"/>
        <v>0</v>
      </c>
    </row>
    <row r="439" ht="15.75" customHeight="1">
      <c r="F439" s="3" t="str">
        <f>IFERROR(VLOOKUP(A439, Prices!A:B, 2, FALSE), )</f>
        <v/>
      </c>
      <c r="G439" s="3">
        <f>IFERROR(VLOOKUP(A439, Dividends!$A:$B, 2, FALSE),
       IFERROR( (VLOOKUP(A439, Dividends!$A:$C, 3, FALSE) / VLOOKUP(A439, Prices!$A:$B, 2, FALSE)) * 100,
                Inputs!$B$4*100 ))</f>
        <v>65</v>
      </c>
      <c r="H439" s="3">
        <f>IFERROR(SUMIF(Purchases!B:B, A439, Purchases!D:D), 0)</f>
        <v>0</v>
      </c>
      <c r="I439" s="3">
        <f t="shared" si="1"/>
        <v>0</v>
      </c>
      <c r="J439" s="3">
        <f t="shared" si="2"/>
        <v>0</v>
      </c>
      <c r="K439" s="3">
        <f>IF(J439&gt;0,
        J439 * IF(G439&gt;0, G439/100,
            IFERROR( VLOOKUP(A439, Dividends!$A:$C, 3, FALSE) / VLOOKUP(A439, Prices!$A:$B, 2, FALSE), Inputs!$B$4)
        ) / 12,
        0)</f>
        <v>0</v>
      </c>
      <c r="L439" s="3">
        <f t="shared" si="3"/>
        <v>0</v>
      </c>
    </row>
    <row r="440" ht="15.75" customHeight="1">
      <c r="F440" s="3" t="str">
        <f>IFERROR(VLOOKUP(A440, Prices!A:B, 2, FALSE), )</f>
        <v/>
      </c>
      <c r="G440" s="3">
        <f>IFERROR(VLOOKUP(A440, Dividends!$A:$B, 2, FALSE),
       IFERROR( (VLOOKUP(A440, Dividends!$A:$C, 3, FALSE) / VLOOKUP(A440, Prices!$A:$B, 2, FALSE)) * 100,
                Inputs!$B$4*100 ))</f>
        <v>65</v>
      </c>
      <c r="H440" s="3">
        <f>IFERROR(SUMIF(Purchases!B:B, A440, Purchases!D:D), 0)</f>
        <v>0</v>
      </c>
      <c r="I440" s="3">
        <f t="shared" si="1"/>
        <v>0</v>
      </c>
      <c r="J440" s="3">
        <f t="shared" si="2"/>
        <v>0</v>
      </c>
      <c r="K440" s="3">
        <f>IF(J440&gt;0,
        J440 * IF(G440&gt;0, G440/100,
            IFERROR( VLOOKUP(A440, Dividends!$A:$C, 3, FALSE) / VLOOKUP(A440, Prices!$A:$B, 2, FALSE), Inputs!$B$4)
        ) / 12,
        0)</f>
        <v>0</v>
      </c>
      <c r="L440" s="3">
        <f t="shared" si="3"/>
        <v>0</v>
      </c>
    </row>
    <row r="441" ht="15.75" customHeight="1">
      <c r="F441" s="3" t="str">
        <f>IFERROR(VLOOKUP(A441, Prices!A:B, 2, FALSE), )</f>
        <v/>
      </c>
      <c r="G441" s="3">
        <f>IFERROR(VLOOKUP(A441, Dividends!$A:$B, 2, FALSE),
       IFERROR( (VLOOKUP(A441, Dividends!$A:$C, 3, FALSE) / VLOOKUP(A441, Prices!$A:$B, 2, FALSE)) * 100,
                Inputs!$B$4*100 ))</f>
        <v>65</v>
      </c>
      <c r="H441" s="3">
        <f>IFERROR(SUMIF(Purchases!B:B, A441, Purchases!D:D), 0)</f>
        <v>0</v>
      </c>
      <c r="I441" s="3">
        <f t="shared" si="1"/>
        <v>0</v>
      </c>
      <c r="J441" s="3">
        <f t="shared" si="2"/>
        <v>0</v>
      </c>
      <c r="K441" s="3">
        <f>IF(J441&gt;0,
        J441 * IF(G441&gt;0, G441/100,
            IFERROR( VLOOKUP(A441, Dividends!$A:$C, 3, FALSE) / VLOOKUP(A441, Prices!$A:$B, 2, FALSE), Inputs!$B$4)
        ) / 12,
        0)</f>
        <v>0</v>
      </c>
      <c r="L441" s="3">
        <f t="shared" si="3"/>
        <v>0</v>
      </c>
    </row>
    <row r="442" ht="15.75" customHeight="1">
      <c r="F442" s="3" t="str">
        <f>IFERROR(VLOOKUP(A442, Prices!A:B, 2, FALSE), )</f>
        <v/>
      </c>
      <c r="G442" s="3">
        <f>IFERROR(VLOOKUP(A442, Dividends!$A:$B, 2, FALSE),
       IFERROR( (VLOOKUP(A442, Dividends!$A:$C, 3, FALSE) / VLOOKUP(A442, Prices!$A:$B, 2, FALSE)) * 100,
                Inputs!$B$4*100 ))</f>
        <v>65</v>
      </c>
      <c r="H442" s="3">
        <f>IFERROR(SUMIF(Purchases!B:B, A442, Purchases!D:D), 0)</f>
        <v>0</v>
      </c>
      <c r="I442" s="3">
        <f t="shared" si="1"/>
        <v>0</v>
      </c>
      <c r="J442" s="3">
        <f t="shared" si="2"/>
        <v>0</v>
      </c>
      <c r="K442" s="3">
        <f>IF(J442&gt;0,
        J442 * IF(G442&gt;0, G442/100,
            IFERROR( VLOOKUP(A442, Dividends!$A:$C, 3, FALSE) / VLOOKUP(A442, Prices!$A:$B, 2, FALSE), Inputs!$B$4)
        ) / 12,
        0)</f>
        <v>0</v>
      </c>
      <c r="L442" s="3">
        <f t="shared" si="3"/>
        <v>0</v>
      </c>
    </row>
    <row r="443" ht="15.75" customHeight="1">
      <c r="F443" s="3" t="str">
        <f>IFERROR(VLOOKUP(A443, Prices!A:B, 2, FALSE), )</f>
        <v/>
      </c>
      <c r="G443" s="3">
        <f>IFERROR(VLOOKUP(A443, Dividends!$A:$B, 2, FALSE),
       IFERROR( (VLOOKUP(A443, Dividends!$A:$C, 3, FALSE) / VLOOKUP(A443, Prices!$A:$B, 2, FALSE)) * 100,
                Inputs!$B$4*100 ))</f>
        <v>65</v>
      </c>
      <c r="H443" s="3">
        <f>IFERROR(SUMIF(Purchases!B:B, A443, Purchases!D:D), 0)</f>
        <v>0</v>
      </c>
      <c r="I443" s="3">
        <f t="shared" si="1"/>
        <v>0</v>
      </c>
      <c r="J443" s="3">
        <f t="shared" si="2"/>
        <v>0</v>
      </c>
      <c r="K443" s="3">
        <f>IF(J443&gt;0,
        J443 * IF(G443&gt;0, G443/100,
            IFERROR( VLOOKUP(A443, Dividends!$A:$C, 3, FALSE) / VLOOKUP(A443, Prices!$A:$B, 2, FALSE), Inputs!$B$4)
        ) / 12,
        0)</f>
        <v>0</v>
      </c>
      <c r="L443" s="3">
        <f t="shared" si="3"/>
        <v>0</v>
      </c>
    </row>
    <row r="444" ht="15.75" customHeight="1">
      <c r="F444" s="3" t="str">
        <f>IFERROR(VLOOKUP(A444, Prices!A:B, 2, FALSE), )</f>
        <v/>
      </c>
      <c r="G444" s="3">
        <f>IFERROR(VLOOKUP(A444, Dividends!$A:$B, 2, FALSE),
       IFERROR( (VLOOKUP(A444, Dividends!$A:$C, 3, FALSE) / VLOOKUP(A444, Prices!$A:$B, 2, FALSE)) * 100,
                Inputs!$B$4*100 ))</f>
        <v>65</v>
      </c>
      <c r="H444" s="3">
        <f>IFERROR(SUMIF(Purchases!B:B, A444, Purchases!D:D), 0)</f>
        <v>0</v>
      </c>
      <c r="I444" s="3">
        <f t="shared" si="1"/>
        <v>0</v>
      </c>
      <c r="J444" s="3">
        <f t="shared" si="2"/>
        <v>0</v>
      </c>
      <c r="K444" s="3">
        <f>IF(J444&gt;0,
        J444 * IF(G444&gt;0, G444/100,
            IFERROR( VLOOKUP(A444, Dividends!$A:$C, 3, FALSE) / VLOOKUP(A444, Prices!$A:$B, 2, FALSE), Inputs!$B$4)
        ) / 12,
        0)</f>
        <v>0</v>
      </c>
      <c r="L444" s="3">
        <f t="shared" si="3"/>
        <v>0</v>
      </c>
    </row>
    <row r="445" ht="15.75" customHeight="1">
      <c r="F445" s="3" t="str">
        <f>IFERROR(VLOOKUP(A445, Prices!A:B, 2, FALSE), )</f>
        <v/>
      </c>
      <c r="G445" s="3">
        <f>IFERROR(VLOOKUP(A445, Dividends!$A:$B, 2, FALSE),
       IFERROR( (VLOOKUP(A445, Dividends!$A:$C, 3, FALSE) / VLOOKUP(A445, Prices!$A:$B, 2, FALSE)) * 100,
                Inputs!$B$4*100 ))</f>
        <v>65</v>
      </c>
      <c r="H445" s="3">
        <f>IFERROR(SUMIF(Purchases!B:B, A445, Purchases!D:D), 0)</f>
        <v>0</v>
      </c>
      <c r="I445" s="3">
        <f t="shared" si="1"/>
        <v>0</v>
      </c>
      <c r="J445" s="3">
        <f t="shared" si="2"/>
        <v>0</v>
      </c>
      <c r="K445" s="3">
        <f>IF(J445&gt;0,
        J445 * IF(G445&gt;0, G445/100,
            IFERROR( VLOOKUP(A445, Dividends!$A:$C, 3, FALSE) / VLOOKUP(A445, Prices!$A:$B, 2, FALSE), Inputs!$B$4)
        ) / 12,
        0)</f>
        <v>0</v>
      </c>
      <c r="L445" s="3">
        <f t="shared" si="3"/>
        <v>0</v>
      </c>
    </row>
    <row r="446" ht="15.75" customHeight="1">
      <c r="F446" s="3" t="str">
        <f>IFERROR(VLOOKUP(A446, Prices!A:B, 2, FALSE), )</f>
        <v/>
      </c>
      <c r="G446" s="3">
        <f>IFERROR(VLOOKUP(A446, Dividends!$A:$B, 2, FALSE),
       IFERROR( (VLOOKUP(A446, Dividends!$A:$C, 3, FALSE) / VLOOKUP(A446, Prices!$A:$B, 2, FALSE)) * 100,
                Inputs!$B$4*100 ))</f>
        <v>65</v>
      </c>
      <c r="H446" s="3">
        <f>IFERROR(SUMIF(Purchases!B:B, A446, Purchases!D:D), 0)</f>
        <v>0</v>
      </c>
      <c r="I446" s="3">
        <f t="shared" si="1"/>
        <v>0</v>
      </c>
      <c r="J446" s="3">
        <f t="shared" si="2"/>
        <v>0</v>
      </c>
      <c r="K446" s="3">
        <f>IF(J446&gt;0,
        J446 * IF(G446&gt;0, G446/100,
            IFERROR( VLOOKUP(A446, Dividends!$A:$C, 3, FALSE) / VLOOKUP(A446, Prices!$A:$B, 2, FALSE), Inputs!$B$4)
        ) / 12,
        0)</f>
        <v>0</v>
      </c>
      <c r="L446" s="3">
        <f t="shared" si="3"/>
        <v>0</v>
      </c>
    </row>
    <row r="447" ht="15.75" customHeight="1">
      <c r="F447" s="3" t="str">
        <f>IFERROR(VLOOKUP(A447, Prices!A:B, 2, FALSE), )</f>
        <v/>
      </c>
      <c r="G447" s="3">
        <f>IFERROR(VLOOKUP(A447, Dividends!$A:$B, 2, FALSE),
       IFERROR( (VLOOKUP(A447, Dividends!$A:$C, 3, FALSE) / VLOOKUP(A447, Prices!$A:$B, 2, FALSE)) * 100,
                Inputs!$B$4*100 ))</f>
        <v>65</v>
      </c>
      <c r="H447" s="3">
        <f>IFERROR(SUMIF(Purchases!B:B, A447, Purchases!D:D), 0)</f>
        <v>0</v>
      </c>
      <c r="I447" s="3">
        <f t="shared" si="1"/>
        <v>0</v>
      </c>
      <c r="J447" s="3">
        <f t="shared" si="2"/>
        <v>0</v>
      </c>
      <c r="K447" s="3">
        <f>IF(J447&gt;0,
        J447 * IF(G447&gt;0, G447/100,
            IFERROR( VLOOKUP(A447, Dividends!$A:$C, 3, FALSE) / VLOOKUP(A447, Prices!$A:$B, 2, FALSE), Inputs!$B$4)
        ) / 12,
        0)</f>
        <v>0</v>
      </c>
      <c r="L447" s="3">
        <f t="shared" si="3"/>
        <v>0</v>
      </c>
    </row>
    <row r="448" ht="15.75" customHeight="1">
      <c r="F448" s="3" t="str">
        <f>IFERROR(VLOOKUP(A448, Prices!A:B, 2, FALSE), )</f>
        <v/>
      </c>
      <c r="G448" s="3">
        <f>IFERROR(VLOOKUP(A448, Dividends!$A:$B, 2, FALSE),
       IFERROR( (VLOOKUP(A448, Dividends!$A:$C, 3, FALSE) / VLOOKUP(A448, Prices!$A:$B, 2, FALSE)) * 100,
                Inputs!$B$4*100 ))</f>
        <v>65</v>
      </c>
      <c r="H448" s="3">
        <f>IFERROR(SUMIF(Purchases!B:B, A448, Purchases!D:D), 0)</f>
        <v>0</v>
      </c>
      <c r="I448" s="3">
        <f t="shared" si="1"/>
        <v>0</v>
      </c>
      <c r="J448" s="3">
        <f t="shared" si="2"/>
        <v>0</v>
      </c>
      <c r="K448" s="3">
        <f>IF(J448&gt;0,
        J448 * IF(G448&gt;0, G448/100,
            IFERROR( VLOOKUP(A448, Dividends!$A:$C, 3, FALSE) / VLOOKUP(A448, Prices!$A:$B, 2, FALSE), Inputs!$B$4)
        ) / 12,
        0)</f>
        <v>0</v>
      </c>
      <c r="L448" s="3">
        <f t="shared" si="3"/>
        <v>0</v>
      </c>
    </row>
    <row r="449" ht="15.75" customHeight="1">
      <c r="F449" s="3" t="str">
        <f>IFERROR(VLOOKUP(A449, Prices!A:B, 2, FALSE), )</f>
        <v/>
      </c>
      <c r="G449" s="3">
        <f>IFERROR(VLOOKUP(A449, Dividends!$A:$B, 2, FALSE),
       IFERROR( (VLOOKUP(A449, Dividends!$A:$C, 3, FALSE) / VLOOKUP(A449, Prices!$A:$B, 2, FALSE)) * 100,
                Inputs!$B$4*100 ))</f>
        <v>65</v>
      </c>
      <c r="H449" s="3">
        <f>IFERROR(SUMIF(Purchases!B:B, A449, Purchases!D:D), 0)</f>
        <v>0</v>
      </c>
      <c r="I449" s="3">
        <f t="shared" si="1"/>
        <v>0</v>
      </c>
      <c r="J449" s="3">
        <f t="shared" si="2"/>
        <v>0</v>
      </c>
      <c r="K449" s="3">
        <f>IF(J449&gt;0,
        J449 * IF(G449&gt;0, G449/100,
            IFERROR( VLOOKUP(A449, Dividends!$A:$C, 3, FALSE) / VLOOKUP(A449, Prices!$A:$B, 2, FALSE), Inputs!$B$4)
        ) / 12,
        0)</f>
        <v>0</v>
      </c>
      <c r="L449" s="3">
        <f t="shared" si="3"/>
        <v>0</v>
      </c>
    </row>
    <row r="450" ht="15.75" customHeight="1">
      <c r="F450" s="3" t="str">
        <f>IFERROR(VLOOKUP(A450, Prices!A:B, 2, FALSE), )</f>
        <v/>
      </c>
      <c r="G450" s="3">
        <f>IFERROR(VLOOKUP(A450, Dividends!$A:$B, 2, FALSE),
       IFERROR( (VLOOKUP(A450, Dividends!$A:$C, 3, FALSE) / VLOOKUP(A450, Prices!$A:$B, 2, FALSE)) * 100,
                Inputs!$B$4*100 ))</f>
        <v>65</v>
      </c>
      <c r="H450" s="3">
        <f>IFERROR(SUMIF(Purchases!B:B, A450, Purchases!D:D), 0)</f>
        <v>0</v>
      </c>
      <c r="I450" s="3">
        <f t="shared" si="1"/>
        <v>0</v>
      </c>
      <c r="J450" s="3">
        <f t="shared" si="2"/>
        <v>0</v>
      </c>
      <c r="K450" s="3">
        <f>IF(J450&gt;0,
        J450 * IF(G450&gt;0, G450/100,
            IFERROR( VLOOKUP(A450, Dividends!$A:$C, 3, FALSE) / VLOOKUP(A450, Prices!$A:$B, 2, FALSE), Inputs!$B$4)
        ) / 12,
        0)</f>
        <v>0</v>
      </c>
      <c r="L450" s="3">
        <f t="shared" si="3"/>
        <v>0</v>
      </c>
    </row>
    <row r="451" ht="15.75" customHeight="1">
      <c r="F451" s="3" t="str">
        <f>IFERROR(VLOOKUP(A451, Prices!A:B, 2, FALSE), )</f>
        <v/>
      </c>
      <c r="G451" s="3">
        <f>IFERROR(VLOOKUP(A451, Dividends!$A:$B, 2, FALSE),
       IFERROR( (VLOOKUP(A451, Dividends!$A:$C, 3, FALSE) / VLOOKUP(A451, Prices!$A:$B, 2, FALSE)) * 100,
                Inputs!$B$4*100 ))</f>
        <v>65</v>
      </c>
      <c r="H451" s="3">
        <f>IFERROR(SUMIF(Purchases!B:B, A451, Purchases!D:D), 0)</f>
        <v>0</v>
      </c>
      <c r="I451" s="3">
        <f t="shared" si="1"/>
        <v>0</v>
      </c>
      <c r="J451" s="3">
        <f t="shared" si="2"/>
        <v>0</v>
      </c>
      <c r="K451" s="3">
        <f>IF(J451&gt;0,
        J451 * IF(G451&gt;0, G451/100,
            IFERROR( VLOOKUP(A451, Dividends!$A:$C, 3, FALSE) / VLOOKUP(A451, Prices!$A:$B, 2, FALSE), Inputs!$B$4)
        ) / 12,
        0)</f>
        <v>0</v>
      </c>
      <c r="L451" s="3">
        <f t="shared" si="3"/>
        <v>0</v>
      </c>
    </row>
    <row r="452" ht="15.75" customHeight="1">
      <c r="F452" s="3" t="str">
        <f>IFERROR(VLOOKUP(A452, Prices!A:B, 2, FALSE), )</f>
        <v/>
      </c>
      <c r="G452" s="3">
        <f>IFERROR(VLOOKUP(A452, Dividends!$A:$B, 2, FALSE),
       IFERROR( (VLOOKUP(A452, Dividends!$A:$C, 3, FALSE) / VLOOKUP(A452, Prices!$A:$B, 2, FALSE)) * 100,
                Inputs!$B$4*100 ))</f>
        <v>65</v>
      </c>
      <c r="H452" s="3">
        <f>IFERROR(SUMIF(Purchases!B:B, A452, Purchases!D:D), 0)</f>
        <v>0</v>
      </c>
      <c r="I452" s="3">
        <f t="shared" si="1"/>
        <v>0</v>
      </c>
      <c r="J452" s="3">
        <f t="shared" si="2"/>
        <v>0</v>
      </c>
      <c r="K452" s="3">
        <f>IF(J452&gt;0,
        J452 * IF(G452&gt;0, G452/100,
            IFERROR( VLOOKUP(A452, Dividends!$A:$C, 3, FALSE) / VLOOKUP(A452, Prices!$A:$B, 2, FALSE), Inputs!$B$4)
        ) / 12,
        0)</f>
        <v>0</v>
      </c>
      <c r="L452" s="3">
        <f t="shared" si="3"/>
        <v>0</v>
      </c>
    </row>
    <row r="453" ht="15.75" customHeight="1">
      <c r="F453" s="3" t="str">
        <f>IFERROR(VLOOKUP(A453, Prices!A:B, 2, FALSE), )</f>
        <v/>
      </c>
      <c r="G453" s="3">
        <f>IFERROR(VLOOKUP(A453, Dividends!$A:$B, 2, FALSE),
       IFERROR( (VLOOKUP(A453, Dividends!$A:$C, 3, FALSE) / VLOOKUP(A453, Prices!$A:$B, 2, FALSE)) * 100,
                Inputs!$B$4*100 ))</f>
        <v>65</v>
      </c>
      <c r="H453" s="3">
        <f>IFERROR(SUMIF(Purchases!B:B, A453, Purchases!D:D), 0)</f>
        <v>0</v>
      </c>
      <c r="I453" s="3">
        <f t="shared" si="1"/>
        <v>0</v>
      </c>
      <c r="J453" s="3">
        <f t="shared" si="2"/>
        <v>0</v>
      </c>
      <c r="K453" s="3">
        <f>IF(J453&gt;0,
        J453 * IF(G453&gt;0, G453/100,
            IFERROR( VLOOKUP(A453, Dividends!$A:$C, 3, FALSE) / VLOOKUP(A453, Prices!$A:$B, 2, FALSE), Inputs!$B$4)
        ) / 12,
        0)</f>
        <v>0</v>
      </c>
      <c r="L453" s="3">
        <f t="shared" si="3"/>
        <v>0</v>
      </c>
    </row>
    <row r="454" ht="15.75" customHeight="1">
      <c r="F454" s="3" t="str">
        <f>IFERROR(VLOOKUP(A454, Prices!A:B, 2, FALSE), )</f>
        <v/>
      </c>
      <c r="G454" s="3">
        <f>IFERROR(VLOOKUP(A454, Dividends!$A:$B, 2, FALSE),
       IFERROR( (VLOOKUP(A454, Dividends!$A:$C, 3, FALSE) / VLOOKUP(A454, Prices!$A:$B, 2, FALSE)) * 100,
                Inputs!$B$4*100 ))</f>
        <v>65</v>
      </c>
      <c r="H454" s="3">
        <f>IFERROR(SUMIF(Purchases!B:B, A454, Purchases!D:D), 0)</f>
        <v>0</v>
      </c>
      <c r="I454" s="3">
        <f t="shared" si="1"/>
        <v>0</v>
      </c>
      <c r="J454" s="3">
        <f t="shared" si="2"/>
        <v>0</v>
      </c>
      <c r="K454" s="3">
        <f>IF(J454&gt;0,
        J454 * IF(G454&gt;0, G454/100,
            IFERROR( VLOOKUP(A454, Dividends!$A:$C, 3, FALSE) / VLOOKUP(A454, Prices!$A:$B, 2, FALSE), Inputs!$B$4)
        ) / 12,
        0)</f>
        <v>0</v>
      </c>
      <c r="L454" s="3">
        <f t="shared" si="3"/>
        <v>0</v>
      </c>
    </row>
    <row r="455" ht="15.75" customHeight="1">
      <c r="F455" s="3" t="str">
        <f>IFERROR(VLOOKUP(A455, Prices!A:B, 2, FALSE), )</f>
        <v/>
      </c>
      <c r="G455" s="3">
        <f>IFERROR(VLOOKUP(A455, Dividends!$A:$B, 2, FALSE),
       IFERROR( (VLOOKUP(A455, Dividends!$A:$C, 3, FALSE) / VLOOKUP(A455, Prices!$A:$B, 2, FALSE)) * 100,
                Inputs!$B$4*100 ))</f>
        <v>65</v>
      </c>
      <c r="H455" s="3">
        <f>IFERROR(SUMIF(Purchases!B:B, A455, Purchases!D:D), 0)</f>
        <v>0</v>
      </c>
      <c r="I455" s="3">
        <f t="shared" si="1"/>
        <v>0</v>
      </c>
      <c r="J455" s="3">
        <f t="shared" si="2"/>
        <v>0</v>
      </c>
      <c r="K455" s="3">
        <f>IF(J455&gt;0,
        J455 * IF(G455&gt;0, G455/100,
            IFERROR( VLOOKUP(A455, Dividends!$A:$C, 3, FALSE) / VLOOKUP(A455, Prices!$A:$B, 2, FALSE), Inputs!$B$4)
        ) / 12,
        0)</f>
        <v>0</v>
      </c>
      <c r="L455" s="3">
        <f t="shared" si="3"/>
        <v>0</v>
      </c>
    </row>
    <row r="456" ht="15.75" customHeight="1">
      <c r="F456" s="3" t="str">
        <f>IFERROR(VLOOKUP(A456, Prices!A:B, 2, FALSE), )</f>
        <v/>
      </c>
      <c r="G456" s="3">
        <f>IFERROR(VLOOKUP(A456, Dividends!$A:$B, 2, FALSE),
       IFERROR( (VLOOKUP(A456, Dividends!$A:$C, 3, FALSE) / VLOOKUP(A456, Prices!$A:$B, 2, FALSE)) * 100,
                Inputs!$B$4*100 ))</f>
        <v>65</v>
      </c>
      <c r="H456" s="3">
        <f>IFERROR(SUMIF(Purchases!B:B, A456, Purchases!D:D), 0)</f>
        <v>0</v>
      </c>
      <c r="I456" s="3">
        <f t="shared" si="1"/>
        <v>0</v>
      </c>
      <c r="J456" s="3">
        <f t="shared" si="2"/>
        <v>0</v>
      </c>
      <c r="K456" s="3">
        <f>IF(J456&gt;0,
        J456 * IF(G456&gt;0, G456/100,
            IFERROR( VLOOKUP(A456, Dividends!$A:$C, 3, FALSE) / VLOOKUP(A456, Prices!$A:$B, 2, FALSE), Inputs!$B$4)
        ) / 12,
        0)</f>
        <v>0</v>
      </c>
      <c r="L456" s="3">
        <f t="shared" si="3"/>
        <v>0</v>
      </c>
    </row>
    <row r="457" ht="15.75" customHeight="1">
      <c r="F457" s="3" t="str">
        <f>IFERROR(VLOOKUP(A457, Prices!A:B, 2, FALSE), )</f>
        <v/>
      </c>
      <c r="G457" s="3">
        <f>IFERROR(VLOOKUP(A457, Dividends!$A:$B, 2, FALSE),
       IFERROR( (VLOOKUP(A457, Dividends!$A:$C, 3, FALSE) / VLOOKUP(A457, Prices!$A:$B, 2, FALSE)) * 100,
                Inputs!$B$4*100 ))</f>
        <v>65</v>
      </c>
      <c r="H457" s="3">
        <f>IFERROR(SUMIF(Purchases!B:B, A457, Purchases!D:D), 0)</f>
        <v>0</v>
      </c>
      <c r="I457" s="3">
        <f t="shared" si="1"/>
        <v>0</v>
      </c>
      <c r="J457" s="3">
        <f t="shared" si="2"/>
        <v>0</v>
      </c>
      <c r="K457" s="3">
        <f>IF(J457&gt;0,
        J457 * IF(G457&gt;0, G457/100,
            IFERROR( VLOOKUP(A457, Dividends!$A:$C, 3, FALSE) / VLOOKUP(A457, Prices!$A:$B, 2, FALSE), Inputs!$B$4)
        ) / 12,
        0)</f>
        <v>0</v>
      </c>
      <c r="L457" s="3">
        <f t="shared" si="3"/>
        <v>0</v>
      </c>
    </row>
    <row r="458" ht="15.75" customHeight="1">
      <c r="F458" s="3" t="str">
        <f>IFERROR(VLOOKUP(A458, Prices!A:B, 2, FALSE), )</f>
        <v/>
      </c>
      <c r="G458" s="3">
        <f>IFERROR(VLOOKUP(A458, Dividends!$A:$B, 2, FALSE),
       IFERROR( (VLOOKUP(A458, Dividends!$A:$C, 3, FALSE) / VLOOKUP(A458, Prices!$A:$B, 2, FALSE)) * 100,
                Inputs!$B$4*100 ))</f>
        <v>65</v>
      </c>
      <c r="H458" s="3">
        <f>IFERROR(SUMIF(Purchases!B:B, A458, Purchases!D:D), 0)</f>
        <v>0</v>
      </c>
      <c r="I458" s="3">
        <f t="shared" si="1"/>
        <v>0</v>
      </c>
      <c r="J458" s="3">
        <f t="shared" si="2"/>
        <v>0</v>
      </c>
      <c r="K458" s="3">
        <f>IF(J458&gt;0,
        J458 * IF(G458&gt;0, G458/100,
            IFERROR( VLOOKUP(A458, Dividends!$A:$C, 3, FALSE) / VLOOKUP(A458, Prices!$A:$B, 2, FALSE), Inputs!$B$4)
        ) / 12,
        0)</f>
        <v>0</v>
      </c>
      <c r="L458" s="3">
        <f t="shared" si="3"/>
        <v>0</v>
      </c>
    </row>
    <row r="459" ht="15.75" customHeight="1">
      <c r="F459" s="3" t="str">
        <f>IFERROR(VLOOKUP(A459, Prices!A:B, 2, FALSE), )</f>
        <v/>
      </c>
      <c r="G459" s="3">
        <f>IFERROR(VLOOKUP(A459, Dividends!$A:$B, 2, FALSE),
       IFERROR( (VLOOKUP(A459, Dividends!$A:$C, 3, FALSE) / VLOOKUP(A459, Prices!$A:$B, 2, FALSE)) * 100,
                Inputs!$B$4*100 ))</f>
        <v>65</v>
      </c>
      <c r="H459" s="3">
        <f>IFERROR(SUMIF(Purchases!B:B, A459, Purchases!D:D), 0)</f>
        <v>0</v>
      </c>
      <c r="I459" s="3">
        <f t="shared" si="1"/>
        <v>0</v>
      </c>
      <c r="J459" s="3">
        <f t="shared" si="2"/>
        <v>0</v>
      </c>
      <c r="K459" s="3">
        <f>IF(J459&gt;0,
        J459 * IF(G459&gt;0, G459/100,
            IFERROR( VLOOKUP(A459, Dividends!$A:$C, 3, FALSE) / VLOOKUP(A459, Prices!$A:$B, 2, FALSE), Inputs!$B$4)
        ) / 12,
        0)</f>
        <v>0</v>
      </c>
      <c r="L459" s="3">
        <f t="shared" si="3"/>
        <v>0</v>
      </c>
    </row>
    <row r="460" ht="15.75" customHeight="1">
      <c r="F460" s="3" t="str">
        <f>IFERROR(VLOOKUP(A460, Prices!A:B, 2, FALSE), )</f>
        <v/>
      </c>
      <c r="G460" s="3">
        <f>IFERROR(VLOOKUP(A460, Dividends!$A:$B, 2, FALSE),
       IFERROR( (VLOOKUP(A460, Dividends!$A:$C, 3, FALSE) / VLOOKUP(A460, Prices!$A:$B, 2, FALSE)) * 100,
                Inputs!$B$4*100 ))</f>
        <v>65</v>
      </c>
      <c r="H460" s="3">
        <f>IFERROR(SUMIF(Purchases!B:B, A460, Purchases!D:D), 0)</f>
        <v>0</v>
      </c>
      <c r="I460" s="3">
        <f t="shared" si="1"/>
        <v>0</v>
      </c>
      <c r="J460" s="3">
        <f t="shared" si="2"/>
        <v>0</v>
      </c>
      <c r="K460" s="3">
        <f>IF(J460&gt;0,
        J460 * IF(G460&gt;0, G460/100,
            IFERROR( VLOOKUP(A460, Dividends!$A:$C, 3, FALSE) / VLOOKUP(A460, Prices!$A:$B, 2, FALSE), Inputs!$B$4)
        ) / 12,
        0)</f>
        <v>0</v>
      </c>
      <c r="L460" s="3">
        <f t="shared" si="3"/>
        <v>0</v>
      </c>
    </row>
    <row r="461" ht="15.75" customHeight="1">
      <c r="F461" s="3" t="str">
        <f>IFERROR(VLOOKUP(A461, Prices!A:B, 2, FALSE), )</f>
        <v/>
      </c>
      <c r="G461" s="3">
        <f>IFERROR(VLOOKUP(A461, Dividends!$A:$B, 2, FALSE),
       IFERROR( (VLOOKUP(A461, Dividends!$A:$C, 3, FALSE) / VLOOKUP(A461, Prices!$A:$B, 2, FALSE)) * 100,
                Inputs!$B$4*100 ))</f>
        <v>65</v>
      </c>
      <c r="H461" s="3">
        <f>IFERROR(SUMIF(Purchases!B:B, A461, Purchases!D:D), 0)</f>
        <v>0</v>
      </c>
      <c r="I461" s="3">
        <f t="shared" si="1"/>
        <v>0</v>
      </c>
      <c r="J461" s="3">
        <f t="shared" si="2"/>
        <v>0</v>
      </c>
      <c r="K461" s="3">
        <f>IF(J461&gt;0,
        J461 * IF(G461&gt;0, G461/100,
            IFERROR( VLOOKUP(A461, Dividends!$A:$C, 3, FALSE) / VLOOKUP(A461, Prices!$A:$B, 2, FALSE), Inputs!$B$4)
        ) / 12,
        0)</f>
        <v>0</v>
      </c>
      <c r="L461" s="3">
        <f t="shared" si="3"/>
        <v>0</v>
      </c>
    </row>
    <row r="462" ht="15.75" customHeight="1">
      <c r="F462" s="3" t="str">
        <f>IFERROR(VLOOKUP(A462, Prices!A:B, 2, FALSE), )</f>
        <v/>
      </c>
      <c r="G462" s="3">
        <f>IFERROR(VLOOKUP(A462, Dividends!$A:$B, 2, FALSE),
       IFERROR( (VLOOKUP(A462, Dividends!$A:$C, 3, FALSE) / VLOOKUP(A462, Prices!$A:$B, 2, FALSE)) * 100,
                Inputs!$B$4*100 ))</f>
        <v>65</v>
      </c>
      <c r="H462" s="3">
        <f>IFERROR(SUMIF(Purchases!B:B, A462, Purchases!D:D), 0)</f>
        <v>0</v>
      </c>
      <c r="I462" s="3">
        <f t="shared" si="1"/>
        <v>0</v>
      </c>
      <c r="J462" s="3">
        <f t="shared" si="2"/>
        <v>0</v>
      </c>
      <c r="K462" s="3">
        <f>IF(J462&gt;0,
        J462 * IF(G462&gt;0, G462/100,
            IFERROR( VLOOKUP(A462, Dividends!$A:$C, 3, FALSE) / VLOOKUP(A462, Prices!$A:$B, 2, FALSE), Inputs!$B$4)
        ) / 12,
        0)</f>
        <v>0</v>
      </c>
      <c r="L462" s="3">
        <f t="shared" si="3"/>
        <v>0</v>
      </c>
    </row>
    <row r="463" ht="15.75" customHeight="1">
      <c r="F463" s="3" t="str">
        <f>IFERROR(VLOOKUP(A463, Prices!A:B, 2, FALSE), )</f>
        <v/>
      </c>
      <c r="G463" s="3">
        <f>IFERROR(VLOOKUP(A463, Dividends!$A:$B, 2, FALSE),
       IFERROR( (VLOOKUP(A463, Dividends!$A:$C, 3, FALSE) / VLOOKUP(A463, Prices!$A:$B, 2, FALSE)) * 100,
                Inputs!$B$4*100 ))</f>
        <v>65</v>
      </c>
      <c r="H463" s="3">
        <f>IFERROR(SUMIF(Purchases!B:B, A463, Purchases!D:D), 0)</f>
        <v>0</v>
      </c>
      <c r="I463" s="3">
        <f t="shared" si="1"/>
        <v>0</v>
      </c>
      <c r="J463" s="3">
        <f t="shared" si="2"/>
        <v>0</v>
      </c>
      <c r="K463" s="3">
        <f>IF(J463&gt;0,
        J463 * IF(G463&gt;0, G463/100,
            IFERROR( VLOOKUP(A463, Dividends!$A:$C, 3, FALSE) / VLOOKUP(A463, Prices!$A:$B, 2, FALSE), Inputs!$B$4)
        ) / 12,
        0)</f>
        <v>0</v>
      </c>
      <c r="L463" s="3">
        <f t="shared" si="3"/>
        <v>0</v>
      </c>
    </row>
    <row r="464" ht="15.75" customHeight="1">
      <c r="F464" s="3" t="str">
        <f>IFERROR(VLOOKUP(A464, Prices!A:B, 2, FALSE), )</f>
        <v/>
      </c>
      <c r="G464" s="3">
        <f>IFERROR(VLOOKUP(A464, Dividends!$A:$B, 2, FALSE),
       IFERROR( (VLOOKUP(A464, Dividends!$A:$C, 3, FALSE) / VLOOKUP(A464, Prices!$A:$B, 2, FALSE)) * 100,
                Inputs!$B$4*100 ))</f>
        <v>65</v>
      </c>
      <c r="H464" s="3">
        <f>IFERROR(SUMIF(Purchases!B:B, A464, Purchases!D:D), 0)</f>
        <v>0</v>
      </c>
      <c r="I464" s="3">
        <f t="shared" si="1"/>
        <v>0</v>
      </c>
      <c r="J464" s="3">
        <f t="shared" si="2"/>
        <v>0</v>
      </c>
      <c r="K464" s="3">
        <f>IF(J464&gt;0,
        J464 * IF(G464&gt;0, G464/100,
            IFERROR( VLOOKUP(A464, Dividends!$A:$C, 3, FALSE) / VLOOKUP(A464, Prices!$A:$B, 2, FALSE), Inputs!$B$4)
        ) / 12,
        0)</f>
        <v>0</v>
      </c>
      <c r="L464" s="3">
        <f t="shared" si="3"/>
        <v>0</v>
      </c>
    </row>
    <row r="465" ht="15.75" customHeight="1">
      <c r="F465" s="3" t="str">
        <f>IFERROR(VLOOKUP(A465, Prices!A:B, 2, FALSE), )</f>
        <v/>
      </c>
      <c r="G465" s="3">
        <f>IFERROR(VLOOKUP(A465, Dividends!$A:$B, 2, FALSE),
       IFERROR( (VLOOKUP(A465, Dividends!$A:$C, 3, FALSE) / VLOOKUP(A465, Prices!$A:$B, 2, FALSE)) * 100,
                Inputs!$B$4*100 ))</f>
        <v>65</v>
      </c>
      <c r="H465" s="3">
        <f>IFERROR(SUMIF(Purchases!B:B, A465, Purchases!D:D), 0)</f>
        <v>0</v>
      </c>
      <c r="I465" s="3">
        <f t="shared" si="1"/>
        <v>0</v>
      </c>
      <c r="J465" s="3">
        <f t="shared" si="2"/>
        <v>0</v>
      </c>
      <c r="K465" s="3">
        <f>IF(J465&gt;0,
        J465 * IF(G465&gt;0, G465/100,
            IFERROR( VLOOKUP(A465, Dividends!$A:$C, 3, FALSE) / VLOOKUP(A465, Prices!$A:$B, 2, FALSE), Inputs!$B$4)
        ) / 12,
        0)</f>
        <v>0</v>
      </c>
      <c r="L465" s="3">
        <f t="shared" si="3"/>
        <v>0</v>
      </c>
    </row>
    <row r="466" ht="15.75" customHeight="1">
      <c r="F466" s="3" t="str">
        <f>IFERROR(VLOOKUP(A466, Prices!A:B, 2, FALSE), )</f>
        <v/>
      </c>
      <c r="G466" s="3">
        <f>IFERROR(VLOOKUP(A466, Dividends!$A:$B, 2, FALSE),
       IFERROR( (VLOOKUP(A466, Dividends!$A:$C, 3, FALSE) / VLOOKUP(A466, Prices!$A:$B, 2, FALSE)) * 100,
                Inputs!$B$4*100 ))</f>
        <v>65</v>
      </c>
      <c r="H466" s="3">
        <f>IFERROR(SUMIF(Purchases!B:B, A466, Purchases!D:D), 0)</f>
        <v>0</v>
      </c>
      <c r="I466" s="3">
        <f t="shared" si="1"/>
        <v>0</v>
      </c>
      <c r="J466" s="3">
        <f t="shared" si="2"/>
        <v>0</v>
      </c>
      <c r="K466" s="3">
        <f>IF(J466&gt;0,
        J466 * IF(G466&gt;0, G466/100,
            IFERROR( VLOOKUP(A466, Dividends!$A:$C, 3, FALSE) / VLOOKUP(A466, Prices!$A:$B, 2, FALSE), Inputs!$B$4)
        ) / 12,
        0)</f>
        <v>0</v>
      </c>
      <c r="L466" s="3">
        <f t="shared" si="3"/>
        <v>0</v>
      </c>
    </row>
    <row r="467" ht="15.75" customHeight="1">
      <c r="F467" s="3" t="str">
        <f>IFERROR(VLOOKUP(A467, Prices!A:B, 2, FALSE), )</f>
        <v/>
      </c>
      <c r="G467" s="3">
        <f>IFERROR(VLOOKUP(A467, Dividends!$A:$B, 2, FALSE),
       IFERROR( (VLOOKUP(A467, Dividends!$A:$C, 3, FALSE) / VLOOKUP(A467, Prices!$A:$B, 2, FALSE)) * 100,
                Inputs!$B$4*100 ))</f>
        <v>65</v>
      </c>
      <c r="H467" s="3">
        <f>IFERROR(SUMIF(Purchases!B:B, A467, Purchases!D:D), 0)</f>
        <v>0</v>
      </c>
      <c r="I467" s="3">
        <f t="shared" si="1"/>
        <v>0</v>
      </c>
      <c r="J467" s="3">
        <f t="shared" si="2"/>
        <v>0</v>
      </c>
      <c r="K467" s="3">
        <f>IF(J467&gt;0,
        J467 * IF(G467&gt;0, G467/100,
            IFERROR( VLOOKUP(A467, Dividends!$A:$C, 3, FALSE) / VLOOKUP(A467, Prices!$A:$B, 2, FALSE), Inputs!$B$4)
        ) / 12,
        0)</f>
        <v>0</v>
      </c>
      <c r="L467" s="3">
        <f t="shared" si="3"/>
        <v>0</v>
      </c>
    </row>
    <row r="468" ht="15.75" customHeight="1">
      <c r="F468" s="3" t="str">
        <f>IFERROR(VLOOKUP(A468, Prices!A:B, 2, FALSE), )</f>
        <v/>
      </c>
      <c r="G468" s="3">
        <f>IFERROR(VLOOKUP(A468, Dividends!$A:$B, 2, FALSE),
       IFERROR( (VLOOKUP(A468, Dividends!$A:$C, 3, FALSE) / VLOOKUP(A468, Prices!$A:$B, 2, FALSE)) * 100,
                Inputs!$B$4*100 ))</f>
        <v>65</v>
      </c>
      <c r="H468" s="3">
        <f>IFERROR(SUMIF(Purchases!B:B, A468, Purchases!D:D), 0)</f>
        <v>0</v>
      </c>
      <c r="I468" s="3">
        <f t="shared" si="1"/>
        <v>0</v>
      </c>
      <c r="J468" s="3">
        <f t="shared" si="2"/>
        <v>0</v>
      </c>
      <c r="K468" s="3">
        <f>IF(J468&gt;0,
        J468 * IF(G468&gt;0, G468/100,
            IFERROR( VLOOKUP(A468, Dividends!$A:$C, 3, FALSE) / VLOOKUP(A468, Prices!$A:$B, 2, FALSE), Inputs!$B$4)
        ) / 12,
        0)</f>
        <v>0</v>
      </c>
      <c r="L468" s="3">
        <f t="shared" si="3"/>
        <v>0</v>
      </c>
    </row>
    <row r="469" ht="15.75" customHeight="1">
      <c r="F469" s="3" t="str">
        <f>IFERROR(VLOOKUP(A469, Prices!A:B, 2, FALSE), )</f>
        <v/>
      </c>
      <c r="G469" s="3">
        <f>IFERROR(VLOOKUP(A469, Dividends!$A:$B, 2, FALSE),
       IFERROR( (VLOOKUP(A469, Dividends!$A:$C, 3, FALSE) / VLOOKUP(A469, Prices!$A:$B, 2, FALSE)) * 100,
                Inputs!$B$4*100 ))</f>
        <v>65</v>
      </c>
      <c r="H469" s="3">
        <f>IFERROR(SUMIF(Purchases!B:B, A469, Purchases!D:D), 0)</f>
        <v>0</v>
      </c>
      <c r="I469" s="3">
        <f t="shared" si="1"/>
        <v>0</v>
      </c>
      <c r="J469" s="3">
        <f t="shared" si="2"/>
        <v>0</v>
      </c>
      <c r="K469" s="3">
        <f>IF(J469&gt;0,
        J469 * IF(G469&gt;0, G469/100,
            IFERROR( VLOOKUP(A469, Dividends!$A:$C, 3, FALSE) / VLOOKUP(A469, Prices!$A:$B, 2, FALSE), Inputs!$B$4)
        ) / 12,
        0)</f>
        <v>0</v>
      </c>
      <c r="L469" s="3">
        <f t="shared" si="3"/>
        <v>0</v>
      </c>
    </row>
    <row r="470" ht="15.75" customHeight="1">
      <c r="F470" s="3" t="str">
        <f>IFERROR(VLOOKUP(A470, Prices!A:B, 2, FALSE), )</f>
        <v/>
      </c>
      <c r="G470" s="3">
        <f>IFERROR(VLOOKUP(A470, Dividends!$A:$B, 2, FALSE),
       IFERROR( (VLOOKUP(A470, Dividends!$A:$C, 3, FALSE) / VLOOKUP(A470, Prices!$A:$B, 2, FALSE)) * 100,
                Inputs!$B$4*100 ))</f>
        <v>65</v>
      </c>
      <c r="H470" s="3">
        <f>IFERROR(SUMIF(Purchases!B:B, A470, Purchases!D:D), 0)</f>
        <v>0</v>
      </c>
      <c r="I470" s="3">
        <f t="shared" si="1"/>
        <v>0</v>
      </c>
      <c r="J470" s="3">
        <f t="shared" si="2"/>
        <v>0</v>
      </c>
      <c r="K470" s="3">
        <f>IF(J470&gt;0,
        J470 * IF(G470&gt;0, G470/100,
            IFERROR( VLOOKUP(A470, Dividends!$A:$C, 3, FALSE) / VLOOKUP(A470, Prices!$A:$B, 2, FALSE), Inputs!$B$4)
        ) / 12,
        0)</f>
        <v>0</v>
      </c>
      <c r="L470" s="3">
        <f t="shared" si="3"/>
        <v>0</v>
      </c>
    </row>
    <row r="471" ht="15.75" customHeight="1">
      <c r="F471" s="3" t="str">
        <f>IFERROR(VLOOKUP(A471, Prices!A:B, 2, FALSE), )</f>
        <v/>
      </c>
      <c r="G471" s="3">
        <f>IFERROR(VLOOKUP(A471, Dividends!$A:$B, 2, FALSE),
       IFERROR( (VLOOKUP(A471, Dividends!$A:$C, 3, FALSE) / VLOOKUP(A471, Prices!$A:$B, 2, FALSE)) * 100,
                Inputs!$B$4*100 ))</f>
        <v>65</v>
      </c>
      <c r="H471" s="3">
        <f>IFERROR(SUMIF(Purchases!B:B, A471, Purchases!D:D), 0)</f>
        <v>0</v>
      </c>
      <c r="I471" s="3">
        <f t="shared" si="1"/>
        <v>0</v>
      </c>
      <c r="J471" s="3">
        <f t="shared" si="2"/>
        <v>0</v>
      </c>
      <c r="K471" s="3">
        <f>IF(J471&gt;0,
        J471 * IF(G471&gt;0, G471/100,
            IFERROR( VLOOKUP(A471, Dividends!$A:$C, 3, FALSE) / VLOOKUP(A471, Prices!$A:$B, 2, FALSE), Inputs!$B$4)
        ) / 12,
        0)</f>
        <v>0</v>
      </c>
      <c r="L471" s="3">
        <f t="shared" si="3"/>
        <v>0</v>
      </c>
    </row>
    <row r="472" ht="15.75" customHeight="1">
      <c r="F472" s="3" t="str">
        <f>IFERROR(VLOOKUP(A472, Prices!A:B, 2, FALSE), )</f>
        <v/>
      </c>
      <c r="G472" s="3">
        <f>IFERROR(VLOOKUP(A472, Dividends!$A:$B, 2, FALSE),
       IFERROR( (VLOOKUP(A472, Dividends!$A:$C, 3, FALSE) / VLOOKUP(A472, Prices!$A:$B, 2, FALSE)) * 100,
                Inputs!$B$4*100 ))</f>
        <v>65</v>
      </c>
      <c r="H472" s="3">
        <f>IFERROR(SUMIF(Purchases!B:B, A472, Purchases!D:D), 0)</f>
        <v>0</v>
      </c>
      <c r="I472" s="3">
        <f t="shared" si="1"/>
        <v>0</v>
      </c>
      <c r="J472" s="3">
        <f t="shared" si="2"/>
        <v>0</v>
      </c>
      <c r="K472" s="3">
        <f>IF(J472&gt;0,
        J472 * IF(G472&gt;0, G472/100,
            IFERROR( VLOOKUP(A472, Dividends!$A:$C, 3, FALSE) / VLOOKUP(A472, Prices!$A:$B, 2, FALSE), Inputs!$B$4)
        ) / 12,
        0)</f>
        <v>0</v>
      </c>
      <c r="L472" s="3">
        <f t="shared" si="3"/>
        <v>0</v>
      </c>
    </row>
    <row r="473" ht="15.75" customHeight="1">
      <c r="F473" s="3" t="str">
        <f>IFERROR(VLOOKUP(A473, Prices!A:B, 2, FALSE), )</f>
        <v/>
      </c>
      <c r="G473" s="3">
        <f>IFERROR(VLOOKUP(A473, Dividends!$A:$B, 2, FALSE),
       IFERROR( (VLOOKUP(A473, Dividends!$A:$C, 3, FALSE) / VLOOKUP(A473, Prices!$A:$B, 2, FALSE)) * 100,
                Inputs!$B$4*100 ))</f>
        <v>65</v>
      </c>
      <c r="H473" s="3">
        <f>IFERROR(SUMIF(Purchases!B:B, A473, Purchases!D:D), 0)</f>
        <v>0</v>
      </c>
      <c r="I473" s="3">
        <f t="shared" si="1"/>
        <v>0</v>
      </c>
      <c r="J473" s="3">
        <f t="shared" si="2"/>
        <v>0</v>
      </c>
      <c r="K473" s="3">
        <f>IF(J473&gt;0,
        J473 * IF(G473&gt;0, G473/100,
            IFERROR( VLOOKUP(A473, Dividends!$A:$C, 3, FALSE) / VLOOKUP(A473, Prices!$A:$B, 2, FALSE), Inputs!$B$4)
        ) / 12,
        0)</f>
        <v>0</v>
      </c>
      <c r="L473" s="3">
        <f t="shared" si="3"/>
        <v>0</v>
      </c>
    </row>
    <row r="474" ht="15.75" customHeight="1">
      <c r="F474" s="3" t="str">
        <f>IFERROR(VLOOKUP(A474, Prices!A:B, 2, FALSE), )</f>
        <v/>
      </c>
      <c r="G474" s="3">
        <f>IFERROR(VLOOKUP(A474, Dividends!$A:$B, 2, FALSE),
       IFERROR( (VLOOKUP(A474, Dividends!$A:$C, 3, FALSE) / VLOOKUP(A474, Prices!$A:$B, 2, FALSE)) * 100,
                Inputs!$B$4*100 ))</f>
        <v>65</v>
      </c>
      <c r="H474" s="3">
        <f>IFERROR(SUMIF(Purchases!B:B, A474, Purchases!D:D), 0)</f>
        <v>0</v>
      </c>
      <c r="I474" s="3">
        <f t="shared" si="1"/>
        <v>0</v>
      </c>
      <c r="J474" s="3">
        <f t="shared" si="2"/>
        <v>0</v>
      </c>
      <c r="K474" s="3">
        <f>IF(J474&gt;0,
        J474 * IF(G474&gt;0, G474/100,
            IFERROR( VLOOKUP(A474, Dividends!$A:$C, 3, FALSE) / VLOOKUP(A474, Prices!$A:$B, 2, FALSE), Inputs!$B$4)
        ) / 12,
        0)</f>
        <v>0</v>
      </c>
      <c r="L474" s="3">
        <f t="shared" si="3"/>
        <v>0</v>
      </c>
    </row>
    <row r="475" ht="15.75" customHeight="1">
      <c r="F475" s="3" t="str">
        <f>IFERROR(VLOOKUP(A475, Prices!A:B, 2, FALSE), )</f>
        <v/>
      </c>
      <c r="G475" s="3">
        <f>IFERROR(VLOOKUP(A475, Dividends!$A:$B, 2, FALSE),
       IFERROR( (VLOOKUP(A475, Dividends!$A:$C, 3, FALSE) / VLOOKUP(A475, Prices!$A:$B, 2, FALSE)) * 100,
                Inputs!$B$4*100 ))</f>
        <v>65</v>
      </c>
      <c r="H475" s="3">
        <f>IFERROR(SUMIF(Purchases!B:B, A475, Purchases!D:D), 0)</f>
        <v>0</v>
      </c>
      <c r="I475" s="3">
        <f t="shared" si="1"/>
        <v>0</v>
      </c>
      <c r="J475" s="3">
        <f t="shared" si="2"/>
        <v>0</v>
      </c>
      <c r="K475" s="3">
        <f>IF(J475&gt;0,
        J475 * IF(G475&gt;0, G475/100,
            IFERROR( VLOOKUP(A475, Dividends!$A:$C, 3, FALSE) / VLOOKUP(A475, Prices!$A:$B, 2, FALSE), Inputs!$B$4)
        ) / 12,
        0)</f>
        <v>0</v>
      </c>
      <c r="L475" s="3">
        <f t="shared" si="3"/>
        <v>0</v>
      </c>
    </row>
    <row r="476" ht="15.75" customHeight="1">
      <c r="F476" s="3" t="str">
        <f>IFERROR(VLOOKUP(A476, Prices!A:B, 2, FALSE), )</f>
        <v/>
      </c>
      <c r="G476" s="3">
        <f>IFERROR(VLOOKUP(A476, Dividends!$A:$B, 2, FALSE),
       IFERROR( (VLOOKUP(A476, Dividends!$A:$C, 3, FALSE) / VLOOKUP(A476, Prices!$A:$B, 2, FALSE)) * 100,
                Inputs!$B$4*100 ))</f>
        <v>65</v>
      </c>
      <c r="H476" s="3">
        <f>IFERROR(SUMIF(Purchases!B:B, A476, Purchases!D:D), 0)</f>
        <v>0</v>
      </c>
      <c r="I476" s="3">
        <f t="shared" si="1"/>
        <v>0</v>
      </c>
      <c r="J476" s="3">
        <f t="shared" si="2"/>
        <v>0</v>
      </c>
      <c r="K476" s="3">
        <f>IF(J476&gt;0,
        J476 * IF(G476&gt;0, G476/100,
            IFERROR( VLOOKUP(A476, Dividends!$A:$C, 3, FALSE) / VLOOKUP(A476, Prices!$A:$B, 2, FALSE), Inputs!$B$4)
        ) / 12,
        0)</f>
        <v>0</v>
      </c>
      <c r="L476" s="3">
        <f t="shared" si="3"/>
        <v>0</v>
      </c>
    </row>
    <row r="477" ht="15.75" customHeight="1">
      <c r="F477" s="3" t="str">
        <f>IFERROR(VLOOKUP(A477, Prices!A:B, 2, FALSE), )</f>
        <v/>
      </c>
      <c r="G477" s="3">
        <f>IFERROR(VLOOKUP(A477, Dividends!$A:$B, 2, FALSE),
       IFERROR( (VLOOKUP(A477, Dividends!$A:$C, 3, FALSE) / VLOOKUP(A477, Prices!$A:$B, 2, FALSE)) * 100,
                Inputs!$B$4*100 ))</f>
        <v>65</v>
      </c>
      <c r="H477" s="3">
        <f>IFERROR(SUMIF(Purchases!B:B, A477, Purchases!D:D), 0)</f>
        <v>0</v>
      </c>
      <c r="I477" s="3">
        <f t="shared" si="1"/>
        <v>0</v>
      </c>
      <c r="J477" s="3">
        <f t="shared" si="2"/>
        <v>0</v>
      </c>
      <c r="K477" s="3">
        <f>IF(J477&gt;0,
        J477 * IF(G477&gt;0, G477/100,
            IFERROR( VLOOKUP(A477, Dividends!$A:$C, 3, FALSE) / VLOOKUP(A477, Prices!$A:$B, 2, FALSE), Inputs!$B$4)
        ) / 12,
        0)</f>
        <v>0</v>
      </c>
      <c r="L477" s="3">
        <f t="shared" si="3"/>
        <v>0</v>
      </c>
    </row>
    <row r="478" ht="15.75" customHeight="1">
      <c r="F478" s="3" t="str">
        <f>IFERROR(VLOOKUP(A478, Prices!A:B, 2, FALSE), )</f>
        <v/>
      </c>
      <c r="G478" s="3">
        <f>IFERROR(VLOOKUP(A478, Dividends!$A:$B, 2, FALSE),
       IFERROR( (VLOOKUP(A478, Dividends!$A:$C, 3, FALSE) / VLOOKUP(A478, Prices!$A:$B, 2, FALSE)) * 100,
                Inputs!$B$4*100 ))</f>
        <v>65</v>
      </c>
      <c r="H478" s="3">
        <f>IFERROR(SUMIF(Purchases!B:B, A478, Purchases!D:D), 0)</f>
        <v>0</v>
      </c>
      <c r="I478" s="3">
        <f t="shared" si="1"/>
        <v>0</v>
      </c>
      <c r="J478" s="3">
        <f t="shared" si="2"/>
        <v>0</v>
      </c>
      <c r="K478" s="3">
        <f>IF(J478&gt;0,
        J478 * IF(G478&gt;0, G478/100,
            IFERROR( VLOOKUP(A478, Dividends!$A:$C, 3, FALSE) / VLOOKUP(A478, Prices!$A:$B, 2, FALSE), Inputs!$B$4)
        ) / 12,
        0)</f>
        <v>0</v>
      </c>
      <c r="L478" s="3">
        <f t="shared" si="3"/>
        <v>0</v>
      </c>
    </row>
    <row r="479" ht="15.75" customHeight="1">
      <c r="F479" s="3" t="str">
        <f>IFERROR(VLOOKUP(A479, Prices!A:B, 2, FALSE), )</f>
        <v/>
      </c>
      <c r="G479" s="3">
        <f>IFERROR(VLOOKUP(A479, Dividends!$A:$B, 2, FALSE),
       IFERROR( (VLOOKUP(A479, Dividends!$A:$C, 3, FALSE) / VLOOKUP(A479, Prices!$A:$B, 2, FALSE)) * 100,
                Inputs!$B$4*100 ))</f>
        <v>65</v>
      </c>
      <c r="H479" s="3">
        <f>IFERROR(SUMIF(Purchases!B:B, A479, Purchases!D:D), 0)</f>
        <v>0</v>
      </c>
      <c r="I479" s="3">
        <f t="shared" si="1"/>
        <v>0</v>
      </c>
      <c r="J479" s="3">
        <f t="shared" si="2"/>
        <v>0</v>
      </c>
      <c r="K479" s="3">
        <f>IF(J479&gt;0,
        J479 * IF(G479&gt;0, G479/100,
            IFERROR( VLOOKUP(A479, Dividends!$A:$C, 3, FALSE) / VLOOKUP(A479, Prices!$A:$B, 2, FALSE), Inputs!$B$4)
        ) / 12,
        0)</f>
        <v>0</v>
      </c>
      <c r="L479" s="3">
        <f t="shared" si="3"/>
        <v>0</v>
      </c>
    </row>
    <row r="480" ht="15.75" customHeight="1">
      <c r="F480" s="3" t="str">
        <f>IFERROR(VLOOKUP(A480, Prices!A:B, 2, FALSE), )</f>
        <v/>
      </c>
      <c r="G480" s="3">
        <f>IFERROR(VLOOKUP(A480, Dividends!$A:$B, 2, FALSE),
       IFERROR( (VLOOKUP(A480, Dividends!$A:$C, 3, FALSE) / VLOOKUP(A480, Prices!$A:$B, 2, FALSE)) * 100,
                Inputs!$B$4*100 ))</f>
        <v>65</v>
      </c>
      <c r="H480" s="3">
        <f>IFERROR(SUMIF(Purchases!B:B, A480, Purchases!D:D), 0)</f>
        <v>0</v>
      </c>
      <c r="I480" s="3">
        <f t="shared" si="1"/>
        <v>0</v>
      </c>
      <c r="J480" s="3">
        <f t="shared" si="2"/>
        <v>0</v>
      </c>
      <c r="K480" s="3">
        <f>IF(J480&gt;0,
        J480 * IF(G480&gt;0, G480/100,
            IFERROR( VLOOKUP(A480, Dividends!$A:$C, 3, FALSE) / VLOOKUP(A480, Prices!$A:$B, 2, FALSE), Inputs!$B$4)
        ) / 12,
        0)</f>
        <v>0</v>
      </c>
      <c r="L480" s="3">
        <f t="shared" si="3"/>
        <v>0</v>
      </c>
    </row>
    <row r="481" ht="15.75" customHeight="1">
      <c r="F481" s="3" t="str">
        <f>IFERROR(VLOOKUP(A481, Prices!A:B, 2, FALSE), )</f>
        <v/>
      </c>
      <c r="G481" s="3">
        <f>IFERROR(VLOOKUP(A481, Dividends!$A:$B, 2, FALSE),
       IFERROR( (VLOOKUP(A481, Dividends!$A:$C, 3, FALSE) / VLOOKUP(A481, Prices!$A:$B, 2, FALSE)) * 100,
                Inputs!$B$4*100 ))</f>
        <v>65</v>
      </c>
      <c r="H481" s="3">
        <f>IFERROR(SUMIF(Purchases!B:B, A481, Purchases!D:D), 0)</f>
        <v>0</v>
      </c>
      <c r="I481" s="3">
        <f t="shared" si="1"/>
        <v>0</v>
      </c>
      <c r="J481" s="3">
        <f t="shared" si="2"/>
        <v>0</v>
      </c>
      <c r="K481" s="3">
        <f>IF(J481&gt;0,
        J481 * IF(G481&gt;0, G481/100,
            IFERROR( VLOOKUP(A481, Dividends!$A:$C, 3, FALSE) / VLOOKUP(A481, Prices!$A:$B, 2, FALSE), Inputs!$B$4)
        ) / 12,
        0)</f>
        <v>0</v>
      </c>
      <c r="L481" s="3">
        <f t="shared" si="3"/>
        <v>0</v>
      </c>
    </row>
    <row r="482" ht="15.75" customHeight="1">
      <c r="F482" s="3" t="str">
        <f>IFERROR(VLOOKUP(A482, Prices!A:B, 2, FALSE), )</f>
        <v/>
      </c>
      <c r="G482" s="3">
        <f>IFERROR(VLOOKUP(A482, Dividends!$A:$B, 2, FALSE),
       IFERROR( (VLOOKUP(A482, Dividends!$A:$C, 3, FALSE) / VLOOKUP(A482, Prices!$A:$B, 2, FALSE)) * 100,
                Inputs!$B$4*100 ))</f>
        <v>65</v>
      </c>
      <c r="H482" s="3">
        <f>IFERROR(SUMIF(Purchases!B:B, A482, Purchases!D:D), 0)</f>
        <v>0</v>
      </c>
      <c r="I482" s="3">
        <f t="shared" si="1"/>
        <v>0</v>
      </c>
      <c r="J482" s="3">
        <f t="shared" si="2"/>
        <v>0</v>
      </c>
      <c r="K482" s="3">
        <f>IF(J482&gt;0,
        J482 * IF(G482&gt;0, G482/100,
            IFERROR( VLOOKUP(A482, Dividends!$A:$C, 3, FALSE) / VLOOKUP(A482, Prices!$A:$B, 2, FALSE), Inputs!$B$4)
        ) / 12,
        0)</f>
        <v>0</v>
      </c>
      <c r="L482" s="3">
        <f t="shared" si="3"/>
        <v>0</v>
      </c>
    </row>
    <row r="483" ht="15.75" customHeight="1">
      <c r="F483" s="3" t="str">
        <f>IFERROR(VLOOKUP(A483, Prices!A:B, 2, FALSE), )</f>
        <v/>
      </c>
      <c r="G483" s="3">
        <f>IFERROR(VLOOKUP(A483, Dividends!$A:$B, 2, FALSE),
       IFERROR( (VLOOKUP(A483, Dividends!$A:$C, 3, FALSE) / VLOOKUP(A483, Prices!$A:$B, 2, FALSE)) * 100,
                Inputs!$B$4*100 ))</f>
        <v>65</v>
      </c>
      <c r="H483" s="3">
        <f>IFERROR(SUMIF(Purchases!B:B, A483, Purchases!D:D), 0)</f>
        <v>0</v>
      </c>
      <c r="I483" s="3">
        <f t="shared" si="1"/>
        <v>0</v>
      </c>
      <c r="J483" s="3">
        <f t="shared" si="2"/>
        <v>0</v>
      </c>
      <c r="K483" s="3">
        <f>IF(J483&gt;0,
        J483 * IF(G483&gt;0, G483/100,
            IFERROR( VLOOKUP(A483, Dividends!$A:$C, 3, FALSE) / VLOOKUP(A483, Prices!$A:$B, 2, FALSE), Inputs!$B$4)
        ) / 12,
        0)</f>
        <v>0</v>
      </c>
      <c r="L483" s="3">
        <f t="shared" si="3"/>
        <v>0</v>
      </c>
    </row>
    <row r="484" ht="15.75" customHeight="1">
      <c r="F484" s="3" t="str">
        <f>IFERROR(VLOOKUP(A484, Prices!A:B, 2, FALSE), )</f>
        <v/>
      </c>
      <c r="G484" s="3">
        <f>IFERROR(VLOOKUP(A484, Dividends!$A:$B, 2, FALSE),
       IFERROR( (VLOOKUP(A484, Dividends!$A:$C, 3, FALSE) / VLOOKUP(A484, Prices!$A:$B, 2, FALSE)) * 100,
                Inputs!$B$4*100 ))</f>
        <v>65</v>
      </c>
      <c r="H484" s="3">
        <f>IFERROR(SUMIF(Purchases!B:B, A484, Purchases!D:D), 0)</f>
        <v>0</v>
      </c>
      <c r="I484" s="3">
        <f t="shared" si="1"/>
        <v>0</v>
      </c>
      <c r="J484" s="3">
        <f t="shared" si="2"/>
        <v>0</v>
      </c>
      <c r="K484" s="3">
        <f>IF(J484&gt;0,
        J484 * IF(G484&gt;0, G484/100,
            IFERROR( VLOOKUP(A484, Dividends!$A:$C, 3, FALSE) / VLOOKUP(A484, Prices!$A:$B, 2, FALSE), Inputs!$B$4)
        ) / 12,
        0)</f>
        <v>0</v>
      </c>
      <c r="L484" s="3">
        <f t="shared" si="3"/>
        <v>0</v>
      </c>
    </row>
    <row r="485" ht="15.75" customHeight="1">
      <c r="F485" s="3" t="str">
        <f>IFERROR(VLOOKUP(A485, Prices!A:B, 2, FALSE), )</f>
        <v/>
      </c>
      <c r="G485" s="3">
        <f>IFERROR(VLOOKUP(A485, Dividends!$A:$B, 2, FALSE),
       IFERROR( (VLOOKUP(A485, Dividends!$A:$C, 3, FALSE) / VLOOKUP(A485, Prices!$A:$B, 2, FALSE)) * 100,
                Inputs!$B$4*100 ))</f>
        <v>65</v>
      </c>
      <c r="H485" s="3">
        <f>IFERROR(SUMIF(Purchases!B:B, A485, Purchases!D:D), 0)</f>
        <v>0</v>
      </c>
      <c r="I485" s="3">
        <f t="shared" si="1"/>
        <v>0</v>
      </c>
      <c r="J485" s="3">
        <f t="shared" si="2"/>
        <v>0</v>
      </c>
      <c r="K485" s="3">
        <f>IF(J485&gt;0,
        J485 * IF(G485&gt;0, G485/100,
            IFERROR( VLOOKUP(A485, Dividends!$A:$C, 3, FALSE) / VLOOKUP(A485, Prices!$A:$B, 2, FALSE), Inputs!$B$4)
        ) / 12,
        0)</f>
        <v>0</v>
      </c>
      <c r="L485" s="3">
        <f t="shared" si="3"/>
        <v>0</v>
      </c>
    </row>
    <row r="486" ht="15.75" customHeight="1">
      <c r="F486" s="3" t="str">
        <f>IFERROR(VLOOKUP(A486, Prices!A:B, 2, FALSE), )</f>
        <v/>
      </c>
      <c r="G486" s="3">
        <f>IFERROR(VLOOKUP(A486, Dividends!$A:$B, 2, FALSE),
       IFERROR( (VLOOKUP(A486, Dividends!$A:$C, 3, FALSE) / VLOOKUP(A486, Prices!$A:$B, 2, FALSE)) * 100,
                Inputs!$B$4*100 ))</f>
        <v>65</v>
      </c>
      <c r="H486" s="3">
        <f>IFERROR(SUMIF(Purchases!B:B, A486, Purchases!D:D), 0)</f>
        <v>0</v>
      </c>
      <c r="I486" s="3">
        <f t="shared" si="1"/>
        <v>0</v>
      </c>
      <c r="J486" s="3">
        <f t="shared" si="2"/>
        <v>0</v>
      </c>
      <c r="K486" s="3">
        <f>IF(J486&gt;0,
        J486 * IF(G486&gt;0, G486/100,
            IFERROR( VLOOKUP(A486, Dividends!$A:$C, 3, FALSE) / VLOOKUP(A486, Prices!$A:$B, 2, FALSE), Inputs!$B$4)
        ) / 12,
        0)</f>
        <v>0</v>
      </c>
      <c r="L486" s="3">
        <f t="shared" si="3"/>
        <v>0</v>
      </c>
    </row>
    <row r="487" ht="15.75" customHeight="1">
      <c r="F487" s="3" t="str">
        <f>IFERROR(VLOOKUP(A487, Prices!A:B, 2, FALSE), )</f>
        <v/>
      </c>
      <c r="G487" s="3">
        <f>IFERROR(VLOOKUP(A487, Dividends!$A:$B, 2, FALSE),
       IFERROR( (VLOOKUP(A487, Dividends!$A:$C, 3, FALSE) / VLOOKUP(A487, Prices!$A:$B, 2, FALSE)) * 100,
                Inputs!$B$4*100 ))</f>
        <v>65</v>
      </c>
      <c r="H487" s="3">
        <f>IFERROR(SUMIF(Purchases!B:B, A487, Purchases!D:D), 0)</f>
        <v>0</v>
      </c>
      <c r="I487" s="3">
        <f t="shared" si="1"/>
        <v>0</v>
      </c>
      <c r="J487" s="3">
        <f t="shared" si="2"/>
        <v>0</v>
      </c>
      <c r="K487" s="3">
        <f>IF(J487&gt;0,
        J487 * IF(G487&gt;0, G487/100,
            IFERROR( VLOOKUP(A487, Dividends!$A:$C, 3, FALSE) / VLOOKUP(A487, Prices!$A:$B, 2, FALSE), Inputs!$B$4)
        ) / 12,
        0)</f>
        <v>0</v>
      </c>
      <c r="L487" s="3">
        <f t="shared" si="3"/>
        <v>0</v>
      </c>
    </row>
    <row r="488" ht="15.75" customHeight="1">
      <c r="F488" s="3" t="str">
        <f>IFERROR(VLOOKUP(A488, Prices!A:B, 2, FALSE), )</f>
        <v/>
      </c>
      <c r="G488" s="3">
        <f>IFERROR(VLOOKUP(A488, Dividends!$A:$B, 2, FALSE),
       IFERROR( (VLOOKUP(A488, Dividends!$A:$C, 3, FALSE) / VLOOKUP(A488, Prices!$A:$B, 2, FALSE)) * 100,
                Inputs!$B$4*100 ))</f>
        <v>65</v>
      </c>
      <c r="H488" s="3">
        <f>IFERROR(SUMIF(Purchases!B:B, A488, Purchases!D:D), 0)</f>
        <v>0</v>
      </c>
      <c r="I488" s="3">
        <f t="shared" si="1"/>
        <v>0</v>
      </c>
      <c r="J488" s="3">
        <f t="shared" si="2"/>
        <v>0</v>
      </c>
      <c r="K488" s="3">
        <f>IF(J488&gt;0,
        J488 * IF(G488&gt;0, G488/100,
            IFERROR( VLOOKUP(A488, Dividends!$A:$C, 3, FALSE) / VLOOKUP(A488, Prices!$A:$B, 2, FALSE), Inputs!$B$4)
        ) / 12,
        0)</f>
        <v>0</v>
      </c>
      <c r="L488" s="3">
        <f t="shared" si="3"/>
        <v>0</v>
      </c>
    </row>
    <row r="489" ht="15.75" customHeight="1">
      <c r="F489" s="3" t="str">
        <f>IFERROR(VLOOKUP(A489, Prices!A:B, 2, FALSE), )</f>
        <v/>
      </c>
      <c r="G489" s="3">
        <f>IFERROR(VLOOKUP(A489, Dividends!$A:$B, 2, FALSE),
       IFERROR( (VLOOKUP(A489, Dividends!$A:$C, 3, FALSE) / VLOOKUP(A489, Prices!$A:$B, 2, FALSE)) * 100,
                Inputs!$B$4*100 ))</f>
        <v>65</v>
      </c>
      <c r="H489" s="3">
        <f>IFERROR(SUMIF(Purchases!B:B, A489, Purchases!D:D), 0)</f>
        <v>0</v>
      </c>
      <c r="I489" s="3">
        <f t="shared" si="1"/>
        <v>0</v>
      </c>
      <c r="J489" s="3">
        <f t="shared" si="2"/>
        <v>0</v>
      </c>
      <c r="K489" s="3">
        <f>IF(J489&gt;0,
        J489 * IF(G489&gt;0, G489/100,
            IFERROR( VLOOKUP(A489, Dividends!$A:$C, 3, FALSE) / VLOOKUP(A489, Prices!$A:$B, 2, FALSE), Inputs!$B$4)
        ) / 12,
        0)</f>
        <v>0</v>
      </c>
      <c r="L489" s="3">
        <f t="shared" si="3"/>
        <v>0</v>
      </c>
    </row>
    <row r="490" ht="15.75" customHeight="1">
      <c r="F490" s="3" t="str">
        <f>IFERROR(VLOOKUP(A490, Prices!A:B, 2, FALSE), )</f>
        <v/>
      </c>
      <c r="G490" s="3">
        <f>IFERROR(VLOOKUP(A490, Dividends!$A:$B, 2, FALSE),
       IFERROR( (VLOOKUP(A490, Dividends!$A:$C, 3, FALSE) / VLOOKUP(A490, Prices!$A:$B, 2, FALSE)) * 100,
                Inputs!$B$4*100 ))</f>
        <v>65</v>
      </c>
      <c r="H490" s="3">
        <f>IFERROR(SUMIF(Purchases!B:B, A490, Purchases!D:D), 0)</f>
        <v>0</v>
      </c>
      <c r="I490" s="3">
        <f t="shared" si="1"/>
        <v>0</v>
      </c>
      <c r="J490" s="3">
        <f t="shared" si="2"/>
        <v>0</v>
      </c>
      <c r="K490" s="3">
        <f>IF(J490&gt;0,
        J490 * IF(G490&gt;0, G490/100,
            IFERROR( VLOOKUP(A490, Dividends!$A:$C, 3, FALSE) / VLOOKUP(A490, Prices!$A:$B, 2, FALSE), Inputs!$B$4)
        ) / 12,
        0)</f>
        <v>0</v>
      </c>
      <c r="L490" s="3">
        <f t="shared" si="3"/>
        <v>0</v>
      </c>
    </row>
    <row r="491" ht="15.75" customHeight="1">
      <c r="F491" s="3" t="str">
        <f>IFERROR(VLOOKUP(A491, Prices!A:B, 2, FALSE), )</f>
        <v/>
      </c>
      <c r="G491" s="3">
        <f>IFERROR(VLOOKUP(A491, Dividends!$A:$B, 2, FALSE),
       IFERROR( (VLOOKUP(A491, Dividends!$A:$C, 3, FALSE) / VLOOKUP(A491, Prices!$A:$B, 2, FALSE)) * 100,
                Inputs!$B$4*100 ))</f>
        <v>65</v>
      </c>
      <c r="H491" s="3">
        <f>IFERROR(SUMIF(Purchases!B:B, A491, Purchases!D:D), 0)</f>
        <v>0</v>
      </c>
      <c r="I491" s="3">
        <f t="shared" si="1"/>
        <v>0</v>
      </c>
      <c r="J491" s="3">
        <f t="shared" si="2"/>
        <v>0</v>
      </c>
      <c r="K491" s="3">
        <f>IF(J491&gt;0,
        J491 * IF(G491&gt;0, G491/100,
            IFERROR( VLOOKUP(A491, Dividends!$A:$C, 3, FALSE) / VLOOKUP(A491, Prices!$A:$B, 2, FALSE), Inputs!$B$4)
        ) / 12,
        0)</f>
        <v>0</v>
      </c>
      <c r="L491" s="3">
        <f t="shared" si="3"/>
        <v>0</v>
      </c>
    </row>
    <row r="492" ht="15.75" customHeight="1">
      <c r="F492" s="3" t="str">
        <f>IFERROR(VLOOKUP(A492, Prices!A:B, 2, FALSE), )</f>
        <v/>
      </c>
      <c r="G492" s="3">
        <f>IFERROR(VLOOKUP(A492, Dividends!$A:$B, 2, FALSE),
       IFERROR( (VLOOKUP(A492, Dividends!$A:$C, 3, FALSE) / VLOOKUP(A492, Prices!$A:$B, 2, FALSE)) * 100,
                Inputs!$B$4*100 ))</f>
        <v>65</v>
      </c>
      <c r="H492" s="3">
        <f>IFERROR(SUMIF(Purchases!B:B, A492, Purchases!D:D), 0)</f>
        <v>0</v>
      </c>
      <c r="I492" s="3">
        <f t="shared" si="1"/>
        <v>0</v>
      </c>
      <c r="J492" s="3">
        <f t="shared" si="2"/>
        <v>0</v>
      </c>
      <c r="K492" s="3">
        <f>IF(J492&gt;0,
        J492 * IF(G492&gt;0, G492/100,
            IFERROR( VLOOKUP(A492, Dividends!$A:$C, 3, FALSE) / VLOOKUP(A492, Prices!$A:$B, 2, FALSE), Inputs!$B$4)
        ) / 12,
        0)</f>
        <v>0</v>
      </c>
      <c r="L492" s="3">
        <f t="shared" si="3"/>
        <v>0</v>
      </c>
    </row>
    <row r="493" ht="15.75" customHeight="1">
      <c r="F493" s="3" t="str">
        <f>IFERROR(VLOOKUP(A493, Prices!A:B, 2, FALSE), )</f>
        <v/>
      </c>
      <c r="G493" s="3">
        <f>IFERROR(VLOOKUP(A493, Dividends!$A:$B, 2, FALSE),
       IFERROR( (VLOOKUP(A493, Dividends!$A:$C, 3, FALSE) / VLOOKUP(A493, Prices!$A:$B, 2, FALSE)) * 100,
                Inputs!$B$4*100 ))</f>
        <v>65</v>
      </c>
      <c r="H493" s="3">
        <f>IFERROR(SUMIF(Purchases!B:B, A493, Purchases!D:D), 0)</f>
        <v>0</v>
      </c>
      <c r="I493" s="3">
        <f t="shared" si="1"/>
        <v>0</v>
      </c>
      <c r="J493" s="3">
        <f t="shared" si="2"/>
        <v>0</v>
      </c>
      <c r="K493" s="3">
        <f>IF(J493&gt;0,
        J493 * IF(G493&gt;0, G493/100,
            IFERROR( VLOOKUP(A493, Dividends!$A:$C, 3, FALSE) / VLOOKUP(A493, Prices!$A:$B, 2, FALSE), Inputs!$B$4)
        ) / 12,
        0)</f>
        <v>0</v>
      </c>
      <c r="L493" s="3">
        <f t="shared" si="3"/>
        <v>0</v>
      </c>
    </row>
    <row r="494" ht="15.75" customHeight="1">
      <c r="F494" s="3" t="str">
        <f>IFERROR(VLOOKUP(A494, Prices!A:B, 2, FALSE), )</f>
        <v/>
      </c>
      <c r="G494" s="3">
        <f>IFERROR(VLOOKUP(A494, Dividends!$A:$B, 2, FALSE),
       IFERROR( (VLOOKUP(A494, Dividends!$A:$C, 3, FALSE) / VLOOKUP(A494, Prices!$A:$B, 2, FALSE)) * 100,
                Inputs!$B$4*100 ))</f>
        <v>65</v>
      </c>
      <c r="H494" s="3">
        <f>IFERROR(SUMIF(Purchases!B:B, A494, Purchases!D:D), 0)</f>
        <v>0</v>
      </c>
      <c r="I494" s="3">
        <f t="shared" si="1"/>
        <v>0</v>
      </c>
      <c r="J494" s="3">
        <f t="shared" si="2"/>
        <v>0</v>
      </c>
      <c r="K494" s="3">
        <f>IF(J494&gt;0,
        J494 * IF(G494&gt;0, G494/100,
            IFERROR( VLOOKUP(A494, Dividends!$A:$C, 3, FALSE) / VLOOKUP(A494, Prices!$A:$B, 2, FALSE), Inputs!$B$4)
        ) / 12,
        0)</f>
        <v>0</v>
      </c>
      <c r="L494" s="3">
        <f t="shared" si="3"/>
        <v>0</v>
      </c>
    </row>
    <row r="495" ht="15.75" customHeight="1">
      <c r="F495" s="3" t="str">
        <f>IFERROR(VLOOKUP(A495, Prices!A:B, 2, FALSE), )</f>
        <v/>
      </c>
      <c r="G495" s="3">
        <f>IFERROR(VLOOKUP(A495, Dividends!$A:$B, 2, FALSE),
       IFERROR( (VLOOKUP(A495, Dividends!$A:$C, 3, FALSE) / VLOOKUP(A495, Prices!$A:$B, 2, FALSE)) * 100,
                Inputs!$B$4*100 ))</f>
        <v>65</v>
      </c>
      <c r="H495" s="3">
        <f>IFERROR(SUMIF(Purchases!B:B, A495, Purchases!D:D), 0)</f>
        <v>0</v>
      </c>
      <c r="I495" s="3">
        <f t="shared" si="1"/>
        <v>0</v>
      </c>
      <c r="J495" s="3">
        <f t="shared" si="2"/>
        <v>0</v>
      </c>
      <c r="K495" s="3">
        <f>IF(J495&gt;0,
        J495 * IF(G495&gt;0, G495/100,
            IFERROR( VLOOKUP(A495, Dividends!$A:$C, 3, FALSE) / VLOOKUP(A495, Prices!$A:$B, 2, FALSE), Inputs!$B$4)
        ) / 12,
        0)</f>
        <v>0</v>
      </c>
      <c r="L495" s="3">
        <f t="shared" si="3"/>
        <v>0</v>
      </c>
    </row>
    <row r="496" ht="15.75" customHeight="1">
      <c r="F496" s="3" t="str">
        <f>IFERROR(VLOOKUP(A496, Prices!A:B, 2, FALSE), )</f>
        <v/>
      </c>
      <c r="G496" s="3">
        <f>IFERROR(VLOOKUP(A496, Dividends!$A:$B, 2, FALSE),
       IFERROR( (VLOOKUP(A496, Dividends!$A:$C, 3, FALSE) / VLOOKUP(A496, Prices!$A:$B, 2, FALSE)) * 100,
                Inputs!$B$4*100 ))</f>
        <v>65</v>
      </c>
      <c r="H496" s="3">
        <f>IFERROR(SUMIF(Purchases!B:B, A496, Purchases!D:D), 0)</f>
        <v>0</v>
      </c>
      <c r="I496" s="3">
        <f t="shared" si="1"/>
        <v>0</v>
      </c>
      <c r="J496" s="3">
        <f t="shared" si="2"/>
        <v>0</v>
      </c>
      <c r="K496" s="3">
        <f>IF(J496&gt;0,
        J496 * IF(G496&gt;0, G496/100,
            IFERROR( VLOOKUP(A496, Dividends!$A:$C, 3, FALSE) / VLOOKUP(A496, Prices!$A:$B, 2, FALSE), Inputs!$B$4)
        ) / 12,
        0)</f>
        <v>0</v>
      </c>
      <c r="L496" s="3">
        <f t="shared" si="3"/>
        <v>0</v>
      </c>
    </row>
    <row r="497" ht="15.75" customHeight="1">
      <c r="F497" s="3" t="str">
        <f>IFERROR(VLOOKUP(A497, Prices!A:B, 2, FALSE), )</f>
        <v/>
      </c>
      <c r="G497" s="3">
        <f>IFERROR(VLOOKUP(A497, Dividends!$A:$B, 2, FALSE),
       IFERROR( (VLOOKUP(A497, Dividends!$A:$C, 3, FALSE) / VLOOKUP(A497, Prices!$A:$B, 2, FALSE)) * 100,
                Inputs!$B$4*100 ))</f>
        <v>65</v>
      </c>
      <c r="H497" s="3">
        <f>IFERROR(SUMIF(Purchases!B:B, A497, Purchases!D:D), 0)</f>
        <v>0</v>
      </c>
      <c r="I497" s="3">
        <f t="shared" si="1"/>
        <v>0</v>
      </c>
      <c r="J497" s="3">
        <f t="shared" si="2"/>
        <v>0</v>
      </c>
      <c r="K497" s="3">
        <f>IF(J497&gt;0,
        J497 * IF(G497&gt;0, G497/100,
            IFERROR( VLOOKUP(A497, Dividends!$A:$C, 3, FALSE) / VLOOKUP(A497, Prices!$A:$B, 2, FALSE), Inputs!$B$4)
        ) / 12,
        0)</f>
        <v>0</v>
      </c>
      <c r="L497" s="3">
        <f t="shared" si="3"/>
        <v>0</v>
      </c>
    </row>
    <row r="498" ht="15.75" customHeight="1">
      <c r="F498" s="3" t="str">
        <f>IFERROR(VLOOKUP(A498, Prices!A:B, 2, FALSE), )</f>
        <v/>
      </c>
      <c r="G498" s="3">
        <f>IFERROR(VLOOKUP(A498, Dividends!$A:$B, 2, FALSE),
       IFERROR( (VLOOKUP(A498, Dividends!$A:$C, 3, FALSE) / VLOOKUP(A498, Prices!$A:$B, 2, FALSE)) * 100,
                Inputs!$B$4*100 ))</f>
        <v>65</v>
      </c>
      <c r="H498" s="3">
        <f>IFERROR(SUMIF(Purchases!B:B, A498, Purchases!D:D), 0)</f>
        <v>0</v>
      </c>
      <c r="I498" s="3">
        <f t="shared" si="1"/>
        <v>0</v>
      </c>
      <c r="J498" s="3">
        <f t="shared" si="2"/>
        <v>0</v>
      </c>
      <c r="K498" s="3">
        <f>IF(J498&gt;0,
        J498 * IF(G498&gt;0, G498/100,
            IFERROR( VLOOKUP(A498, Dividends!$A:$C, 3, FALSE) / VLOOKUP(A498, Prices!$A:$B, 2, FALSE), Inputs!$B$4)
        ) / 12,
        0)</f>
        <v>0</v>
      </c>
      <c r="L498" s="3">
        <f t="shared" si="3"/>
        <v>0</v>
      </c>
    </row>
    <row r="499" ht="15.75" customHeight="1">
      <c r="F499" s="3" t="str">
        <f>IFERROR(VLOOKUP(A499, Prices!A:B, 2, FALSE), )</f>
        <v/>
      </c>
      <c r="G499" s="3">
        <f>IFERROR(VLOOKUP(A499, Dividends!$A:$B, 2, FALSE),
       IFERROR( (VLOOKUP(A499, Dividends!$A:$C, 3, FALSE) / VLOOKUP(A499, Prices!$A:$B, 2, FALSE)) * 100,
                Inputs!$B$4*100 ))</f>
        <v>65</v>
      </c>
      <c r="H499" s="3">
        <f>IFERROR(SUMIF(Purchases!B:B, A499, Purchases!D:D), 0)</f>
        <v>0</v>
      </c>
      <c r="I499" s="3">
        <f t="shared" si="1"/>
        <v>0</v>
      </c>
      <c r="J499" s="3">
        <f t="shared" si="2"/>
        <v>0</v>
      </c>
      <c r="K499" s="3">
        <f>IF(J499&gt;0,
        J499 * IF(G499&gt;0, G499/100,
            IFERROR( VLOOKUP(A499, Dividends!$A:$C, 3, FALSE) / VLOOKUP(A499, Prices!$A:$B, 2, FALSE), Inputs!$B$4)
        ) / 12,
        0)</f>
        <v>0</v>
      </c>
      <c r="L499" s="3">
        <f t="shared" si="3"/>
        <v>0</v>
      </c>
    </row>
    <row r="500" ht="15.75" customHeight="1">
      <c r="F500" s="3" t="str">
        <f>IFERROR(VLOOKUP(A500, Prices!A:B, 2, FALSE), )</f>
        <v/>
      </c>
      <c r="G500" s="3">
        <f>IFERROR(VLOOKUP(A500, Dividends!$A:$B, 2, FALSE),
       IFERROR( (VLOOKUP(A500, Dividends!$A:$C, 3, FALSE) / VLOOKUP(A500, Prices!$A:$B, 2, FALSE)) * 100,
                Inputs!$B$4*100 ))</f>
        <v>65</v>
      </c>
      <c r="H500" s="3">
        <f>IFERROR(SUMIF(Purchases!B:B, A500, Purchases!D:D), 0)</f>
        <v>0</v>
      </c>
      <c r="I500" s="3">
        <f t="shared" si="1"/>
        <v>0</v>
      </c>
      <c r="J500" s="3">
        <f t="shared" si="2"/>
        <v>0</v>
      </c>
      <c r="K500" s="3">
        <f>IF(J500&gt;0,
        J500 * IF(G500&gt;0, G500/100,
            IFERROR( VLOOKUP(A500, Dividends!$A:$C, 3, FALSE) / VLOOKUP(A500, Prices!$A:$B, 2, FALSE), Inputs!$B$4)
        ) / 12,
        0)</f>
        <v>0</v>
      </c>
      <c r="L500" s="3">
        <f t="shared" si="3"/>
        <v>0</v>
      </c>
    </row>
    <row r="501" ht="15.75" customHeight="1">
      <c r="F501" s="3" t="str">
        <f>IFERROR(VLOOKUP(A501, Prices!A:B, 2, FALSE), )</f>
        <v/>
      </c>
      <c r="G501" s="3">
        <f>IFERROR(VLOOKUP(A501, Dividends!$A:$B, 2, FALSE),
       IFERROR( (VLOOKUP(A501, Dividends!$A:$C, 3, FALSE) / VLOOKUP(A501, Prices!$A:$B, 2, FALSE)) * 100,
                Inputs!$B$4*100 ))</f>
        <v>65</v>
      </c>
      <c r="H501" s="3">
        <f>IFERROR(SUMIF(Purchases!B:B, A501, Purchases!D:D), 0)</f>
        <v>0</v>
      </c>
      <c r="I501" s="3">
        <f t="shared" si="1"/>
        <v>0</v>
      </c>
      <c r="J501" s="3">
        <f t="shared" si="2"/>
        <v>0</v>
      </c>
      <c r="K501" s="3">
        <f>IF(J501&gt;0,
        J501 * IF(G501&gt;0, G501/100,
            IFERROR( VLOOKUP(A501, Dividends!$A:$C, 3, FALSE) / VLOOKUP(A501, Prices!$A:$B, 2, FALSE), Inputs!$B$4)
        ) / 12,
        0)</f>
        <v>0</v>
      </c>
      <c r="L501" s="3">
        <f t="shared" si="3"/>
        <v>0</v>
      </c>
    </row>
    <row r="502" ht="15.75" customHeight="1">
      <c r="F502" s="3" t="str">
        <f>IFERROR(VLOOKUP(A502, Prices!A:B, 2, FALSE), )</f>
        <v/>
      </c>
      <c r="G502" s="3">
        <f>IFERROR(VLOOKUP(A502, Dividends!$A:$B, 2, FALSE),
       IFERROR( (VLOOKUP(A502, Dividends!$A:$C, 3, FALSE) / VLOOKUP(A502, Prices!$A:$B, 2, FALSE)) * 100,
                Inputs!$B$4*100 ))</f>
        <v>65</v>
      </c>
      <c r="H502" s="3">
        <f>IFERROR(SUMIF(Purchases!B:B, A502, Purchases!D:D), 0)</f>
        <v>0</v>
      </c>
      <c r="I502" s="3">
        <f t="shared" si="1"/>
        <v>0</v>
      </c>
      <c r="J502" s="3">
        <f t="shared" si="2"/>
        <v>0</v>
      </c>
      <c r="K502" s="3">
        <f>IF(J502&gt;0,
        J502 * IF(G502&gt;0, G502/100,
            IFERROR( VLOOKUP(A502, Dividends!$A:$C, 3, FALSE) / VLOOKUP(A502, Prices!$A:$B, 2, FALSE), Inputs!$B$4)
        ) / 12,
        0)</f>
        <v>0</v>
      </c>
      <c r="L502" s="3">
        <f t="shared" si="3"/>
        <v>0</v>
      </c>
    </row>
    <row r="503" ht="15.75" customHeight="1">
      <c r="F503" s="3" t="str">
        <f>IFERROR(VLOOKUP(A503, Prices!A:B, 2, FALSE), )</f>
        <v/>
      </c>
      <c r="G503" s="3">
        <f>IFERROR(VLOOKUP(A503, Dividends!$A:$B, 2, FALSE),
       IFERROR( (VLOOKUP(A503, Dividends!$A:$C, 3, FALSE) / VLOOKUP(A503, Prices!$A:$B, 2, FALSE)) * 100,
                Inputs!$B$4*100 ))</f>
        <v>65</v>
      </c>
      <c r="H503" s="3">
        <f>IFERROR(SUMIF(Purchases!B:B, A503, Purchases!D:D), 0)</f>
        <v>0</v>
      </c>
      <c r="I503" s="3">
        <f t="shared" si="1"/>
        <v>0</v>
      </c>
      <c r="J503" s="3">
        <f t="shared" si="2"/>
        <v>0</v>
      </c>
      <c r="K503" s="3">
        <f>IF(J503&gt;0,
        J503 * IF(G503&gt;0, G503/100,
            IFERROR( VLOOKUP(A503, Dividends!$A:$C, 3, FALSE) / VLOOKUP(A503, Prices!$A:$B, 2, FALSE), Inputs!$B$4)
        ) / 12,
        0)</f>
        <v>0</v>
      </c>
      <c r="L503" s="3">
        <f t="shared" si="3"/>
        <v>0</v>
      </c>
    </row>
    <row r="504" ht="15.75" customHeight="1">
      <c r="F504" s="3" t="str">
        <f>IFERROR(VLOOKUP(A504, Prices!A:B, 2, FALSE), )</f>
        <v/>
      </c>
      <c r="G504" s="3">
        <f>IFERROR(VLOOKUP(A504, Dividends!$A:$B, 2, FALSE),
       IFERROR( (VLOOKUP(A504, Dividends!$A:$C, 3, FALSE) / VLOOKUP(A504, Prices!$A:$B, 2, FALSE)) * 100,
                Inputs!$B$4*100 ))</f>
        <v>65</v>
      </c>
      <c r="H504" s="3">
        <f>IFERROR(SUMIF(Purchases!B:B, A504, Purchases!D:D), 0)</f>
        <v>0</v>
      </c>
      <c r="I504" s="3">
        <f t="shared" si="1"/>
        <v>0</v>
      </c>
      <c r="J504" s="3">
        <f t="shared" si="2"/>
        <v>0</v>
      </c>
      <c r="K504" s="3">
        <f>IF(J504&gt;0,
        J504 * IF(G504&gt;0, G504/100,
            IFERROR( VLOOKUP(A504, Dividends!$A:$C, 3, FALSE) / VLOOKUP(A504, Prices!$A:$B, 2, FALSE), Inputs!$B$4)
        ) / 12,
        0)</f>
        <v>0</v>
      </c>
      <c r="L504" s="3">
        <f t="shared" si="3"/>
        <v>0</v>
      </c>
    </row>
    <row r="505" ht="15.75" customHeight="1">
      <c r="F505" s="3" t="str">
        <f>IFERROR(VLOOKUP(A505, Prices!A:B, 2, FALSE), )</f>
        <v/>
      </c>
      <c r="G505" s="3">
        <f>IFERROR(VLOOKUP(A505, Dividends!$A:$B, 2, FALSE),
       IFERROR( (VLOOKUP(A505, Dividends!$A:$C, 3, FALSE) / VLOOKUP(A505, Prices!$A:$B, 2, FALSE)) * 100,
                Inputs!$B$4*100 ))</f>
        <v>65</v>
      </c>
      <c r="H505" s="3">
        <f>IFERROR(SUMIF(Purchases!B:B, A505, Purchases!D:D), 0)</f>
        <v>0</v>
      </c>
      <c r="I505" s="3">
        <f t="shared" si="1"/>
        <v>0</v>
      </c>
      <c r="J505" s="3">
        <f t="shared" si="2"/>
        <v>0</v>
      </c>
      <c r="K505" s="3">
        <f>IF(J505&gt;0,
        J505 * IF(G505&gt;0, G505/100,
            IFERROR( VLOOKUP(A505, Dividends!$A:$C, 3, FALSE) / VLOOKUP(A505, Prices!$A:$B, 2, FALSE), Inputs!$B$4)
        ) / 12,
        0)</f>
        <v>0</v>
      </c>
      <c r="L505" s="3">
        <f t="shared" si="3"/>
        <v>0</v>
      </c>
    </row>
    <row r="506" ht="15.75" customHeight="1">
      <c r="F506" s="3" t="str">
        <f>IFERROR(VLOOKUP(A506, Prices!A:B, 2, FALSE), )</f>
        <v/>
      </c>
      <c r="G506" s="3">
        <f>IFERROR(VLOOKUP(A506, Dividends!$A:$B, 2, FALSE),
       IFERROR( (VLOOKUP(A506, Dividends!$A:$C, 3, FALSE) / VLOOKUP(A506, Prices!$A:$B, 2, FALSE)) * 100,
                Inputs!$B$4*100 ))</f>
        <v>65</v>
      </c>
      <c r="H506" s="3">
        <f>IFERROR(SUMIF(Purchases!B:B, A506, Purchases!D:D), 0)</f>
        <v>0</v>
      </c>
      <c r="I506" s="3">
        <f t="shared" si="1"/>
        <v>0</v>
      </c>
      <c r="J506" s="3">
        <f t="shared" si="2"/>
        <v>0</v>
      </c>
      <c r="K506" s="3">
        <f>IF(J506&gt;0,
        J506 * IF(G506&gt;0, G506/100,
            IFERROR( VLOOKUP(A506, Dividends!$A:$C, 3, FALSE) / VLOOKUP(A506, Prices!$A:$B, 2, FALSE), Inputs!$B$4)
        ) / 12,
        0)</f>
        <v>0</v>
      </c>
      <c r="L506" s="3">
        <f t="shared" si="3"/>
        <v>0</v>
      </c>
    </row>
    <row r="507" ht="15.75" customHeight="1">
      <c r="F507" s="3" t="str">
        <f>IFERROR(VLOOKUP(A507, Prices!A:B, 2, FALSE), )</f>
        <v/>
      </c>
      <c r="G507" s="3">
        <f>IFERROR(VLOOKUP(A507, Dividends!$A:$B, 2, FALSE),
       IFERROR( (VLOOKUP(A507, Dividends!$A:$C, 3, FALSE) / VLOOKUP(A507, Prices!$A:$B, 2, FALSE)) * 100,
                Inputs!$B$4*100 ))</f>
        <v>65</v>
      </c>
      <c r="H507" s="3">
        <f>IFERROR(SUMIF(Purchases!B:B, A507, Purchases!D:D), 0)</f>
        <v>0</v>
      </c>
      <c r="I507" s="3">
        <f t="shared" si="1"/>
        <v>0</v>
      </c>
      <c r="J507" s="3">
        <f t="shared" si="2"/>
        <v>0</v>
      </c>
      <c r="K507" s="3">
        <f>IF(J507&gt;0,
        J507 * IF(G507&gt;0, G507/100,
            IFERROR( VLOOKUP(A507, Dividends!$A:$C, 3, FALSE) / VLOOKUP(A507, Prices!$A:$B, 2, FALSE), Inputs!$B$4)
        ) / 12,
        0)</f>
        <v>0</v>
      </c>
      <c r="L507" s="3">
        <f t="shared" si="3"/>
        <v>0</v>
      </c>
    </row>
    <row r="508" ht="15.75" customHeight="1">
      <c r="F508" s="3" t="str">
        <f>IFERROR(VLOOKUP(A508, Prices!A:B, 2, FALSE), )</f>
        <v/>
      </c>
      <c r="G508" s="3">
        <f>IFERROR(VLOOKUP(A508, Dividends!$A:$B, 2, FALSE),
       IFERROR( (VLOOKUP(A508, Dividends!$A:$C, 3, FALSE) / VLOOKUP(A508, Prices!$A:$B, 2, FALSE)) * 100,
                Inputs!$B$4*100 ))</f>
        <v>65</v>
      </c>
      <c r="H508" s="3">
        <f>IFERROR(SUMIF(Purchases!B:B, A508, Purchases!D:D), 0)</f>
        <v>0</v>
      </c>
      <c r="I508" s="3">
        <f t="shared" si="1"/>
        <v>0</v>
      </c>
      <c r="J508" s="3">
        <f t="shared" si="2"/>
        <v>0</v>
      </c>
      <c r="K508" s="3">
        <f>IF(J508&gt;0,
        J508 * IF(G508&gt;0, G508/100,
            IFERROR( VLOOKUP(A508, Dividends!$A:$C, 3, FALSE) / VLOOKUP(A508, Prices!$A:$B, 2, FALSE), Inputs!$B$4)
        ) / 12,
        0)</f>
        <v>0</v>
      </c>
      <c r="L508" s="3">
        <f t="shared" si="3"/>
        <v>0</v>
      </c>
    </row>
    <row r="509" ht="15.75" customHeight="1">
      <c r="F509" s="3" t="str">
        <f>IFERROR(VLOOKUP(A509, Prices!A:B, 2, FALSE), )</f>
        <v/>
      </c>
      <c r="G509" s="3">
        <f>IFERROR(VLOOKUP(A509, Dividends!$A:$B, 2, FALSE),
       IFERROR( (VLOOKUP(A509, Dividends!$A:$C, 3, FALSE) / VLOOKUP(A509, Prices!$A:$B, 2, FALSE)) * 100,
                Inputs!$B$4*100 ))</f>
        <v>65</v>
      </c>
      <c r="H509" s="3">
        <f>IFERROR(SUMIF(Purchases!B:B, A509, Purchases!D:D), 0)</f>
        <v>0</v>
      </c>
      <c r="I509" s="3">
        <f t="shared" si="1"/>
        <v>0</v>
      </c>
      <c r="J509" s="3">
        <f t="shared" si="2"/>
        <v>0</v>
      </c>
      <c r="K509" s="3">
        <f>IF(J509&gt;0,
        J509 * IF(G509&gt;0, G509/100,
            IFERROR( VLOOKUP(A509, Dividends!$A:$C, 3, FALSE) / VLOOKUP(A509, Prices!$A:$B, 2, FALSE), Inputs!$B$4)
        ) / 12,
        0)</f>
        <v>0</v>
      </c>
      <c r="L509" s="3">
        <f t="shared" si="3"/>
        <v>0</v>
      </c>
    </row>
    <row r="510" ht="15.75" customHeight="1">
      <c r="F510" s="3" t="str">
        <f>IFERROR(VLOOKUP(A510, Prices!A:B, 2, FALSE), )</f>
        <v/>
      </c>
      <c r="G510" s="3">
        <f>IFERROR(VLOOKUP(A510, Dividends!$A:$B, 2, FALSE),
       IFERROR( (VLOOKUP(A510, Dividends!$A:$C, 3, FALSE) / VLOOKUP(A510, Prices!$A:$B, 2, FALSE)) * 100,
                Inputs!$B$4*100 ))</f>
        <v>65</v>
      </c>
      <c r="H510" s="3">
        <f>IFERROR(SUMIF(Purchases!B:B, A510, Purchases!D:D), 0)</f>
        <v>0</v>
      </c>
      <c r="I510" s="3">
        <f t="shared" si="1"/>
        <v>0</v>
      </c>
      <c r="J510" s="3">
        <f t="shared" si="2"/>
        <v>0</v>
      </c>
      <c r="K510" s="3">
        <f>IF(J510&gt;0,
        J510 * IF(G510&gt;0, G510/100,
            IFERROR( VLOOKUP(A510, Dividends!$A:$C, 3, FALSE) / VLOOKUP(A510, Prices!$A:$B, 2, FALSE), Inputs!$B$4)
        ) / 12,
        0)</f>
        <v>0</v>
      </c>
      <c r="L510" s="3">
        <f t="shared" si="3"/>
        <v>0</v>
      </c>
    </row>
    <row r="511" ht="15.75" customHeight="1">
      <c r="F511" s="3" t="str">
        <f>IFERROR(VLOOKUP(A511, Prices!A:B, 2, FALSE), )</f>
        <v/>
      </c>
      <c r="G511" s="3">
        <f>IFERROR(VLOOKUP(A511, Dividends!$A:$B, 2, FALSE),
       IFERROR( (VLOOKUP(A511, Dividends!$A:$C, 3, FALSE) / VLOOKUP(A511, Prices!$A:$B, 2, FALSE)) * 100,
                Inputs!$B$4*100 ))</f>
        <v>65</v>
      </c>
      <c r="H511" s="3">
        <f>IFERROR(SUMIF(Purchases!B:B, A511, Purchases!D:D), 0)</f>
        <v>0</v>
      </c>
      <c r="I511" s="3">
        <f t="shared" si="1"/>
        <v>0</v>
      </c>
      <c r="J511" s="3">
        <f t="shared" si="2"/>
        <v>0</v>
      </c>
      <c r="K511" s="3">
        <f>IF(J511&gt;0,
        J511 * IF(G511&gt;0, G511/100,
            IFERROR( VLOOKUP(A511, Dividends!$A:$C, 3, FALSE) / VLOOKUP(A511, Prices!$A:$B, 2, FALSE), Inputs!$B$4)
        ) / 12,
        0)</f>
        <v>0</v>
      </c>
      <c r="L511" s="3">
        <f t="shared" si="3"/>
        <v>0</v>
      </c>
    </row>
    <row r="512" ht="15.75" customHeight="1">
      <c r="F512" s="3" t="str">
        <f>IFERROR(VLOOKUP(A512, Prices!A:B, 2, FALSE), )</f>
        <v/>
      </c>
      <c r="G512" s="3">
        <f>IFERROR(VLOOKUP(A512, Dividends!$A:$B, 2, FALSE),
       IFERROR( (VLOOKUP(A512, Dividends!$A:$C, 3, FALSE) / VLOOKUP(A512, Prices!$A:$B, 2, FALSE)) * 100,
                Inputs!$B$4*100 ))</f>
        <v>65</v>
      </c>
      <c r="H512" s="3">
        <f>IFERROR(SUMIF(Purchases!B:B, A512, Purchases!D:D), 0)</f>
        <v>0</v>
      </c>
      <c r="I512" s="3">
        <f t="shared" si="1"/>
        <v>0</v>
      </c>
      <c r="J512" s="3">
        <f t="shared" si="2"/>
        <v>0</v>
      </c>
      <c r="K512" s="3">
        <f>IF(J512&gt;0,
        J512 * IF(G512&gt;0, G512/100,
            IFERROR( VLOOKUP(A512, Dividends!$A:$C, 3, FALSE) / VLOOKUP(A512, Prices!$A:$B, 2, FALSE), Inputs!$B$4)
        ) / 12,
        0)</f>
        <v>0</v>
      </c>
      <c r="L512" s="3">
        <f t="shared" si="3"/>
        <v>0</v>
      </c>
    </row>
    <row r="513" ht="15.75" customHeight="1">
      <c r="F513" s="3" t="str">
        <f>IFERROR(VLOOKUP(A513, Prices!A:B, 2, FALSE), )</f>
        <v/>
      </c>
      <c r="G513" s="3">
        <f>IFERROR(VLOOKUP(A513, Dividends!$A:$B, 2, FALSE),
       IFERROR( (VLOOKUP(A513, Dividends!$A:$C, 3, FALSE) / VLOOKUP(A513, Prices!$A:$B, 2, FALSE)) * 100,
                Inputs!$B$4*100 ))</f>
        <v>65</v>
      </c>
      <c r="H513" s="3">
        <f>IFERROR(SUMIF(Purchases!B:B, A513, Purchases!D:D), 0)</f>
        <v>0</v>
      </c>
      <c r="I513" s="3">
        <f t="shared" si="1"/>
        <v>0</v>
      </c>
      <c r="J513" s="3">
        <f t="shared" si="2"/>
        <v>0</v>
      </c>
      <c r="K513" s="3">
        <f>IF(J513&gt;0,
        J513 * IF(G513&gt;0, G513/100,
            IFERROR( VLOOKUP(A513, Dividends!$A:$C, 3, FALSE) / VLOOKUP(A513, Prices!$A:$B, 2, FALSE), Inputs!$B$4)
        ) / 12,
        0)</f>
        <v>0</v>
      </c>
      <c r="L513" s="3">
        <f t="shared" si="3"/>
        <v>0</v>
      </c>
    </row>
    <row r="514" ht="15.75" customHeight="1">
      <c r="F514" s="3" t="str">
        <f>IFERROR(VLOOKUP(A514, Prices!A:B, 2, FALSE), )</f>
        <v/>
      </c>
      <c r="G514" s="3">
        <f>IFERROR(VLOOKUP(A514, Dividends!$A:$B, 2, FALSE),
       IFERROR( (VLOOKUP(A514, Dividends!$A:$C, 3, FALSE) / VLOOKUP(A514, Prices!$A:$B, 2, FALSE)) * 100,
                Inputs!$B$4*100 ))</f>
        <v>65</v>
      </c>
      <c r="H514" s="3">
        <f>IFERROR(SUMIF(Purchases!B:B, A514, Purchases!D:D), 0)</f>
        <v>0</v>
      </c>
      <c r="I514" s="3">
        <f t="shared" si="1"/>
        <v>0</v>
      </c>
      <c r="J514" s="3">
        <f t="shared" si="2"/>
        <v>0</v>
      </c>
      <c r="K514" s="3">
        <f>IF(J514&gt;0,
        J514 * IF(G514&gt;0, G514/100,
            IFERROR( VLOOKUP(A514, Dividends!$A:$C, 3, FALSE) / VLOOKUP(A514, Prices!$A:$B, 2, FALSE), Inputs!$B$4)
        ) / 12,
        0)</f>
        <v>0</v>
      </c>
      <c r="L514" s="3">
        <f t="shared" si="3"/>
        <v>0</v>
      </c>
    </row>
    <row r="515" ht="15.75" customHeight="1">
      <c r="F515" s="3" t="str">
        <f>IFERROR(VLOOKUP(A515, Prices!A:B, 2, FALSE), )</f>
        <v/>
      </c>
      <c r="G515" s="3">
        <f>IFERROR(VLOOKUP(A515, Dividends!$A:$B, 2, FALSE),
       IFERROR( (VLOOKUP(A515, Dividends!$A:$C, 3, FALSE) / VLOOKUP(A515, Prices!$A:$B, 2, FALSE)) * 100,
                Inputs!$B$4*100 ))</f>
        <v>65</v>
      </c>
      <c r="H515" s="3">
        <f>IFERROR(SUMIF(Purchases!B:B, A515, Purchases!D:D), 0)</f>
        <v>0</v>
      </c>
      <c r="I515" s="3">
        <f t="shared" si="1"/>
        <v>0</v>
      </c>
      <c r="J515" s="3">
        <f t="shared" si="2"/>
        <v>0</v>
      </c>
      <c r="K515" s="3">
        <f>IF(J515&gt;0,
        J515 * IF(G515&gt;0, G515/100,
            IFERROR( VLOOKUP(A515, Dividends!$A:$C, 3, FALSE) / VLOOKUP(A515, Prices!$A:$B, 2, FALSE), Inputs!$B$4)
        ) / 12,
        0)</f>
        <v>0</v>
      </c>
      <c r="L515" s="3">
        <f t="shared" si="3"/>
        <v>0</v>
      </c>
    </row>
    <row r="516" ht="15.75" customHeight="1">
      <c r="F516" s="3" t="str">
        <f>IFERROR(VLOOKUP(A516, Prices!A:B, 2, FALSE), )</f>
        <v/>
      </c>
      <c r="G516" s="3">
        <f>IFERROR(VLOOKUP(A516, Dividends!$A:$B, 2, FALSE),
       IFERROR( (VLOOKUP(A516, Dividends!$A:$C, 3, FALSE) / VLOOKUP(A516, Prices!$A:$B, 2, FALSE)) * 100,
                Inputs!$B$4*100 ))</f>
        <v>65</v>
      </c>
      <c r="H516" s="3">
        <f>IFERROR(SUMIF(Purchases!B:B, A516, Purchases!D:D), 0)</f>
        <v>0</v>
      </c>
      <c r="I516" s="3">
        <f t="shared" si="1"/>
        <v>0</v>
      </c>
      <c r="J516" s="3">
        <f t="shared" si="2"/>
        <v>0</v>
      </c>
      <c r="K516" s="3">
        <f>IF(J516&gt;0,
        J516 * IF(G516&gt;0, G516/100,
            IFERROR( VLOOKUP(A516, Dividends!$A:$C, 3, FALSE) / VLOOKUP(A516, Prices!$A:$B, 2, FALSE), Inputs!$B$4)
        ) / 12,
        0)</f>
        <v>0</v>
      </c>
      <c r="L516" s="3">
        <f t="shared" si="3"/>
        <v>0</v>
      </c>
    </row>
    <row r="517" ht="15.75" customHeight="1">
      <c r="F517" s="3" t="str">
        <f>IFERROR(VLOOKUP(A517, Prices!A:B, 2, FALSE), )</f>
        <v/>
      </c>
      <c r="G517" s="3">
        <f>IFERROR(VLOOKUP(A517, Dividends!$A:$B, 2, FALSE),
       IFERROR( (VLOOKUP(A517, Dividends!$A:$C, 3, FALSE) / VLOOKUP(A517, Prices!$A:$B, 2, FALSE)) * 100,
                Inputs!$B$4*100 ))</f>
        <v>65</v>
      </c>
      <c r="H517" s="3">
        <f>IFERROR(SUMIF(Purchases!B:B, A517, Purchases!D:D), 0)</f>
        <v>0</v>
      </c>
      <c r="I517" s="3">
        <f t="shared" si="1"/>
        <v>0</v>
      </c>
      <c r="J517" s="3">
        <f t="shared" si="2"/>
        <v>0</v>
      </c>
      <c r="K517" s="3">
        <f>IF(J517&gt;0,
        J517 * IF(G517&gt;0, G517/100,
            IFERROR( VLOOKUP(A517, Dividends!$A:$C, 3, FALSE) / VLOOKUP(A517, Prices!$A:$B, 2, FALSE), Inputs!$B$4)
        ) / 12,
        0)</f>
        <v>0</v>
      </c>
      <c r="L517" s="3">
        <f t="shared" si="3"/>
        <v>0</v>
      </c>
    </row>
    <row r="518" ht="15.75" customHeight="1">
      <c r="F518" s="3" t="str">
        <f>IFERROR(VLOOKUP(A518, Prices!A:B, 2, FALSE), )</f>
        <v/>
      </c>
      <c r="G518" s="3">
        <f>IFERROR(VLOOKUP(A518, Dividends!$A:$B, 2, FALSE),
       IFERROR( (VLOOKUP(A518, Dividends!$A:$C, 3, FALSE) / VLOOKUP(A518, Prices!$A:$B, 2, FALSE)) * 100,
                Inputs!$B$4*100 ))</f>
        <v>65</v>
      </c>
      <c r="H518" s="3">
        <f>IFERROR(SUMIF(Purchases!B:B, A518, Purchases!D:D), 0)</f>
        <v>0</v>
      </c>
      <c r="I518" s="3">
        <f t="shared" si="1"/>
        <v>0</v>
      </c>
      <c r="J518" s="3">
        <f t="shared" si="2"/>
        <v>0</v>
      </c>
      <c r="K518" s="3">
        <f>IF(J518&gt;0,
        J518 * IF(G518&gt;0, G518/100,
            IFERROR( VLOOKUP(A518, Dividends!$A:$C, 3, FALSE) / VLOOKUP(A518, Prices!$A:$B, 2, FALSE), Inputs!$B$4)
        ) / 12,
        0)</f>
        <v>0</v>
      </c>
      <c r="L518" s="3">
        <f t="shared" si="3"/>
        <v>0</v>
      </c>
    </row>
    <row r="519" ht="15.75" customHeight="1">
      <c r="F519" s="3" t="str">
        <f>IFERROR(VLOOKUP(A519, Prices!A:B, 2, FALSE), )</f>
        <v/>
      </c>
      <c r="G519" s="3">
        <f>IFERROR(VLOOKUP(A519, Dividends!$A:$B, 2, FALSE),
       IFERROR( (VLOOKUP(A519, Dividends!$A:$C, 3, FALSE) / VLOOKUP(A519, Prices!$A:$B, 2, FALSE)) * 100,
                Inputs!$B$4*100 ))</f>
        <v>65</v>
      </c>
      <c r="H519" s="3">
        <f>IFERROR(SUMIF(Purchases!B:B, A519, Purchases!D:D), 0)</f>
        <v>0</v>
      </c>
      <c r="I519" s="3">
        <f t="shared" si="1"/>
        <v>0</v>
      </c>
      <c r="J519" s="3">
        <f t="shared" si="2"/>
        <v>0</v>
      </c>
      <c r="K519" s="3">
        <f>IF(J519&gt;0,
        J519 * IF(G519&gt;0, G519/100,
            IFERROR( VLOOKUP(A519, Dividends!$A:$C, 3, FALSE) / VLOOKUP(A519, Prices!$A:$B, 2, FALSE), Inputs!$B$4)
        ) / 12,
        0)</f>
        <v>0</v>
      </c>
      <c r="L519" s="3">
        <f t="shared" si="3"/>
        <v>0</v>
      </c>
    </row>
    <row r="520" ht="15.75" customHeight="1">
      <c r="F520" s="3" t="str">
        <f>IFERROR(VLOOKUP(A520, Prices!A:B, 2, FALSE), )</f>
        <v/>
      </c>
      <c r="G520" s="3">
        <f>IFERROR(VLOOKUP(A520, Dividends!$A:$B, 2, FALSE),
       IFERROR( (VLOOKUP(A520, Dividends!$A:$C, 3, FALSE) / VLOOKUP(A520, Prices!$A:$B, 2, FALSE)) * 100,
                Inputs!$B$4*100 ))</f>
        <v>65</v>
      </c>
      <c r="H520" s="3">
        <f>IFERROR(SUMIF(Purchases!B:B, A520, Purchases!D:D), 0)</f>
        <v>0</v>
      </c>
      <c r="I520" s="3">
        <f t="shared" si="1"/>
        <v>0</v>
      </c>
      <c r="J520" s="3">
        <f t="shared" si="2"/>
        <v>0</v>
      </c>
      <c r="K520" s="3">
        <f>IF(J520&gt;0,
        J520 * IF(G520&gt;0, G520/100,
            IFERROR( VLOOKUP(A520, Dividends!$A:$C, 3, FALSE) / VLOOKUP(A520, Prices!$A:$B, 2, FALSE), Inputs!$B$4)
        ) / 12,
        0)</f>
        <v>0</v>
      </c>
      <c r="L520" s="3">
        <f t="shared" si="3"/>
        <v>0</v>
      </c>
    </row>
    <row r="521" ht="15.75" customHeight="1">
      <c r="F521" s="3" t="str">
        <f>IFERROR(VLOOKUP(A521, Prices!A:B, 2, FALSE), )</f>
        <v/>
      </c>
      <c r="G521" s="3">
        <f>IFERROR(VLOOKUP(A521, Dividends!$A:$B, 2, FALSE),
       IFERROR( (VLOOKUP(A521, Dividends!$A:$C, 3, FALSE) / VLOOKUP(A521, Prices!$A:$B, 2, FALSE)) * 100,
                Inputs!$B$4*100 ))</f>
        <v>65</v>
      </c>
      <c r="H521" s="3">
        <f>IFERROR(SUMIF(Purchases!B:B, A521, Purchases!D:D), 0)</f>
        <v>0</v>
      </c>
      <c r="I521" s="3">
        <f t="shared" si="1"/>
        <v>0</v>
      </c>
      <c r="J521" s="3">
        <f t="shared" si="2"/>
        <v>0</v>
      </c>
      <c r="K521" s="3">
        <f>IF(J521&gt;0,
        J521 * IF(G521&gt;0, G521/100,
            IFERROR( VLOOKUP(A521, Dividends!$A:$C, 3, FALSE) / VLOOKUP(A521, Prices!$A:$B, 2, FALSE), Inputs!$B$4)
        ) / 12,
        0)</f>
        <v>0</v>
      </c>
      <c r="L521" s="3">
        <f t="shared" si="3"/>
        <v>0</v>
      </c>
    </row>
    <row r="522" ht="15.75" customHeight="1">
      <c r="F522" s="3" t="str">
        <f>IFERROR(VLOOKUP(A522, Prices!A:B, 2, FALSE), )</f>
        <v/>
      </c>
      <c r="G522" s="3">
        <f>IFERROR(VLOOKUP(A522, Dividends!$A:$B, 2, FALSE),
       IFERROR( (VLOOKUP(A522, Dividends!$A:$C, 3, FALSE) / VLOOKUP(A522, Prices!$A:$B, 2, FALSE)) * 100,
                Inputs!$B$4*100 ))</f>
        <v>65</v>
      </c>
      <c r="H522" s="3">
        <f>IFERROR(SUMIF(Purchases!B:B, A522, Purchases!D:D), 0)</f>
        <v>0</v>
      </c>
      <c r="I522" s="3">
        <f t="shared" si="1"/>
        <v>0</v>
      </c>
      <c r="J522" s="3">
        <f t="shared" si="2"/>
        <v>0</v>
      </c>
      <c r="K522" s="3">
        <f>IF(J522&gt;0,
        J522 * IF(G522&gt;0, G522/100,
            IFERROR( VLOOKUP(A522, Dividends!$A:$C, 3, FALSE) / VLOOKUP(A522, Prices!$A:$B, 2, FALSE), Inputs!$B$4)
        ) / 12,
        0)</f>
        <v>0</v>
      </c>
      <c r="L522" s="3">
        <f t="shared" si="3"/>
        <v>0</v>
      </c>
    </row>
    <row r="523" ht="15.75" customHeight="1">
      <c r="F523" s="3" t="str">
        <f>IFERROR(VLOOKUP(A523, Prices!A:B, 2, FALSE), )</f>
        <v/>
      </c>
      <c r="G523" s="3">
        <f>IFERROR(VLOOKUP(A523, Dividends!$A:$B, 2, FALSE),
       IFERROR( (VLOOKUP(A523, Dividends!$A:$C, 3, FALSE) / VLOOKUP(A523, Prices!$A:$B, 2, FALSE)) * 100,
                Inputs!$B$4*100 ))</f>
        <v>65</v>
      </c>
      <c r="H523" s="3">
        <f>IFERROR(SUMIF(Purchases!B:B, A523, Purchases!D:D), 0)</f>
        <v>0</v>
      </c>
      <c r="I523" s="3">
        <f t="shared" si="1"/>
        <v>0</v>
      </c>
      <c r="J523" s="3">
        <f t="shared" si="2"/>
        <v>0</v>
      </c>
      <c r="K523" s="3">
        <f>IF(J523&gt;0,
        J523 * IF(G523&gt;0, G523/100,
            IFERROR( VLOOKUP(A523, Dividends!$A:$C, 3, FALSE) / VLOOKUP(A523, Prices!$A:$B, 2, FALSE), Inputs!$B$4)
        ) / 12,
        0)</f>
        <v>0</v>
      </c>
      <c r="L523" s="3">
        <f t="shared" si="3"/>
        <v>0</v>
      </c>
    </row>
    <row r="524" ht="15.75" customHeight="1">
      <c r="F524" s="3" t="str">
        <f>IFERROR(VLOOKUP(A524, Prices!A:B, 2, FALSE), )</f>
        <v/>
      </c>
      <c r="G524" s="3">
        <f>IFERROR(VLOOKUP(A524, Dividends!$A:$B, 2, FALSE),
       IFERROR( (VLOOKUP(A524, Dividends!$A:$C, 3, FALSE) / VLOOKUP(A524, Prices!$A:$B, 2, FALSE)) * 100,
                Inputs!$B$4*100 ))</f>
        <v>65</v>
      </c>
      <c r="H524" s="3">
        <f>IFERROR(SUMIF(Purchases!B:B, A524, Purchases!D:D), 0)</f>
        <v>0</v>
      </c>
      <c r="I524" s="3">
        <f t="shared" si="1"/>
        <v>0</v>
      </c>
      <c r="J524" s="3">
        <f t="shared" si="2"/>
        <v>0</v>
      </c>
      <c r="K524" s="3">
        <f>IF(J524&gt;0,
        J524 * IF(G524&gt;0, G524/100,
            IFERROR( VLOOKUP(A524, Dividends!$A:$C, 3, FALSE) / VLOOKUP(A524, Prices!$A:$B, 2, FALSE), Inputs!$B$4)
        ) / 12,
        0)</f>
        <v>0</v>
      </c>
      <c r="L524" s="3">
        <f t="shared" si="3"/>
        <v>0</v>
      </c>
    </row>
    <row r="525" ht="15.75" customHeight="1">
      <c r="F525" s="3" t="str">
        <f>IFERROR(VLOOKUP(A525, Prices!A:B, 2, FALSE), )</f>
        <v/>
      </c>
      <c r="G525" s="3">
        <f>IFERROR(VLOOKUP(A525, Dividends!$A:$B, 2, FALSE),
       IFERROR( (VLOOKUP(A525, Dividends!$A:$C, 3, FALSE) / VLOOKUP(A525, Prices!$A:$B, 2, FALSE)) * 100,
                Inputs!$B$4*100 ))</f>
        <v>65</v>
      </c>
      <c r="H525" s="3">
        <f>IFERROR(SUMIF(Purchases!B:B, A525, Purchases!D:D), 0)</f>
        <v>0</v>
      </c>
      <c r="I525" s="3">
        <f t="shared" si="1"/>
        <v>0</v>
      </c>
      <c r="J525" s="3">
        <f t="shared" si="2"/>
        <v>0</v>
      </c>
      <c r="K525" s="3">
        <f>IF(J525&gt;0,
        J525 * IF(G525&gt;0, G525/100,
            IFERROR( VLOOKUP(A525, Dividends!$A:$C, 3, FALSE) / VLOOKUP(A525, Prices!$A:$B, 2, FALSE), Inputs!$B$4)
        ) / 12,
        0)</f>
        <v>0</v>
      </c>
      <c r="L525" s="3">
        <f t="shared" si="3"/>
        <v>0</v>
      </c>
    </row>
    <row r="526" ht="15.75" customHeight="1">
      <c r="F526" s="3" t="str">
        <f>IFERROR(VLOOKUP(A526, Prices!A:B, 2, FALSE), )</f>
        <v/>
      </c>
      <c r="G526" s="3">
        <f>IFERROR(VLOOKUP(A526, Dividends!$A:$B, 2, FALSE),
       IFERROR( (VLOOKUP(A526, Dividends!$A:$C, 3, FALSE) / VLOOKUP(A526, Prices!$A:$B, 2, FALSE)) * 100,
                Inputs!$B$4*100 ))</f>
        <v>65</v>
      </c>
      <c r="H526" s="3">
        <f>IFERROR(SUMIF(Purchases!B:B, A526, Purchases!D:D), 0)</f>
        <v>0</v>
      </c>
      <c r="I526" s="3">
        <f t="shared" si="1"/>
        <v>0</v>
      </c>
      <c r="J526" s="3">
        <f t="shared" si="2"/>
        <v>0</v>
      </c>
      <c r="K526" s="3">
        <f>IF(J526&gt;0,
        J526 * IF(G526&gt;0, G526/100,
            IFERROR( VLOOKUP(A526, Dividends!$A:$C, 3, FALSE) / VLOOKUP(A526, Prices!$A:$B, 2, FALSE), Inputs!$B$4)
        ) / 12,
        0)</f>
        <v>0</v>
      </c>
      <c r="L526" s="3">
        <f t="shared" si="3"/>
        <v>0</v>
      </c>
    </row>
    <row r="527" ht="15.75" customHeight="1">
      <c r="F527" s="3" t="str">
        <f>IFERROR(VLOOKUP(A527, Prices!A:B, 2, FALSE), )</f>
        <v/>
      </c>
      <c r="G527" s="3">
        <f>IFERROR(VLOOKUP(A527, Dividends!$A:$B, 2, FALSE),
       IFERROR( (VLOOKUP(A527, Dividends!$A:$C, 3, FALSE) / VLOOKUP(A527, Prices!$A:$B, 2, FALSE)) * 100,
                Inputs!$B$4*100 ))</f>
        <v>65</v>
      </c>
      <c r="H527" s="3">
        <f>IFERROR(SUMIF(Purchases!B:B, A527, Purchases!D:D), 0)</f>
        <v>0</v>
      </c>
      <c r="I527" s="3">
        <f t="shared" si="1"/>
        <v>0</v>
      </c>
      <c r="J527" s="3">
        <f t="shared" si="2"/>
        <v>0</v>
      </c>
      <c r="K527" s="3">
        <f>IF(J527&gt;0,
        J527 * IF(G527&gt;0, G527/100,
            IFERROR( VLOOKUP(A527, Dividends!$A:$C, 3, FALSE) / VLOOKUP(A527, Prices!$A:$B, 2, FALSE), Inputs!$B$4)
        ) / 12,
        0)</f>
        <v>0</v>
      </c>
      <c r="L527" s="3">
        <f t="shared" si="3"/>
        <v>0</v>
      </c>
    </row>
    <row r="528" ht="15.75" customHeight="1">
      <c r="F528" s="3" t="str">
        <f>IFERROR(VLOOKUP(A528, Prices!A:B, 2, FALSE), )</f>
        <v/>
      </c>
      <c r="G528" s="3">
        <f>IFERROR(VLOOKUP(A528, Dividends!$A:$B, 2, FALSE),
       IFERROR( (VLOOKUP(A528, Dividends!$A:$C, 3, FALSE) / VLOOKUP(A528, Prices!$A:$B, 2, FALSE)) * 100,
                Inputs!$B$4*100 ))</f>
        <v>65</v>
      </c>
      <c r="H528" s="3">
        <f>IFERROR(SUMIF(Purchases!B:B, A528, Purchases!D:D), 0)</f>
        <v>0</v>
      </c>
      <c r="I528" s="3">
        <f t="shared" si="1"/>
        <v>0</v>
      </c>
      <c r="J528" s="3">
        <f t="shared" si="2"/>
        <v>0</v>
      </c>
      <c r="K528" s="3">
        <f>IF(J528&gt;0,
        J528 * IF(G528&gt;0, G528/100,
            IFERROR( VLOOKUP(A528, Dividends!$A:$C, 3, FALSE) / VLOOKUP(A528, Prices!$A:$B, 2, FALSE), Inputs!$B$4)
        ) / 12,
        0)</f>
        <v>0</v>
      </c>
      <c r="L528" s="3">
        <f t="shared" si="3"/>
        <v>0</v>
      </c>
    </row>
    <row r="529" ht="15.75" customHeight="1">
      <c r="F529" s="3" t="str">
        <f>IFERROR(VLOOKUP(A529, Prices!A:B, 2, FALSE), )</f>
        <v/>
      </c>
      <c r="G529" s="3">
        <f>IFERROR(VLOOKUP(A529, Dividends!$A:$B, 2, FALSE),
       IFERROR( (VLOOKUP(A529, Dividends!$A:$C, 3, FALSE) / VLOOKUP(A529, Prices!$A:$B, 2, FALSE)) * 100,
                Inputs!$B$4*100 ))</f>
        <v>65</v>
      </c>
      <c r="H529" s="3">
        <f>IFERROR(SUMIF(Purchases!B:B, A529, Purchases!D:D), 0)</f>
        <v>0</v>
      </c>
      <c r="I529" s="3">
        <f t="shared" si="1"/>
        <v>0</v>
      </c>
      <c r="J529" s="3">
        <f t="shared" si="2"/>
        <v>0</v>
      </c>
      <c r="K529" s="3">
        <f>IF(J529&gt;0,
        J529 * IF(G529&gt;0, G529/100,
            IFERROR( VLOOKUP(A529, Dividends!$A:$C, 3, FALSE) / VLOOKUP(A529, Prices!$A:$B, 2, FALSE), Inputs!$B$4)
        ) / 12,
        0)</f>
        <v>0</v>
      </c>
      <c r="L529" s="3">
        <f t="shared" si="3"/>
        <v>0</v>
      </c>
    </row>
    <row r="530" ht="15.75" customHeight="1">
      <c r="F530" s="3" t="str">
        <f>IFERROR(VLOOKUP(A530, Prices!A:B, 2, FALSE), )</f>
        <v/>
      </c>
      <c r="G530" s="3">
        <f>IFERROR(VLOOKUP(A530, Dividends!$A:$B, 2, FALSE),
       IFERROR( (VLOOKUP(A530, Dividends!$A:$C, 3, FALSE) / VLOOKUP(A530, Prices!$A:$B, 2, FALSE)) * 100,
                Inputs!$B$4*100 ))</f>
        <v>65</v>
      </c>
      <c r="H530" s="3">
        <f>IFERROR(SUMIF(Purchases!B:B, A530, Purchases!D:D), 0)</f>
        <v>0</v>
      </c>
      <c r="I530" s="3">
        <f t="shared" si="1"/>
        <v>0</v>
      </c>
      <c r="J530" s="3">
        <f t="shared" si="2"/>
        <v>0</v>
      </c>
      <c r="K530" s="3">
        <f>IF(J530&gt;0,
        J530 * IF(G530&gt;0, G530/100,
            IFERROR( VLOOKUP(A530, Dividends!$A:$C, 3, FALSE) / VLOOKUP(A530, Prices!$A:$B, 2, FALSE), Inputs!$B$4)
        ) / 12,
        0)</f>
        <v>0</v>
      </c>
      <c r="L530" s="3">
        <f t="shared" si="3"/>
        <v>0</v>
      </c>
    </row>
    <row r="531" ht="15.75" customHeight="1">
      <c r="F531" s="3" t="str">
        <f>IFERROR(VLOOKUP(A531, Prices!A:B, 2, FALSE), )</f>
        <v/>
      </c>
      <c r="G531" s="3">
        <f>IFERROR(VLOOKUP(A531, Dividends!$A:$B, 2, FALSE),
       IFERROR( (VLOOKUP(A531, Dividends!$A:$C, 3, FALSE) / VLOOKUP(A531, Prices!$A:$B, 2, FALSE)) * 100,
                Inputs!$B$4*100 ))</f>
        <v>65</v>
      </c>
      <c r="H531" s="3">
        <f>IFERROR(SUMIF(Purchases!B:B, A531, Purchases!D:D), 0)</f>
        <v>0</v>
      </c>
      <c r="I531" s="3">
        <f t="shared" si="1"/>
        <v>0</v>
      </c>
      <c r="J531" s="3">
        <f t="shared" si="2"/>
        <v>0</v>
      </c>
      <c r="K531" s="3">
        <f>IF(J531&gt;0,
        J531 * IF(G531&gt;0, G531/100,
            IFERROR( VLOOKUP(A531, Dividends!$A:$C, 3, FALSE) / VLOOKUP(A531, Prices!$A:$B, 2, FALSE), Inputs!$B$4)
        ) / 12,
        0)</f>
        <v>0</v>
      </c>
      <c r="L531" s="3">
        <f t="shared" si="3"/>
        <v>0</v>
      </c>
    </row>
    <row r="532" ht="15.75" customHeight="1">
      <c r="F532" s="3" t="str">
        <f>IFERROR(VLOOKUP(A532, Prices!A:B, 2, FALSE), )</f>
        <v/>
      </c>
      <c r="G532" s="3">
        <f>IFERROR(VLOOKUP(A532, Dividends!$A:$B, 2, FALSE),
       IFERROR( (VLOOKUP(A532, Dividends!$A:$C, 3, FALSE) / VLOOKUP(A532, Prices!$A:$B, 2, FALSE)) * 100,
                Inputs!$B$4*100 ))</f>
        <v>65</v>
      </c>
      <c r="H532" s="3">
        <f>IFERROR(SUMIF(Purchases!B:B, A532, Purchases!D:D), 0)</f>
        <v>0</v>
      </c>
      <c r="I532" s="3">
        <f t="shared" si="1"/>
        <v>0</v>
      </c>
      <c r="J532" s="3">
        <f t="shared" si="2"/>
        <v>0</v>
      </c>
      <c r="K532" s="3">
        <f>IF(J532&gt;0,
        J532 * IF(G532&gt;0, G532/100,
            IFERROR( VLOOKUP(A532, Dividends!$A:$C, 3, FALSE) / VLOOKUP(A532, Prices!$A:$B, 2, FALSE), Inputs!$B$4)
        ) / 12,
        0)</f>
        <v>0</v>
      </c>
      <c r="L532" s="3">
        <f t="shared" si="3"/>
        <v>0</v>
      </c>
    </row>
    <row r="533" ht="15.75" customHeight="1">
      <c r="F533" s="3" t="str">
        <f>IFERROR(VLOOKUP(A533, Prices!A:B, 2, FALSE), )</f>
        <v/>
      </c>
      <c r="G533" s="3">
        <f>IFERROR(VLOOKUP(A533, Dividends!$A:$B, 2, FALSE),
       IFERROR( (VLOOKUP(A533, Dividends!$A:$C, 3, FALSE) / VLOOKUP(A533, Prices!$A:$B, 2, FALSE)) * 100,
                Inputs!$B$4*100 ))</f>
        <v>65</v>
      </c>
      <c r="H533" s="3">
        <f>IFERROR(SUMIF(Purchases!B:B, A533, Purchases!D:D), 0)</f>
        <v>0</v>
      </c>
      <c r="I533" s="3">
        <f t="shared" si="1"/>
        <v>0</v>
      </c>
      <c r="J533" s="3">
        <f t="shared" si="2"/>
        <v>0</v>
      </c>
      <c r="K533" s="3">
        <f>IF(J533&gt;0,
        J533 * IF(G533&gt;0, G533/100,
            IFERROR( VLOOKUP(A533, Dividends!$A:$C, 3, FALSE) / VLOOKUP(A533, Prices!$A:$B, 2, FALSE), Inputs!$B$4)
        ) / 12,
        0)</f>
        <v>0</v>
      </c>
      <c r="L533" s="3">
        <f t="shared" si="3"/>
        <v>0</v>
      </c>
    </row>
    <row r="534" ht="15.75" customHeight="1">
      <c r="F534" s="3" t="str">
        <f>IFERROR(VLOOKUP(A534, Prices!A:B, 2, FALSE), )</f>
        <v/>
      </c>
      <c r="G534" s="3">
        <f>IFERROR(VLOOKUP(A534, Dividends!$A:$B, 2, FALSE),
       IFERROR( (VLOOKUP(A534, Dividends!$A:$C, 3, FALSE) / VLOOKUP(A534, Prices!$A:$B, 2, FALSE)) * 100,
                Inputs!$B$4*100 ))</f>
        <v>65</v>
      </c>
      <c r="H534" s="3">
        <f>IFERROR(SUMIF(Purchases!B:B, A534, Purchases!D:D), 0)</f>
        <v>0</v>
      </c>
      <c r="I534" s="3">
        <f t="shared" si="1"/>
        <v>0</v>
      </c>
      <c r="J534" s="3">
        <f t="shared" si="2"/>
        <v>0</v>
      </c>
      <c r="K534" s="3">
        <f>IF(J534&gt;0,
        J534 * IF(G534&gt;0, G534/100,
            IFERROR( VLOOKUP(A534, Dividends!$A:$C, 3, FALSE) / VLOOKUP(A534, Prices!$A:$B, 2, FALSE), Inputs!$B$4)
        ) / 12,
        0)</f>
        <v>0</v>
      </c>
      <c r="L534" s="3">
        <f t="shared" si="3"/>
        <v>0</v>
      </c>
    </row>
    <row r="535" ht="15.75" customHeight="1">
      <c r="F535" s="3" t="str">
        <f>IFERROR(VLOOKUP(A535, Prices!A:B, 2, FALSE), )</f>
        <v/>
      </c>
      <c r="G535" s="3">
        <f>IFERROR(VLOOKUP(A535, Dividends!$A:$B, 2, FALSE),
       IFERROR( (VLOOKUP(A535, Dividends!$A:$C, 3, FALSE) / VLOOKUP(A535, Prices!$A:$B, 2, FALSE)) * 100,
                Inputs!$B$4*100 ))</f>
        <v>65</v>
      </c>
      <c r="H535" s="3">
        <f>IFERROR(SUMIF(Purchases!B:B, A535, Purchases!D:D), 0)</f>
        <v>0</v>
      </c>
      <c r="I535" s="3">
        <f t="shared" si="1"/>
        <v>0</v>
      </c>
      <c r="J535" s="3">
        <f t="shared" si="2"/>
        <v>0</v>
      </c>
      <c r="K535" s="3">
        <f>IF(J535&gt;0,
        J535 * IF(G535&gt;0, G535/100,
            IFERROR( VLOOKUP(A535, Dividends!$A:$C, 3, FALSE) / VLOOKUP(A535, Prices!$A:$B, 2, FALSE), Inputs!$B$4)
        ) / 12,
        0)</f>
        <v>0</v>
      </c>
      <c r="L535" s="3">
        <f t="shared" si="3"/>
        <v>0</v>
      </c>
    </row>
    <row r="536" ht="15.75" customHeight="1">
      <c r="F536" s="3" t="str">
        <f>IFERROR(VLOOKUP(A536, Prices!A:B, 2, FALSE), )</f>
        <v/>
      </c>
      <c r="G536" s="3">
        <f>IFERROR(VLOOKUP(A536, Dividends!$A:$B, 2, FALSE),
       IFERROR( (VLOOKUP(A536, Dividends!$A:$C, 3, FALSE) / VLOOKUP(A536, Prices!$A:$B, 2, FALSE)) * 100,
                Inputs!$B$4*100 ))</f>
        <v>65</v>
      </c>
      <c r="H536" s="3">
        <f>IFERROR(SUMIF(Purchases!B:B, A536, Purchases!D:D), 0)</f>
        <v>0</v>
      </c>
      <c r="I536" s="3">
        <f t="shared" si="1"/>
        <v>0</v>
      </c>
      <c r="J536" s="3">
        <f t="shared" si="2"/>
        <v>0</v>
      </c>
      <c r="K536" s="3">
        <f>IF(J536&gt;0,
        J536 * IF(G536&gt;0, G536/100,
            IFERROR( VLOOKUP(A536, Dividends!$A:$C, 3, FALSE) / VLOOKUP(A536, Prices!$A:$B, 2, FALSE), Inputs!$B$4)
        ) / 12,
        0)</f>
        <v>0</v>
      </c>
      <c r="L536" s="3">
        <f t="shared" si="3"/>
        <v>0</v>
      </c>
    </row>
    <row r="537" ht="15.75" customHeight="1">
      <c r="F537" s="3" t="str">
        <f>IFERROR(VLOOKUP(A537, Prices!A:B, 2, FALSE), )</f>
        <v/>
      </c>
      <c r="G537" s="3">
        <f>IFERROR(VLOOKUP(A537, Dividends!$A:$B, 2, FALSE),
       IFERROR( (VLOOKUP(A537, Dividends!$A:$C, 3, FALSE) / VLOOKUP(A537, Prices!$A:$B, 2, FALSE)) * 100,
                Inputs!$B$4*100 ))</f>
        <v>65</v>
      </c>
      <c r="H537" s="3">
        <f>IFERROR(SUMIF(Purchases!B:B, A537, Purchases!D:D), 0)</f>
        <v>0</v>
      </c>
      <c r="I537" s="3">
        <f t="shared" si="1"/>
        <v>0</v>
      </c>
      <c r="J537" s="3">
        <f t="shared" si="2"/>
        <v>0</v>
      </c>
      <c r="K537" s="3">
        <f>IF(J537&gt;0,
        J537 * IF(G537&gt;0, G537/100,
            IFERROR( VLOOKUP(A537, Dividends!$A:$C, 3, FALSE) / VLOOKUP(A537, Prices!$A:$B, 2, FALSE), Inputs!$B$4)
        ) / 12,
        0)</f>
        <v>0</v>
      </c>
      <c r="L537" s="3">
        <f t="shared" si="3"/>
        <v>0</v>
      </c>
    </row>
    <row r="538" ht="15.75" customHeight="1">
      <c r="F538" s="3" t="str">
        <f>IFERROR(VLOOKUP(A538, Prices!A:B, 2, FALSE), )</f>
        <v/>
      </c>
      <c r="G538" s="3">
        <f>IFERROR(VLOOKUP(A538, Dividends!$A:$B, 2, FALSE),
       IFERROR( (VLOOKUP(A538, Dividends!$A:$C, 3, FALSE) / VLOOKUP(A538, Prices!$A:$B, 2, FALSE)) * 100,
                Inputs!$B$4*100 ))</f>
        <v>65</v>
      </c>
      <c r="H538" s="3">
        <f>IFERROR(SUMIF(Purchases!B:B, A538, Purchases!D:D), 0)</f>
        <v>0</v>
      </c>
      <c r="I538" s="3">
        <f t="shared" si="1"/>
        <v>0</v>
      </c>
      <c r="J538" s="3">
        <f t="shared" si="2"/>
        <v>0</v>
      </c>
      <c r="K538" s="3">
        <f>IF(J538&gt;0,
        J538 * IF(G538&gt;0, G538/100,
            IFERROR( VLOOKUP(A538, Dividends!$A:$C, 3, FALSE) / VLOOKUP(A538, Prices!$A:$B, 2, FALSE), Inputs!$B$4)
        ) / 12,
        0)</f>
        <v>0</v>
      </c>
      <c r="L538" s="3">
        <f t="shared" si="3"/>
        <v>0</v>
      </c>
    </row>
    <row r="539" ht="15.75" customHeight="1">
      <c r="F539" s="3" t="str">
        <f>IFERROR(VLOOKUP(A539, Prices!A:B, 2, FALSE), )</f>
        <v/>
      </c>
      <c r="G539" s="3">
        <f>IFERROR(VLOOKUP(A539, Dividends!$A:$B, 2, FALSE),
       IFERROR( (VLOOKUP(A539, Dividends!$A:$C, 3, FALSE) / VLOOKUP(A539, Prices!$A:$B, 2, FALSE)) * 100,
                Inputs!$B$4*100 ))</f>
        <v>65</v>
      </c>
      <c r="H539" s="3">
        <f>IFERROR(SUMIF(Purchases!B:B, A539, Purchases!D:D), 0)</f>
        <v>0</v>
      </c>
      <c r="I539" s="3">
        <f t="shared" si="1"/>
        <v>0</v>
      </c>
      <c r="J539" s="3">
        <f t="shared" si="2"/>
        <v>0</v>
      </c>
      <c r="K539" s="3">
        <f>IF(J539&gt;0,
        J539 * IF(G539&gt;0, G539/100,
            IFERROR( VLOOKUP(A539, Dividends!$A:$C, 3, FALSE) / VLOOKUP(A539, Prices!$A:$B, 2, FALSE), Inputs!$B$4)
        ) / 12,
        0)</f>
        <v>0</v>
      </c>
      <c r="L539" s="3">
        <f t="shared" si="3"/>
        <v>0</v>
      </c>
    </row>
    <row r="540" ht="15.75" customHeight="1">
      <c r="F540" s="3" t="str">
        <f>IFERROR(VLOOKUP(A540, Prices!A:B, 2, FALSE), )</f>
        <v/>
      </c>
      <c r="G540" s="3">
        <f>IFERROR(VLOOKUP(A540, Dividends!$A:$B, 2, FALSE),
       IFERROR( (VLOOKUP(A540, Dividends!$A:$C, 3, FALSE) / VLOOKUP(A540, Prices!$A:$B, 2, FALSE)) * 100,
                Inputs!$B$4*100 ))</f>
        <v>65</v>
      </c>
      <c r="H540" s="3">
        <f>IFERROR(SUMIF(Purchases!B:B, A540, Purchases!D:D), 0)</f>
        <v>0</v>
      </c>
      <c r="I540" s="3">
        <f t="shared" si="1"/>
        <v>0</v>
      </c>
      <c r="J540" s="3">
        <f t="shared" si="2"/>
        <v>0</v>
      </c>
      <c r="K540" s="3">
        <f>IF(J540&gt;0,
        J540 * IF(G540&gt;0, G540/100,
            IFERROR( VLOOKUP(A540, Dividends!$A:$C, 3, FALSE) / VLOOKUP(A540, Prices!$A:$B, 2, FALSE), Inputs!$B$4)
        ) / 12,
        0)</f>
        <v>0</v>
      </c>
      <c r="L540" s="3">
        <f t="shared" si="3"/>
        <v>0</v>
      </c>
    </row>
    <row r="541" ht="15.75" customHeight="1">
      <c r="F541" s="3" t="str">
        <f>IFERROR(VLOOKUP(A541, Prices!A:B, 2, FALSE), )</f>
        <v/>
      </c>
      <c r="G541" s="3">
        <f>IFERROR(VLOOKUP(A541, Dividends!$A:$B, 2, FALSE),
       IFERROR( (VLOOKUP(A541, Dividends!$A:$C, 3, FALSE) / VLOOKUP(A541, Prices!$A:$B, 2, FALSE)) * 100,
                Inputs!$B$4*100 ))</f>
        <v>65</v>
      </c>
      <c r="H541" s="3">
        <f>IFERROR(SUMIF(Purchases!B:B, A541, Purchases!D:D), 0)</f>
        <v>0</v>
      </c>
      <c r="I541" s="3">
        <f t="shared" si="1"/>
        <v>0</v>
      </c>
      <c r="J541" s="3">
        <f t="shared" si="2"/>
        <v>0</v>
      </c>
      <c r="K541" s="3">
        <f>IF(J541&gt;0,
        J541 * IF(G541&gt;0, G541/100,
            IFERROR( VLOOKUP(A541, Dividends!$A:$C, 3, FALSE) / VLOOKUP(A541, Prices!$A:$B, 2, FALSE), Inputs!$B$4)
        ) / 12,
        0)</f>
        <v>0</v>
      </c>
      <c r="L541" s="3">
        <f t="shared" si="3"/>
        <v>0</v>
      </c>
    </row>
    <row r="542" ht="15.75" customHeight="1">
      <c r="F542" s="3" t="str">
        <f>IFERROR(VLOOKUP(A542, Prices!A:B, 2, FALSE), )</f>
        <v/>
      </c>
      <c r="G542" s="3">
        <f>IFERROR(VLOOKUP(A542, Dividends!$A:$B, 2, FALSE),
       IFERROR( (VLOOKUP(A542, Dividends!$A:$C, 3, FALSE) / VLOOKUP(A542, Prices!$A:$B, 2, FALSE)) * 100,
                Inputs!$B$4*100 ))</f>
        <v>65</v>
      </c>
      <c r="H542" s="3">
        <f>IFERROR(SUMIF(Purchases!B:B, A542, Purchases!D:D), 0)</f>
        <v>0</v>
      </c>
      <c r="I542" s="3">
        <f t="shared" si="1"/>
        <v>0</v>
      </c>
      <c r="J542" s="3">
        <f t="shared" si="2"/>
        <v>0</v>
      </c>
      <c r="K542" s="3">
        <f>IF(J542&gt;0,
        J542 * IF(G542&gt;0, G542/100,
            IFERROR( VLOOKUP(A542, Dividends!$A:$C, 3, FALSE) / VLOOKUP(A542, Prices!$A:$B, 2, FALSE), Inputs!$B$4)
        ) / 12,
        0)</f>
        <v>0</v>
      </c>
      <c r="L542" s="3">
        <f t="shared" si="3"/>
        <v>0</v>
      </c>
    </row>
    <row r="543" ht="15.75" customHeight="1">
      <c r="F543" s="3" t="str">
        <f>IFERROR(VLOOKUP(A543, Prices!A:B, 2, FALSE), )</f>
        <v/>
      </c>
      <c r="G543" s="3">
        <f>IFERROR(VLOOKUP(A543, Dividends!$A:$B, 2, FALSE),
       IFERROR( (VLOOKUP(A543, Dividends!$A:$C, 3, FALSE) / VLOOKUP(A543, Prices!$A:$B, 2, FALSE)) * 100,
                Inputs!$B$4*100 ))</f>
        <v>65</v>
      </c>
      <c r="H543" s="3">
        <f>IFERROR(SUMIF(Purchases!B:B, A543, Purchases!D:D), 0)</f>
        <v>0</v>
      </c>
      <c r="I543" s="3">
        <f t="shared" si="1"/>
        <v>0</v>
      </c>
      <c r="J543" s="3">
        <f t="shared" si="2"/>
        <v>0</v>
      </c>
      <c r="K543" s="3">
        <f>IF(J543&gt;0,
        J543 * IF(G543&gt;0, G543/100,
            IFERROR( VLOOKUP(A543, Dividends!$A:$C, 3, FALSE) / VLOOKUP(A543, Prices!$A:$B, 2, FALSE), Inputs!$B$4)
        ) / 12,
        0)</f>
        <v>0</v>
      </c>
      <c r="L543" s="3">
        <f t="shared" si="3"/>
        <v>0</v>
      </c>
    </row>
    <row r="544" ht="15.75" customHeight="1">
      <c r="F544" s="3" t="str">
        <f>IFERROR(VLOOKUP(A544, Prices!A:B, 2, FALSE), )</f>
        <v/>
      </c>
      <c r="G544" s="3">
        <f>IFERROR(VLOOKUP(A544, Dividends!$A:$B, 2, FALSE),
       IFERROR( (VLOOKUP(A544, Dividends!$A:$C, 3, FALSE) / VLOOKUP(A544, Prices!$A:$B, 2, FALSE)) * 100,
                Inputs!$B$4*100 ))</f>
        <v>65</v>
      </c>
      <c r="H544" s="3">
        <f>IFERROR(SUMIF(Purchases!B:B, A544, Purchases!D:D), 0)</f>
        <v>0</v>
      </c>
      <c r="I544" s="3">
        <f t="shared" si="1"/>
        <v>0</v>
      </c>
      <c r="J544" s="3">
        <f t="shared" si="2"/>
        <v>0</v>
      </c>
      <c r="K544" s="3">
        <f>IF(J544&gt;0,
        J544 * IF(G544&gt;0, G544/100,
            IFERROR( VLOOKUP(A544, Dividends!$A:$C, 3, FALSE) / VLOOKUP(A544, Prices!$A:$B, 2, FALSE), Inputs!$B$4)
        ) / 12,
        0)</f>
        <v>0</v>
      </c>
      <c r="L544" s="3">
        <f t="shared" si="3"/>
        <v>0</v>
      </c>
    </row>
    <row r="545" ht="15.75" customHeight="1">
      <c r="F545" s="3" t="str">
        <f>IFERROR(VLOOKUP(A545, Prices!A:B, 2, FALSE), )</f>
        <v/>
      </c>
      <c r="G545" s="3">
        <f>IFERROR(VLOOKUP(A545, Dividends!$A:$B, 2, FALSE),
       IFERROR( (VLOOKUP(A545, Dividends!$A:$C, 3, FALSE) / VLOOKUP(A545, Prices!$A:$B, 2, FALSE)) * 100,
                Inputs!$B$4*100 ))</f>
        <v>65</v>
      </c>
      <c r="H545" s="3">
        <f>IFERROR(SUMIF(Purchases!B:B, A545, Purchases!D:D), 0)</f>
        <v>0</v>
      </c>
      <c r="I545" s="3">
        <f t="shared" si="1"/>
        <v>0</v>
      </c>
      <c r="J545" s="3">
        <f t="shared" si="2"/>
        <v>0</v>
      </c>
      <c r="K545" s="3">
        <f>IF(J545&gt;0,
        J545 * IF(G545&gt;0, G545/100,
            IFERROR( VLOOKUP(A545, Dividends!$A:$C, 3, FALSE) / VLOOKUP(A545, Prices!$A:$B, 2, FALSE), Inputs!$B$4)
        ) / 12,
        0)</f>
        <v>0</v>
      </c>
      <c r="L545" s="3">
        <f t="shared" si="3"/>
        <v>0</v>
      </c>
    </row>
    <row r="546" ht="15.75" customHeight="1">
      <c r="F546" s="3" t="str">
        <f>IFERROR(VLOOKUP(A546, Prices!A:B, 2, FALSE), )</f>
        <v/>
      </c>
      <c r="G546" s="3">
        <f>IFERROR(VLOOKUP(A546, Dividends!$A:$B, 2, FALSE),
       IFERROR( (VLOOKUP(A546, Dividends!$A:$C, 3, FALSE) / VLOOKUP(A546, Prices!$A:$B, 2, FALSE)) * 100,
                Inputs!$B$4*100 ))</f>
        <v>65</v>
      </c>
      <c r="H546" s="3">
        <f>IFERROR(SUMIF(Purchases!B:B, A546, Purchases!D:D), 0)</f>
        <v>0</v>
      </c>
      <c r="I546" s="3">
        <f t="shared" si="1"/>
        <v>0</v>
      </c>
      <c r="J546" s="3">
        <f t="shared" si="2"/>
        <v>0</v>
      </c>
      <c r="K546" s="3">
        <f>IF(J546&gt;0,
        J546 * IF(G546&gt;0, G546/100,
            IFERROR( VLOOKUP(A546, Dividends!$A:$C, 3, FALSE) / VLOOKUP(A546, Prices!$A:$B, 2, FALSE), Inputs!$B$4)
        ) / 12,
        0)</f>
        <v>0</v>
      </c>
      <c r="L546" s="3">
        <f t="shared" si="3"/>
        <v>0</v>
      </c>
    </row>
    <row r="547" ht="15.75" customHeight="1">
      <c r="F547" s="3" t="str">
        <f>IFERROR(VLOOKUP(A547, Prices!A:B, 2, FALSE), )</f>
        <v/>
      </c>
      <c r="G547" s="3">
        <f>IFERROR(VLOOKUP(A547, Dividends!$A:$B, 2, FALSE),
       IFERROR( (VLOOKUP(A547, Dividends!$A:$C, 3, FALSE) / VLOOKUP(A547, Prices!$A:$B, 2, FALSE)) * 100,
                Inputs!$B$4*100 ))</f>
        <v>65</v>
      </c>
      <c r="H547" s="3">
        <f>IFERROR(SUMIF(Purchases!B:B, A547, Purchases!D:D), 0)</f>
        <v>0</v>
      </c>
      <c r="I547" s="3">
        <f t="shared" si="1"/>
        <v>0</v>
      </c>
      <c r="J547" s="3">
        <f t="shared" si="2"/>
        <v>0</v>
      </c>
      <c r="K547" s="3">
        <f>IF(J547&gt;0,
        J547 * IF(G547&gt;0, G547/100,
            IFERROR( VLOOKUP(A547, Dividends!$A:$C, 3, FALSE) / VLOOKUP(A547, Prices!$A:$B, 2, FALSE), Inputs!$B$4)
        ) / 12,
        0)</f>
        <v>0</v>
      </c>
      <c r="L547" s="3">
        <f t="shared" si="3"/>
        <v>0</v>
      </c>
    </row>
    <row r="548" ht="15.75" customHeight="1">
      <c r="F548" s="3" t="str">
        <f>IFERROR(VLOOKUP(A548, Prices!A:B, 2, FALSE), )</f>
        <v/>
      </c>
      <c r="G548" s="3">
        <f>IFERROR(VLOOKUP(A548, Dividends!$A:$B, 2, FALSE),
       IFERROR( (VLOOKUP(A548, Dividends!$A:$C, 3, FALSE) / VLOOKUP(A548, Prices!$A:$B, 2, FALSE)) * 100,
                Inputs!$B$4*100 ))</f>
        <v>65</v>
      </c>
      <c r="H548" s="3">
        <f>IFERROR(SUMIF(Purchases!B:B, A548, Purchases!D:D), 0)</f>
        <v>0</v>
      </c>
      <c r="I548" s="3">
        <f t="shared" si="1"/>
        <v>0</v>
      </c>
      <c r="J548" s="3">
        <f t="shared" si="2"/>
        <v>0</v>
      </c>
      <c r="K548" s="3">
        <f>IF(J548&gt;0,
        J548 * IF(G548&gt;0, G548/100,
            IFERROR( VLOOKUP(A548, Dividends!$A:$C, 3, FALSE) / VLOOKUP(A548, Prices!$A:$B, 2, FALSE), Inputs!$B$4)
        ) / 12,
        0)</f>
        <v>0</v>
      </c>
      <c r="L548" s="3">
        <f t="shared" si="3"/>
        <v>0</v>
      </c>
    </row>
    <row r="549" ht="15.75" customHeight="1">
      <c r="F549" s="3" t="str">
        <f>IFERROR(VLOOKUP(A549, Prices!A:B, 2, FALSE), )</f>
        <v/>
      </c>
      <c r="G549" s="3">
        <f>IFERROR(VLOOKUP(A549, Dividends!$A:$B, 2, FALSE),
       IFERROR( (VLOOKUP(A549, Dividends!$A:$C, 3, FALSE) / VLOOKUP(A549, Prices!$A:$B, 2, FALSE)) * 100,
                Inputs!$B$4*100 ))</f>
        <v>65</v>
      </c>
      <c r="H549" s="3">
        <f>IFERROR(SUMIF(Purchases!B:B, A549, Purchases!D:D), 0)</f>
        <v>0</v>
      </c>
      <c r="I549" s="3">
        <f t="shared" si="1"/>
        <v>0</v>
      </c>
      <c r="J549" s="3">
        <f t="shared" si="2"/>
        <v>0</v>
      </c>
      <c r="K549" s="3">
        <f>IF(J549&gt;0,
        J549 * IF(G549&gt;0, G549/100,
            IFERROR( VLOOKUP(A549, Dividends!$A:$C, 3, FALSE) / VLOOKUP(A549, Prices!$A:$B, 2, FALSE), Inputs!$B$4)
        ) / 12,
        0)</f>
        <v>0</v>
      </c>
      <c r="L549" s="3">
        <f t="shared" si="3"/>
        <v>0</v>
      </c>
    </row>
    <row r="550" ht="15.75" customHeight="1">
      <c r="F550" s="3" t="str">
        <f>IFERROR(VLOOKUP(A550, Prices!A:B, 2, FALSE), )</f>
        <v/>
      </c>
      <c r="G550" s="3">
        <f>IFERROR(VLOOKUP(A550, Dividends!$A:$B, 2, FALSE),
       IFERROR( (VLOOKUP(A550, Dividends!$A:$C, 3, FALSE) / VLOOKUP(A550, Prices!$A:$B, 2, FALSE)) * 100,
                Inputs!$B$4*100 ))</f>
        <v>65</v>
      </c>
      <c r="H550" s="3">
        <f>IFERROR(SUMIF(Purchases!B:B, A550, Purchases!D:D), 0)</f>
        <v>0</v>
      </c>
      <c r="I550" s="3">
        <f t="shared" si="1"/>
        <v>0</v>
      </c>
      <c r="J550" s="3">
        <f t="shared" si="2"/>
        <v>0</v>
      </c>
      <c r="K550" s="3">
        <f>IF(J550&gt;0,
        J550 * IF(G550&gt;0, G550/100,
            IFERROR( VLOOKUP(A550, Dividends!$A:$C, 3, FALSE) / VLOOKUP(A550, Prices!$A:$B, 2, FALSE), Inputs!$B$4)
        ) / 12,
        0)</f>
        <v>0</v>
      </c>
      <c r="L550" s="3">
        <f t="shared" si="3"/>
        <v>0</v>
      </c>
    </row>
    <row r="551" ht="15.75" customHeight="1">
      <c r="F551" s="3" t="str">
        <f>IFERROR(VLOOKUP(A551, Prices!A:B, 2, FALSE), )</f>
        <v/>
      </c>
      <c r="G551" s="3">
        <f>IFERROR(VLOOKUP(A551, Dividends!$A:$B, 2, FALSE),
       IFERROR( (VLOOKUP(A551, Dividends!$A:$C, 3, FALSE) / VLOOKUP(A551, Prices!$A:$B, 2, FALSE)) * 100,
                Inputs!$B$4*100 ))</f>
        <v>65</v>
      </c>
      <c r="H551" s="3">
        <f>IFERROR(SUMIF(Purchases!B:B, A551, Purchases!D:D), 0)</f>
        <v>0</v>
      </c>
      <c r="I551" s="3">
        <f t="shared" si="1"/>
        <v>0</v>
      </c>
      <c r="J551" s="3">
        <f t="shared" si="2"/>
        <v>0</v>
      </c>
      <c r="K551" s="3">
        <f>IF(J551&gt;0,
        J551 * IF(G551&gt;0, G551/100,
            IFERROR( VLOOKUP(A551, Dividends!$A:$C, 3, FALSE) / VLOOKUP(A551, Prices!$A:$B, 2, FALSE), Inputs!$B$4)
        ) / 12,
        0)</f>
        <v>0</v>
      </c>
      <c r="L551" s="3">
        <f t="shared" si="3"/>
        <v>0</v>
      </c>
    </row>
    <row r="552" ht="15.75" customHeight="1">
      <c r="F552" s="3" t="str">
        <f>IFERROR(VLOOKUP(A552, Prices!A:B, 2, FALSE), )</f>
        <v/>
      </c>
      <c r="G552" s="3">
        <f>IFERROR(VLOOKUP(A552, Dividends!$A:$B, 2, FALSE),
       IFERROR( (VLOOKUP(A552, Dividends!$A:$C, 3, FALSE) / VLOOKUP(A552, Prices!$A:$B, 2, FALSE)) * 100,
                Inputs!$B$4*100 ))</f>
        <v>65</v>
      </c>
      <c r="H552" s="3">
        <f>IFERROR(SUMIF(Purchases!B:B, A552, Purchases!D:D), 0)</f>
        <v>0</v>
      </c>
      <c r="I552" s="3">
        <f t="shared" si="1"/>
        <v>0</v>
      </c>
      <c r="J552" s="3">
        <f t="shared" si="2"/>
        <v>0</v>
      </c>
      <c r="K552" s="3">
        <f>IF(J552&gt;0,
        J552 * IF(G552&gt;0, G552/100,
            IFERROR( VLOOKUP(A552, Dividends!$A:$C, 3, FALSE) / VLOOKUP(A552, Prices!$A:$B, 2, FALSE), Inputs!$B$4)
        ) / 12,
        0)</f>
        <v>0</v>
      </c>
      <c r="L552" s="3">
        <f t="shared" si="3"/>
        <v>0</v>
      </c>
    </row>
    <row r="553" ht="15.75" customHeight="1">
      <c r="F553" s="3" t="str">
        <f>IFERROR(VLOOKUP(A553, Prices!A:B, 2, FALSE), )</f>
        <v/>
      </c>
      <c r="G553" s="3">
        <f>IFERROR(VLOOKUP(A553, Dividends!$A:$B, 2, FALSE),
       IFERROR( (VLOOKUP(A553, Dividends!$A:$C, 3, FALSE) / VLOOKUP(A553, Prices!$A:$B, 2, FALSE)) * 100,
                Inputs!$B$4*100 ))</f>
        <v>65</v>
      </c>
      <c r="H553" s="3">
        <f>IFERROR(SUMIF(Purchases!B:B, A553, Purchases!D:D), 0)</f>
        <v>0</v>
      </c>
      <c r="I553" s="3">
        <f t="shared" si="1"/>
        <v>0</v>
      </c>
      <c r="J553" s="3">
        <f t="shared" si="2"/>
        <v>0</v>
      </c>
      <c r="K553" s="3">
        <f>IF(J553&gt;0,
        J553 * IF(G553&gt;0, G553/100,
            IFERROR( VLOOKUP(A553, Dividends!$A:$C, 3, FALSE) / VLOOKUP(A553, Prices!$A:$B, 2, FALSE), Inputs!$B$4)
        ) / 12,
        0)</f>
        <v>0</v>
      </c>
      <c r="L553" s="3">
        <f t="shared" si="3"/>
        <v>0</v>
      </c>
    </row>
    <row r="554" ht="15.75" customHeight="1">
      <c r="F554" s="3" t="str">
        <f>IFERROR(VLOOKUP(A554, Prices!A:B, 2, FALSE), )</f>
        <v/>
      </c>
      <c r="G554" s="3">
        <f>IFERROR(VLOOKUP(A554, Dividends!$A:$B, 2, FALSE),
       IFERROR( (VLOOKUP(A554, Dividends!$A:$C, 3, FALSE) / VLOOKUP(A554, Prices!$A:$B, 2, FALSE)) * 100,
                Inputs!$B$4*100 ))</f>
        <v>65</v>
      </c>
      <c r="H554" s="3">
        <f>IFERROR(SUMIF(Purchases!B:B, A554, Purchases!D:D), 0)</f>
        <v>0</v>
      </c>
      <c r="I554" s="3">
        <f t="shared" si="1"/>
        <v>0</v>
      </c>
      <c r="J554" s="3">
        <f t="shared" si="2"/>
        <v>0</v>
      </c>
      <c r="K554" s="3">
        <f>IF(J554&gt;0,
        J554 * IF(G554&gt;0, G554/100,
            IFERROR( VLOOKUP(A554, Dividends!$A:$C, 3, FALSE) / VLOOKUP(A554, Prices!$A:$B, 2, FALSE), Inputs!$B$4)
        ) / 12,
        0)</f>
        <v>0</v>
      </c>
      <c r="L554" s="3">
        <f t="shared" si="3"/>
        <v>0</v>
      </c>
    </row>
    <row r="555" ht="15.75" customHeight="1">
      <c r="F555" s="3" t="str">
        <f>IFERROR(VLOOKUP(A555, Prices!A:B, 2, FALSE), )</f>
        <v/>
      </c>
      <c r="G555" s="3">
        <f>IFERROR(VLOOKUP(A555, Dividends!$A:$B, 2, FALSE),
       IFERROR( (VLOOKUP(A555, Dividends!$A:$C, 3, FALSE) / VLOOKUP(A555, Prices!$A:$B, 2, FALSE)) * 100,
                Inputs!$B$4*100 ))</f>
        <v>65</v>
      </c>
      <c r="H555" s="3">
        <f>IFERROR(SUMIF(Purchases!B:B, A555, Purchases!D:D), 0)</f>
        <v>0</v>
      </c>
      <c r="I555" s="3">
        <f t="shared" si="1"/>
        <v>0</v>
      </c>
      <c r="J555" s="3">
        <f t="shared" si="2"/>
        <v>0</v>
      </c>
      <c r="K555" s="3">
        <f>IF(J555&gt;0,
        J555 * IF(G555&gt;0, G555/100,
            IFERROR( VLOOKUP(A555, Dividends!$A:$C, 3, FALSE) / VLOOKUP(A555, Prices!$A:$B, 2, FALSE), Inputs!$B$4)
        ) / 12,
        0)</f>
        <v>0</v>
      </c>
      <c r="L555" s="3">
        <f t="shared" si="3"/>
        <v>0</v>
      </c>
    </row>
    <row r="556" ht="15.75" customHeight="1">
      <c r="F556" s="3" t="str">
        <f>IFERROR(VLOOKUP(A556, Prices!A:B, 2, FALSE), )</f>
        <v/>
      </c>
      <c r="G556" s="3">
        <f>IFERROR(VLOOKUP(A556, Dividends!$A:$B, 2, FALSE),
       IFERROR( (VLOOKUP(A556, Dividends!$A:$C, 3, FALSE) / VLOOKUP(A556, Prices!$A:$B, 2, FALSE)) * 100,
                Inputs!$B$4*100 ))</f>
        <v>65</v>
      </c>
      <c r="H556" s="3">
        <f>IFERROR(SUMIF(Purchases!B:B, A556, Purchases!D:D), 0)</f>
        <v>0</v>
      </c>
      <c r="I556" s="3">
        <f t="shared" si="1"/>
        <v>0</v>
      </c>
      <c r="J556" s="3">
        <f t="shared" si="2"/>
        <v>0</v>
      </c>
      <c r="K556" s="3">
        <f>IF(J556&gt;0,
        J556 * IF(G556&gt;0, G556/100,
            IFERROR( VLOOKUP(A556, Dividends!$A:$C, 3, FALSE) / VLOOKUP(A556, Prices!$A:$B, 2, FALSE), Inputs!$B$4)
        ) / 12,
        0)</f>
        <v>0</v>
      </c>
      <c r="L556" s="3">
        <f t="shared" si="3"/>
        <v>0</v>
      </c>
    </row>
    <row r="557" ht="15.75" customHeight="1">
      <c r="F557" s="3" t="str">
        <f>IFERROR(VLOOKUP(A557, Prices!A:B, 2, FALSE), )</f>
        <v/>
      </c>
      <c r="G557" s="3">
        <f>IFERROR(VLOOKUP(A557, Dividends!$A:$B, 2, FALSE),
       IFERROR( (VLOOKUP(A557, Dividends!$A:$C, 3, FALSE) / VLOOKUP(A557, Prices!$A:$B, 2, FALSE)) * 100,
                Inputs!$B$4*100 ))</f>
        <v>65</v>
      </c>
      <c r="H557" s="3">
        <f>IFERROR(SUMIF(Purchases!B:B, A557, Purchases!D:D), 0)</f>
        <v>0</v>
      </c>
      <c r="I557" s="3">
        <f t="shared" si="1"/>
        <v>0</v>
      </c>
      <c r="J557" s="3">
        <f t="shared" si="2"/>
        <v>0</v>
      </c>
      <c r="K557" s="3">
        <f>IF(J557&gt;0,
        J557 * IF(G557&gt;0, G557/100,
            IFERROR( VLOOKUP(A557, Dividends!$A:$C, 3, FALSE) / VLOOKUP(A557, Prices!$A:$B, 2, FALSE), Inputs!$B$4)
        ) / 12,
        0)</f>
        <v>0</v>
      </c>
      <c r="L557" s="3">
        <f t="shared" si="3"/>
        <v>0</v>
      </c>
    </row>
    <row r="558" ht="15.75" customHeight="1">
      <c r="F558" s="3" t="str">
        <f>IFERROR(VLOOKUP(A558, Prices!A:B, 2, FALSE), )</f>
        <v/>
      </c>
      <c r="G558" s="3">
        <f>IFERROR(VLOOKUP(A558, Dividends!$A:$B, 2, FALSE),
       IFERROR( (VLOOKUP(A558, Dividends!$A:$C, 3, FALSE) / VLOOKUP(A558, Prices!$A:$B, 2, FALSE)) * 100,
                Inputs!$B$4*100 ))</f>
        <v>65</v>
      </c>
      <c r="H558" s="3">
        <f>IFERROR(SUMIF(Purchases!B:B, A558, Purchases!D:D), 0)</f>
        <v>0</v>
      </c>
      <c r="I558" s="3">
        <f t="shared" si="1"/>
        <v>0</v>
      </c>
      <c r="J558" s="3">
        <f t="shared" si="2"/>
        <v>0</v>
      </c>
      <c r="K558" s="3">
        <f>IF(J558&gt;0,
        J558 * IF(G558&gt;0, G558/100,
            IFERROR( VLOOKUP(A558, Dividends!$A:$C, 3, FALSE) / VLOOKUP(A558, Prices!$A:$B, 2, FALSE), Inputs!$B$4)
        ) / 12,
        0)</f>
        <v>0</v>
      </c>
      <c r="L558" s="3">
        <f t="shared" si="3"/>
        <v>0</v>
      </c>
    </row>
    <row r="559" ht="15.75" customHeight="1">
      <c r="F559" s="3" t="str">
        <f>IFERROR(VLOOKUP(A559, Prices!A:B, 2, FALSE), )</f>
        <v/>
      </c>
      <c r="G559" s="3">
        <f>IFERROR(VLOOKUP(A559, Dividends!$A:$B, 2, FALSE),
       IFERROR( (VLOOKUP(A559, Dividends!$A:$C, 3, FALSE) / VLOOKUP(A559, Prices!$A:$B, 2, FALSE)) * 100,
                Inputs!$B$4*100 ))</f>
        <v>65</v>
      </c>
      <c r="H559" s="3">
        <f>IFERROR(SUMIF(Purchases!B:B, A559, Purchases!D:D), 0)</f>
        <v>0</v>
      </c>
      <c r="I559" s="3">
        <f t="shared" si="1"/>
        <v>0</v>
      </c>
      <c r="J559" s="3">
        <f t="shared" si="2"/>
        <v>0</v>
      </c>
      <c r="K559" s="3">
        <f>IF(J559&gt;0,
        J559 * IF(G559&gt;0, G559/100,
            IFERROR( VLOOKUP(A559, Dividends!$A:$C, 3, FALSE) / VLOOKUP(A559, Prices!$A:$B, 2, FALSE), Inputs!$B$4)
        ) / 12,
        0)</f>
        <v>0</v>
      </c>
      <c r="L559" s="3">
        <f t="shared" si="3"/>
        <v>0</v>
      </c>
    </row>
    <row r="560" ht="15.75" customHeight="1">
      <c r="F560" s="3" t="str">
        <f>IFERROR(VLOOKUP(A560, Prices!A:B, 2, FALSE), )</f>
        <v/>
      </c>
      <c r="G560" s="3">
        <f>IFERROR(VLOOKUP(A560, Dividends!$A:$B, 2, FALSE),
       IFERROR( (VLOOKUP(A560, Dividends!$A:$C, 3, FALSE) / VLOOKUP(A560, Prices!$A:$B, 2, FALSE)) * 100,
                Inputs!$B$4*100 ))</f>
        <v>65</v>
      </c>
      <c r="H560" s="3">
        <f>IFERROR(SUMIF(Purchases!B:B, A560, Purchases!D:D), 0)</f>
        <v>0</v>
      </c>
      <c r="I560" s="3">
        <f t="shared" si="1"/>
        <v>0</v>
      </c>
      <c r="J560" s="3">
        <f t="shared" si="2"/>
        <v>0</v>
      </c>
      <c r="K560" s="3">
        <f>IF(J560&gt;0,
        J560 * IF(G560&gt;0, G560/100,
            IFERROR( VLOOKUP(A560, Dividends!$A:$C, 3, FALSE) / VLOOKUP(A560, Prices!$A:$B, 2, FALSE), Inputs!$B$4)
        ) / 12,
        0)</f>
        <v>0</v>
      </c>
      <c r="L560" s="3">
        <f t="shared" si="3"/>
        <v>0</v>
      </c>
    </row>
    <row r="561" ht="15.75" customHeight="1">
      <c r="F561" s="3" t="str">
        <f>IFERROR(VLOOKUP(A561, Prices!A:B, 2, FALSE), )</f>
        <v/>
      </c>
      <c r="G561" s="3">
        <f>IFERROR(VLOOKUP(A561, Dividends!$A:$B, 2, FALSE),
       IFERROR( (VLOOKUP(A561, Dividends!$A:$C, 3, FALSE) / VLOOKUP(A561, Prices!$A:$B, 2, FALSE)) * 100,
                Inputs!$B$4*100 ))</f>
        <v>65</v>
      </c>
      <c r="H561" s="3">
        <f>IFERROR(SUMIF(Purchases!B:B, A561, Purchases!D:D), 0)</f>
        <v>0</v>
      </c>
      <c r="I561" s="3">
        <f t="shared" si="1"/>
        <v>0</v>
      </c>
      <c r="J561" s="3">
        <f t="shared" si="2"/>
        <v>0</v>
      </c>
      <c r="K561" s="3">
        <f>IF(J561&gt;0,
        J561 * IF(G561&gt;0, G561/100,
            IFERROR( VLOOKUP(A561, Dividends!$A:$C, 3, FALSE) / VLOOKUP(A561, Prices!$A:$B, 2, FALSE), Inputs!$B$4)
        ) / 12,
        0)</f>
        <v>0</v>
      </c>
      <c r="L561" s="3">
        <f t="shared" si="3"/>
        <v>0</v>
      </c>
    </row>
    <row r="562" ht="15.75" customHeight="1">
      <c r="F562" s="3" t="str">
        <f>IFERROR(VLOOKUP(A562, Prices!A:B, 2, FALSE), )</f>
        <v/>
      </c>
      <c r="G562" s="3">
        <f>IFERROR(VLOOKUP(A562, Dividends!$A:$B, 2, FALSE),
       IFERROR( (VLOOKUP(A562, Dividends!$A:$C, 3, FALSE) / VLOOKUP(A562, Prices!$A:$B, 2, FALSE)) * 100,
                Inputs!$B$4*100 ))</f>
        <v>65</v>
      </c>
      <c r="H562" s="3">
        <f>IFERROR(SUMIF(Purchases!B:B, A562, Purchases!D:D), 0)</f>
        <v>0</v>
      </c>
      <c r="I562" s="3">
        <f t="shared" si="1"/>
        <v>0</v>
      </c>
      <c r="J562" s="3">
        <f t="shared" si="2"/>
        <v>0</v>
      </c>
      <c r="K562" s="3">
        <f>IF(J562&gt;0,
        J562 * IF(G562&gt;0, G562/100,
            IFERROR( VLOOKUP(A562, Dividends!$A:$C, 3, FALSE) / VLOOKUP(A562, Prices!$A:$B, 2, FALSE), Inputs!$B$4)
        ) / 12,
        0)</f>
        <v>0</v>
      </c>
      <c r="L562" s="3">
        <f t="shared" si="3"/>
        <v>0</v>
      </c>
    </row>
    <row r="563" ht="15.75" customHeight="1">
      <c r="F563" s="3" t="str">
        <f>IFERROR(VLOOKUP(A563, Prices!A:B, 2, FALSE), )</f>
        <v/>
      </c>
      <c r="G563" s="3">
        <f>IFERROR(VLOOKUP(A563, Dividends!$A:$B, 2, FALSE),
       IFERROR( (VLOOKUP(A563, Dividends!$A:$C, 3, FALSE) / VLOOKUP(A563, Prices!$A:$B, 2, FALSE)) * 100,
                Inputs!$B$4*100 ))</f>
        <v>65</v>
      </c>
      <c r="H563" s="3">
        <f>IFERROR(SUMIF(Purchases!B:B, A563, Purchases!D:D), 0)</f>
        <v>0</v>
      </c>
      <c r="I563" s="3">
        <f t="shared" si="1"/>
        <v>0</v>
      </c>
      <c r="J563" s="3">
        <f t="shared" si="2"/>
        <v>0</v>
      </c>
      <c r="K563" s="3">
        <f>IF(J563&gt;0,
        J563 * IF(G563&gt;0, G563/100,
            IFERROR( VLOOKUP(A563, Dividends!$A:$C, 3, FALSE) / VLOOKUP(A563, Prices!$A:$B, 2, FALSE), Inputs!$B$4)
        ) / 12,
        0)</f>
        <v>0</v>
      </c>
      <c r="L563" s="3">
        <f t="shared" si="3"/>
        <v>0</v>
      </c>
    </row>
    <row r="564" ht="15.75" customHeight="1">
      <c r="F564" s="3" t="str">
        <f>IFERROR(VLOOKUP(A564, Prices!A:B, 2, FALSE), )</f>
        <v/>
      </c>
      <c r="G564" s="3">
        <f>IFERROR(VLOOKUP(A564, Dividends!$A:$B, 2, FALSE),
       IFERROR( (VLOOKUP(A564, Dividends!$A:$C, 3, FALSE) / VLOOKUP(A564, Prices!$A:$B, 2, FALSE)) * 100,
                Inputs!$B$4*100 ))</f>
        <v>65</v>
      </c>
      <c r="H564" s="3">
        <f>IFERROR(SUMIF(Purchases!B:B, A564, Purchases!D:D), 0)</f>
        <v>0</v>
      </c>
      <c r="I564" s="3">
        <f t="shared" si="1"/>
        <v>0</v>
      </c>
      <c r="J564" s="3">
        <f t="shared" si="2"/>
        <v>0</v>
      </c>
      <c r="K564" s="3">
        <f>IF(J564&gt;0,
        J564 * IF(G564&gt;0, G564/100,
            IFERROR( VLOOKUP(A564, Dividends!$A:$C, 3, FALSE) / VLOOKUP(A564, Prices!$A:$B, 2, FALSE), Inputs!$B$4)
        ) / 12,
        0)</f>
        <v>0</v>
      </c>
      <c r="L564" s="3">
        <f t="shared" si="3"/>
        <v>0</v>
      </c>
    </row>
    <row r="565" ht="15.75" customHeight="1">
      <c r="F565" s="3" t="str">
        <f>IFERROR(VLOOKUP(A565, Prices!A:B, 2, FALSE), )</f>
        <v/>
      </c>
      <c r="G565" s="3">
        <f>IFERROR(VLOOKUP(A565, Dividends!$A:$B, 2, FALSE),
       IFERROR( (VLOOKUP(A565, Dividends!$A:$C, 3, FALSE) / VLOOKUP(A565, Prices!$A:$B, 2, FALSE)) * 100,
                Inputs!$B$4*100 ))</f>
        <v>65</v>
      </c>
      <c r="H565" s="3">
        <f>IFERROR(SUMIF(Purchases!B:B, A565, Purchases!D:D), 0)</f>
        <v>0</v>
      </c>
      <c r="I565" s="3">
        <f t="shared" si="1"/>
        <v>0</v>
      </c>
      <c r="J565" s="3">
        <f t="shared" si="2"/>
        <v>0</v>
      </c>
      <c r="K565" s="3">
        <f>IF(J565&gt;0,
        J565 * IF(G565&gt;0, G565/100,
            IFERROR( VLOOKUP(A565, Dividends!$A:$C, 3, FALSE) / VLOOKUP(A565, Prices!$A:$B, 2, FALSE), Inputs!$B$4)
        ) / 12,
        0)</f>
        <v>0</v>
      </c>
      <c r="L565" s="3">
        <f t="shared" si="3"/>
        <v>0</v>
      </c>
    </row>
    <row r="566" ht="15.75" customHeight="1">
      <c r="F566" s="3" t="str">
        <f>IFERROR(VLOOKUP(A566, Prices!A:B, 2, FALSE), )</f>
        <v/>
      </c>
      <c r="G566" s="3">
        <f>IFERROR(VLOOKUP(A566, Dividends!$A:$B, 2, FALSE),
       IFERROR( (VLOOKUP(A566, Dividends!$A:$C, 3, FALSE) / VLOOKUP(A566, Prices!$A:$B, 2, FALSE)) * 100,
                Inputs!$B$4*100 ))</f>
        <v>65</v>
      </c>
      <c r="H566" s="3">
        <f>IFERROR(SUMIF(Purchases!B:B, A566, Purchases!D:D), 0)</f>
        <v>0</v>
      </c>
      <c r="I566" s="3">
        <f t="shared" si="1"/>
        <v>0</v>
      </c>
      <c r="J566" s="3">
        <f t="shared" si="2"/>
        <v>0</v>
      </c>
      <c r="K566" s="3">
        <f>IF(J566&gt;0,
        J566 * IF(G566&gt;0, G566/100,
            IFERROR( VLOOKUP(A566, Dividends!$A:$C, 3, FALSE) / VLOOKUP(A566, Prices!$A:$B, 2, FALSE), Inputs!$B$4)
        ) / 12,
        0)</f>
        <v>0</v>
      </c>
      <c r="L566" s="3">
        <f t="shared" si="3"/>
        <v>0</v>
      </c>
    </row>
    <row r="567" ht="15.75" customHeight="1">
      <c r="F567" s="3" t="str">
        <f>IFERROR(VLOOKUP(A567, Prices!A:B, 2, FALSE), )</f>
        <v/>
      </c>
      <c r="G567" s="3">
        <f>IFERROR(VLOOKUP(A567, Dividends!$A:$B, 2, FALSE),
       IFERROR( (VLOOKUP(A567, Dividends!$A:$C, 3, FALSE) / VLOOKUP(A567, Prices!$A:$B, 2, FALSE)) * 100,
                Inputs!$B$4*100 ))</f>
        <v>65</v>
      </c>
      <c r="H567" s="3">
        <f>IFERROR(SUMIF(Purchases!B:B, A567, Purchases!D:D), 0)</f>
        <v>0</v>
      </c>
      <c r="I567" s="3">
        <f t="shared" si="1"/>
        <v>0</v>
      </c>
      <c r="J567" s="3">
        <f t="shared" si="2"/>
        <v>0</v>
      </c>
      <c r="K567" s="3">
        <f>IF(J567&gt;0,
        J567 * IF(G567&gt;0, G567/100,
            IFERROR( VLOOKUP(A567, Dividends!$A:$C, 3, FALSE) / VLOOKUP(A567, Prices!$A:$B, 2, FALSE), Inputs!$B$4)
        ) / 12,
        0)</f>
        <v>0</v>
      </c>
      <c r="L567" s="3">
        <f t="shared" si="3"/>
        <v>0</v>
      </c>
    </row>
    <row r="568" ht="15.75" customHeight="1">
      <c r="F568" s="3" t="str">
        <f>IFERROR(VLOOKUP(A568, Prices!A:B, 2, FALSE), )</f>
        <v/>
      </c>
      <c r="G568" s="3">
        <f>IFERROR(VLOOKUP(A568, Dividends!$A:$B, 2, FALSE),
       IFERROR( (VLOOKUP(A568, Dividends!$A:$C, 3, FALSE) / VLOOKUP(A568, Prices!$A:$B, 2, FALSE)) * 100,
                Inputs!$B$4*100 ))</f>
        <v>65</v>
      </c>
      <c r="H568" s="3">
        <f>IFERROR(SUMIF(Purchases!B:B, A568, Purchases!D:D), 0)</f>
        <v>0</v>
      </c>
      <c r="I568" s="3">
        <f t="shared" si="1"/>
        <v>0</v>
      </c>
      <c r="J568" s="3">
        <f t="shared" si="2"/>
        <v>0</v>
      </c>
      <c r="K568" s="3">
        <f>IF(J568&gt;0,
        J568 * IF(G568&gt;0, G568/100,
            IFERROR( VLOOKUP(A568, Dividends!$A:$C, 3, FALSE) / VLOOKUP(A568, Prices!$A:$B, 2, FALSE), Inputs!$B$4)
        ) / 12,
        0)</f>
        <v>0</v>
      </c>
      <c r="L568" s="3">
        <f t="shared" si="3"/>
        <v>0</v>
      </c>
    </row>
    <row r="569" ht="15.75" customHeight="1">
      <c r="F569" s="3" t="str">
        <f>IFERROR(VLOOKUP(A569, Prices!A:B, 2, FALSE), )</f>
        <v/>
      </c>
      <c r="G569" s="3">
        <f>IFERROR(VLOOKUP(A569, Dividends!$A:$B, 2, FALSE),
       IFERROR( (VLOOKUP(A569, Dividends!$A:$C, 3, FALSE) / VLOOKUP(A569, Prices!$A:$B, 2, FALSE)) * 100,
                Inputs!$B$4*100 ))</f>
        <v>65</v>
      </c>
      <c r="H569" s="3">
        <f>IFERROR(SUMIF(Purchases!B:B, A569, Purchases!D:D), 0)</f>
        <v>0</v>
      </c>
      <c r="I569" s="3">
        <f t="shared" si="1"/>
        <v>0</v>
      </c>
      <c r="J569" s="3">
        <f t="shared" si="2"/>
        <v>0</v>
      </c>
      <c r="K569" s="3">
        <f>IF(J569&gt;0,
        J569 * IF(G569&gt;0, G569/100,
            IFERROR( VLOOKUP(A569, Dividends!$A:$C, 3, FALSE) / VLOOKUP(A569, Prices!$A:$B, 2, FALSE), Inputs!$B$4)
        ) / 12,
        0)</f>
        <v>0</v>
      </c>
      <c r="L569" s="3">
        <f t="shared" si="3"/>
        <v>0</v>
      </c>
    </row>
    <row r="570" ht="15.75" customHeight="1">
      <c r="F570" s="3" t="str">
        <f>IFERROR(VLOOKUP(A570, Prices!A:B, 2, FALSE), )</f>
        <v/>
      </c>
      <c r="G570" s="3">
        <f>IFERROR(VLOOKUP(A570, Dividends!$A:$B, 2, FALSE),
       IFERROR( (VLOOKUP(A570, Dividends!$A:$C, 3, FALSE) / VLOOKUP(A570, Prices!$A:$B, 2, FALSE)) * 100,
                Inputs!$B$4*100 ))</f>
        <v>65</v>
      </c>
      <c r="H570" s="3">
        <f>IFERROR(SUMIF(Purchases!B:B, A570, Purchases!D:D), 0)</f>
        <v>0</v>
      </c>
      <c r="I570" s="3">
        <f t="shared" si="1"/>
        <v>0</v>
      </c>
      <c r="J570" s="3">
        <f t="shared" si="2"/>
        <v>0</v>
      </c>
      <c r="K570" s="3">
        <f>IF(J570&gt;0,
        J570 * IF(G570&gt;0, G570/100,
            IFERROR( VLOOKUP(A570, Dividends!$A:$C, 3, FALSE) / VLOOKUP(A570, Prices!$A:$B, 2, FALSE), Inputs!$B$4)
        ) / 12,
        0)</f>
        <v>0</v>
      </c>
      <c r="L570" s="3">
        <f t="shared" si="3"/>
        <v>0</v>
      </c>
    </row>
    <row r="571" ht="15.75" customHeight="1">
      <c r="F571" s="3" t="str">
        <f>IFERROR(VLOOKUP(A571, Prices!A:B, 2, FALSE), )</f>
        <v/>
      </c>
      <c r="G571" s="3">
        <f>IFERROR(VLOOKUP(A571, Dividends!$A:$B, 2, FALSE),
       IFERROR( (VLOOKUP(A571, Dividends!$A:$C, 3, FALSE) / VLOOKUP(A571, Prices!$A:$B, 2, FALSE)) * 100,
                Inputs!$B$4*100 ))</f>
        <v>65</v>
      </c>
      <c r="H571" s="3">
        <f>IFERROR(SUMIF(Purchases!B:B, A571, Purchases!D:D), 0)</f>
        <v>0</v>
      </c>
      <c r="I571" s="3">
        <f t="shared" si="1"/>
        <v>0</v>
      </c>
      <c r="J571" s="3">
        <f t="shared" si="2"/>
        <v>0</v>
      </c>
      <c r="K571" s="3">
        <f>IF(J571&gt;0,
        J571 * IF(G571&gt;0, G571/100,
            IFERROR( VLOOKUP(A571, Dividends!$A:$C, 3, FALSE) / VLOOKUP(A571, Prices!$A:$B, 2, FALSE), Inputs!$B$4)
        ) / 12,
        0)</f>
        <v>0</v>
      </c>
      <c r="L571" s="3">
        <f t="shared" si="3"/>
        <v>0</v>
      </c>
    </row>
    <row r="572" ht="15.75" customHeight="1">
      <c r="F572" s="3" t="str">
        <f>IFERROR(VLOOKUP(A572, Prices!A:B, 2, FALSE), )</f>
        <v/>
      </c>
      <c r="G572" s="3">
        <f>IFERROR(VLOOKUP(A572, Dividends!$A:$B, 2, FALSE),
       IFERROR( (VLOOKUP(A572, Dividends!$A:$C, 3, FALSE) / VLOOKUP(A572, Prices!$A:$B, 2, FALSE)) * 100,
                Inputs!$B$4*100 ))</f>
        <v>65</v>
      </c>
      <c r="H572" s="3">
        <f>IFERROR(SUMIF(Purchases!B:B, A572, Purchases!D:D), 0)</f>
        <v>0</v>
      </c>
      <c r="I572" s="3">
        <f t="shared" si="1"/>
        <v>0</v>
      </c>
      <c r="J572" s="3">
        <f t="shared" si="2"/>
        <v>0</v>
      </c>
      <c r="K572" s="3">
        <f>IF(J572&gt;0,
        J572 * IF(G572&gt;0, G572/100,
            IFERROR( VLOOKUP(A572, Dividends!$A:$C, 3, FALSE) / VLOOKUP(A572, Prices!$A:$B, 2, FALSE), Inputs!$B$4)
        ) / 12,
        0)</f>
        <v>0</v>
      </c>
      <c r="L572" s="3">
        <f t="shared" si="3"/>
        <v>0</v>
      </c>
    </row>
    <row r="573" ht="15.75" customHeight="1">
      <c r="F573" s="3" t="str">
        <f>IFERROR(VLOOKUP(A573, Prices!A:B, 2, FALSE), )</f>
        <v/>
      </c>
      <c r="G573" s="3">
        <f>IFERROR(VLOOKUP(A573, Dividends!$A:$B, 2, FALSE),
       IFERROR( (VLOOKUP(A573, Dividends!$A:$C, 3, FALSE) / VLOOKUP(A573, Prices!$A:$B, 2, FALSE)) * 100,
                Inputs!$B$4*100 ))</f>
        <v>65</v>
      </c>
      <c r="H573" s="3">
        <f>IFERROR(SUMIF(Purchases!B:B, A573, Purchases!D:D), 0)</f>
        <v>0</v>
      </c>
      <c r="I573" s="3">
        <f t="shared" si="1"/>
        <v>0</v>
      </c>
      <c r="J573" s="3">
        <f t="shared" si="2"/>
        <v>0</v>
      </c>
      <c r="K573" s="3">
        <f>IF(J573&gt;0,
        J573 * IF(G573&gt;0, G573/100,
            IFERROR( VLOOKUP(A573, Dividends!$A:$C, 3, FALSE) / VLOOKUP(A573, Prices!$A:$B, 2, FALSE), Inputs!$B$4)
        ) / 12,
        0)</f>
        <v>0</v>
      </c>
      <c r="L573" s="3">
        <f t="shared" si="3"/>
        <v>0</v>
      </c>
    </row>
    <row r="574" ht="15.75" customHeight="1">
      <c r="F574" s="3" t="str">
        <f>IFERROR(VLOOKUP(A574, Prices!A:B, 2, FALSE), )</f>
        <v/>
      </c>
      <c r="G574" s="3">
        <f>IFERROR(VLOOKUP(A574, Dividends!$A:$B, 2, FALSE),
       IFERROR( (VLOOKUP(A574, Dividends!$A:$C, 3, FALSE) / VLOOKUP(A574, Prices!$A:$B, 2, FALSE)) * 100,
                Inputs!$B$4*100 ))</f>
        <v>65</v>
      </c>
      <c r="H574" s="3">
        <f>IFERROR(SUMIF(Purchases!B:B, A574, Purchases!D:D), 0)</f>
        <v>0</v>
      </c>
      <c r="I574" s="3">
        <f t="shared" si="1"/>
        <v>0</v>
      </c>
      <c r="J574" s="3">
        <f t="shared" si="2"/>
        <v>0</v>
      </c>
      <c r="K574" s="3">
        <f>IF(J574&gt;0,
        J574 * IF(G574&gt;0, G574/100,
            IFERROR( VLOOKUP(A574, Dividends!$A:$C, 3, FALSE) / VLOOKUP(A574, Prices!$A:$B, 2, FALSE), Inputs!$B$4)
        ) / 12,
        0)</f>
        <v>0</v>
      </c>
      <c r="L574" s="3">
        <f t="shared" si="3"/>
        <v>0</v>
      </c>
    </row>
    <row r="575" ht="15.75" customHeight="1">
      <c r="F575" s="3" t="str">
        <f>IFERROR(VLOOKUP(A575, Prices!A:B, 2, FALSE), )</f>
        <v/>
      </c>
      <c r="G575" s="3">
        <f>IFERROR(VLOOKUP(A575, Dividends!$A:$B, 2, FALSE),
       IFERROR( (VLOOKUP(A575, Dividends!$A:$C, 3, FALSE) / VLOOKUP(A575, Prices!$A:$B, 2, FALSE)) * 100,
                Inputs!$B$4*100 ))</f>
        <v>65</v>
      </c>
      <c r="H575" s="3">
        <f>IFERROR(SUMIF(Purchases!B:B, A575, Purchases!D:D), 0)</f>
        <v>0</v>
      </c>
      <c r="I575" s="3">
        <f t="shared" si="1"/>
        <v>0</v>
      </c>
      <c r="J575" s="3">
        <f t="shared" si="2"/>
        <v>0</v>
      </c>
      <c r="K575" s="3">
        <f>IF(J575&gt;0,
        J575 * IF(G575&gt;0, G575/100,
            IFERROR( VLOOKUP(A575, Dividends!$A:$C, 3, FALSE) / VLOOKUP(A575, Prices!$A:$B, 2, FALSE), Inputs!$B$4)
        ) / 12,
        0)</f>
        <v>0</v>
      </c>
      <c r="L575" s="3">
        <f t="shared" si="3"/>
        <v>0</v>
      </c>
    </row>
    <row r="576" ht="15.75" customHeight="1">
      <c r="F576" s="3" t="str">
        <f>IFERROR(VLOOKUP(A576, Prices!A:B, 2, FALSE), )</f>
        <v/>
      </c>
      <c r="G576" s="3">
        <f>IFERROR(VLOOKUP(A576, Dividends!$A:$B, 2, FALSE),
       IFERROR( (VLOOKUP(A576, Dividends!$A:$C, 3, FALSE) / VLOOKUP(A576, Prices!$A:$B, 2, FALSE)) * 100,
                Inputs!$B$4*100 ))</f>
        <v>65</v>
      </c>
      <c r="H576" s="3">
        <f>IFERROR(SUMIF(Purchases!B:B, A576, Purchases!D:D), 0)</f>
        <v>0</v>
      </c>
      <c r="I576" s="3">
        <f t="shared" si="1"/>
        <v>0</v>
      </c>
      <c r="J576" s="3">
        <f t="shared" si="2"/>
        <v>0</v>
      </c>
      <c r="K576" s="3">
        <f>IF(J576&gt;0,
        J576 * IF(G576&gt;0, G576/100,
            IFERROR( VLOOKUP(A576, Dividends!$A:$C, 3, FALSE) / VLOOKUP(A576, Prices!$A:$B, 2, FALSE), Inputs!$B$4)
        ) / 12,
        0)</f>
        <v>0</v>
      </c>
      <c r="L576" s="3">
        <f t="shared" si="3"/>
        <v>0</v>
      </c>
    </row>
    <row r="577" ht="15.75" customHeight="1">
      <c r="F577" s="3" t="str">
        <f>IFERROR(VLOOKUP(A577, Prices!A:B, 2, FALSE), )</f>
        <v/>
      </c>
      <c r="G577" s="3">
        <f>IFERROR(VLOOKUP(A577, Dividends!$A:$B, 2, FALSE),
       IFERROR( (VLOOKUP(A577, Dividends!$A:$C, 3, FALSE) / VLOOKUP(A577, Prices!$A:$B, 2, FALSE)) * 100,
                Inputs!$B$4*100 ))</f>
        <v>65</v>
      </c>
      <c r="H577" s="3">
        <f>IFERROR(SUMIF(Purchases!B:B, A577, Purchases!D:D), 0)</f>
        <v>0</v>
      </c>
      <c r="I577" s="3">
        <f t="shared" si="1"/>
        <v>0</v>
      </c>
      <c r="J577" s="3">
        <f t="shared" si="2"/>
        <v>0</v>
      </c>
      <c r="K577" s="3">
        <f>IF(J577&gt;0,
        J577 * IF(G577&gt;0, G577/100,
            IFERROR( VLOOKUP(A577, Dividends!$A:$C, 3, FALSE) / VLOOKUP(A577, Prices!$A:$B, 2, FALSE), Inputs!$B$4)
        ) / 12,
        0)</f>
        <v>0</v>
      </c>
      <c r="L577" s="3">
        <f t="shared" si="3"/>
        <v>0</v>
      </c>
    </row>
    <row r="578" ht="15.75" customHeight="1">
      <c r="F578" s="3" t="str">
        <f>IFERROR(VLOOKUP(A578, Prices!A:B, 2, FALSE), )</f>
        <v/>
      </c>
      <c r="G578" s="3">
        <f>IFERROR(VLOOKUP(A578, Dividends!$A:$B, 2, FALSE),
       IFERROR( (VLOOKUP(A578, Dividends!$A:$C, 3, FALSE) / VLOOKUP(A578, Prices!$A:$B, 2, FALSE)) * 100,
                Inputs!$B$4*100 ))</f>
        <v>65</v>
      </c>
      <c r="H578" s="3">
        <f>IFERROR(SUMIF(Purchases!B:B, A578, Purchases!D:D), 0)</f>
        <v>0</v>
      </c>
      <c r="I578" s="3">
        <f t="shared" si="1"/>
        <v>0</v>
      </c>
      <c r="J578" s="3">
        <f t="shared" si="2"/>
        <v>0</v>
      </c>
      <c r="K578" s="3">
        <f>IF(J578&gt;0,
        J578 * IF(G578&gt;0, G578/100,
            IFERROR( VLOOKUP(A578, Dividends!$A:$C, 3, FALSE) / VLOOKUP(A578, Prices!$A:$B, 2, FALSE), Inputs!$B$4)
        ) / 12,
        0)</f>
        <v>0</v>
      </c>
      <c r="L578" s="3">
        <f t="shared" si="3"/>
        <v>0</v>
      </c>
    </row>
    <row r="579" ht="15.75" customHeight="1">
      <c r="F579" s="3" t="str">
        <f>IFERROR(VLOOKUP(A579, Prices!A:B, 2, FALSE), )</f>
        <v/>
      </c>
      <c r="G579" s="3">
        <f>IFERROR(VLOOKUP(A579, Dividends!$A:$B, 2, FALSE),
       IFERROR( (VLOOKUP(A579, Dividends!$A:$C, 3, FALSE) / VLOOKUP(A579, Prices!$A:$B, 2, FALSE)) * 100,
                Inputs!$B$4*100 ))</f>
        <v>65</v>
      </c>
      <c r="H579" s="3">
        <f>IFERROR(SUMIF(Purchases!B:B, A579, Purchases!D:D), 0)</f>
        <v>0</v>
      </c>
      <c r="I579" s="3">
        <f t="shared" si="1"/>
        <v>0</v>
      </c>
      <c r="J579" s="3">
        <f t="shared" si="2"/>
        <v>0</v>
      </c>
      <c r="K579" s="3">
        <f>IF(J579&gt;0,
        J579 * IF(G579&gt;0, G579/100,
            IFERROR( VLOOKUP(A579, Dividends!$A:$C, 3, FALSE) / VLOOKUP(A579, Prices!$A:$B, 2, FALSE), Inputs!$B$4)
        ) / 12,
        0)</f>
        <v>0</v>
      </c>
      <c r="L579" s="3">
        <f t="shared" si="3"/>
        <v>0</v>
      </c>
    </row>
    <row r="580" ht="15.75" customHeight="1">
      <c r="F580" s="3" t="str">
        <f>IFERROR(VLOOKUP(A580, Prices!A:B, 2, FALSE), )</f>
        <v/>
      </c>
      <c r="G580" s="3">
        <f>IFERROR(VLOOKUP(A580, Dividends!$A:$B, 2, FALSE),
       IFERROR( (VLOOKUP(A580, Dividends!$A:$C, 3, FALSE) / VLOOKUP(A580, Prices!$A:$B, 2, FALSE)) * 100,
                Inputs!$B$4*100 ))</f>
        <v>65</v>
      </c>
      <c r="H580" s="3">
        <f>IFERROR(SUMIF(Purchases!B:B, A580, Purchases!D:D), 0)</f>
        <v>0</v>
      </c>
      <c r="I580" s="3">
        <f t="shared" si="1"/>
        <v>0</v>
      </c>
      <c r="J580" s="3">
        <f t="shared" si="2"/>
        <v>0</v>
      </c>
      <c r="K580" s="3">
        <f>IF(J580&gt;0,
        J580 * IF(G580&gt;0, G580/100,
            IFERROR( VLOOKUP(A580, Dividends!$A:$C, 3, FALSE) / VLOOKUP(A580, Prices!$A:$B, 2, FALSE), Inputs!$B$4)
        ) / 12,
        0)</f>
        <v>0</v>
      </c>
      <c r="L580" s="3">
        <f t="shared" si="3"/>
        <v>0</v>
      </c>
    </row>
    <row r="581" ht="15.75" customHeight="1">
      <c r="F581" s="3" t="str">
        <f>IFERROR(VLOOKUP(A581, Prices!A:B, 2, FALSE), )</f>
        <v/>
      </c>
      <c r="G581" s="3">
        <f>IFERROR(VLOOKUP(A581, Dividends!$A:$B, 2, FALSE),
       IFERROR( (VLOOKUP(A581, Dividends!$A:$C, 3, FALSE) / VLOOKUP(A581, Prices!$A:$B, 2, FALSE)) * 100,
                Inputs!$B$4*100 ))</f>
        <v>65</v>
      </c>
      <c r="H581" s="3">
        <f>IFERROR(SUMIF(Purchases!B:B, A581, Purchases!D:D), 0)</f>
        <v>0</v>
      </c>
      <c r="I581" s="3">
        <f t="shared" si="1"/>
        <v>0</v>
      </c>
      <c r="J581" s="3">
        <f t="shared" si="2"/>
        <v>0</v>
      </c>
      <c r="K581" s="3">
        <f>IF(J581&gt;0,
        J581 * IF(G581&gt;0, G581/100,
            IFERROR( VLOOKUP(A581, Dividends!$A:$C, 3, FALSE) / VLOOKUP(A581, Prices!$A:$B, 2, FALSE), Inputs!$B$4)
        ) / 12,
        0)</f>
        <v>0</v>
      </c>
      <c r="L581" s="3">
        <f t="shared" si="3"/>
        <v>0</v>
      </c>
    </row>
    <row r="582" ht="15.75" customHeight="1">
      <c r="F582" s="3" t="str">
        <f>IFERROR(VLOOKUP(A582, Prices!A:B, 2, FALSE), )</f>
        <v/>
      </c>
      <c r="G582" s="3">
        <f>IFERROR(VLOOKUP(A582, Dividends!$A:$B, 2, FALSE),
       IFERROR( (VLOOKUP(A582, Dividends!$A:$C, 3, FALSE) / VLOOKUP(A582, Prices!$A:$B, 2, FALSE)) * 100,
                Inputs!$B$4*100 ))</f>
        <v>65</v>
      </c>
      <c r="H582" s="3">
        <f>IFERROR(SUMIF(Purchases!B:B, A582, Purchases!D:D), 0)</f>
        <v>0</v>
      </c>
      <c r="I582" s="3">
        <f t="shared" si="1"/>
        <v>0</v>
      </c>
      <c r="J582" s="3">
        <f t="shared" si="2"/>
        <v>0</v>
      </c>
      <c r="K582" s="3">
        <f>IF(J582&gt;0,
        J582 * IF(G582&gt;0, G582/100,
            IFERROR( VLOOKUP(A582, Dividends!$A:$C, 3, FALSE) / VLOOKUP(A582, Prices!$A:$B, 2, FALSE), Inputs!$B$4)
        ) / 12,
        0)</f>
        <v>0</v>
      </c>
      <c r="L582" s="3">
        <f t="shared" si="3"/>
        <v>0</v>
      </c>
    </row>
    <row r="583" ht="15.75" customHeight="1">
      <c r="F583" s="3" t="str">
        <f>IFERROR(VLOOKUP(A583, Prices!A:B, 2, FALSE), )</f>
        <v/>
      </c>
      <c r="G583" s="3">
        <f>IFERROR(VLOOKUP(A583, Dividends!$A:$B, 2, FALSE),
       IFERROR( (VLOOKUP(A583, Dividends!$A:$C, 3, FALSE) / VLOOKUP(A583, Prices!$A:$B, 2, FALSE)) * 100,
                Inputs!$B$4*100 ))</f>
        <v>65</v>
      </c>
      <c r="H583" s="3">
        <f>IFERROR(SUMIF(Purchases!B:B, A583, Purchases!D:D), 0)</f>
        <v>0</v>
      </c>
      <c r="I583" s="3">
        <f t="shared" si="1"/>
        <v>0</v>
      </c>
      <c r="J583" s="3">
        <f t="shared" si="2"/>
        <v>0</v>
      </c>
      <c r="K583" s="3">
        <f>IF(J583&gt;0,
        J583 * IF(G583&gt;0, G583/100,
            IFERROR( VLOOKUP(A583, Dividends!$A:$C, 3, FALSE) / VLOOKUP(A583, Prices!$A:$B, 2, FALSE), Inputs!$B$4)
        ) / 12,
        0)</f>
        <v>0</v>
      </c>
      <c r="L583" s="3">
        <f t="shared" si="3"/>
        <v>0</v>
      </c>
    </row>
    <row r="584" ht="15.75" customHeight="1">
      <c r="F584" s="3" t="str">
        <f>IFERROR(VLOOKUP(A584, Prices!A:B, 2, FALSE), )</f>
        <v/>
      </c>
      <c r="G584" s="3">
        <f>IFERROR(VLOOKUP(A584, Dividends!$A:$B, 2, FALSE),
       IFERROR( (VLOOKUP(A584, Dividends!$A:$C, 3, FALSE) / VLOOKUP(A584, Prices!$A:$B, 2, FALSE)) * 100,
                Inputs!$B$4*100 ))</f>
        <v>65</v>
      </c>
      <c r="H584" s="3">
        <f>IFERROR(SUMIF(Purchases!B:B, A584, Purchases!D:D), 0)</f>
        <v>0</v>
      </c>
      <c r="I584" s="3">
        <f t="shared" si="1"/>
        <v>0</v>
      </c>
      <c r="J584" s="3">
        <f t="shared" si="2"/>
        <v>0</v>
      </c>
      <c r="K584" s="3">
        <f>IF(J584&gt;0,
        J584 * IF(G584&gt;0, G584/100,
            IFERROR( VLOOKUP(A584, Dividends!$A:$C, 3, FALSE) / VLOOKUP(A584, Prices!$A:$B, 2, FALSE), Inputs!$B$4)
        ) / 12,
        0)</f>
        <v>0</v>
      </c>
      <c r="L584" s="3">
        <f t="shared" si="3"/>
        <v>0</v>
      </c>
    </row>
    <row r="585" ht="15.75" customHeight="1">
      <c r="F585" s="3" t="str">
        <f>IFERROR(VLOOKUP(A585, Prices!A:B, 2, FALSE), )</f>
        <v/>
      </c>
      <c r="G585" s="3">
        <f>IFERROR(VLOOKUP(A585, Dividends!$A:$B, 2, FALSE),
       IFERROR( (VLOOKUP(A585, Dividends!$A:$C, 3, FALSE) / VLOOKUP(A585, Prices!$A:$B, 2, FALSE)) * 100,
                Inputs!$B$4*100 ))</f>
        <v>65</v>
      </c>
      <c r="H585" s="3">
        <f>IFERROR(SUMIF(Purchases!B:B, A585, Purchases!D:D), 0)</f>
        <v>0</v>
      </c>
      <c r="I585" s="3">
        <f t="shared" si="1"/>
        <v>0</v>
      </c>
      <c r="J585" s="3">
        <f t="shared" si="2"/>
        <v>0</v>
      </c>
      <c r="K585" s="3">
        <f>IF(J585&gt;0,
        J585 * IF(G585&gt;0, G585/100,
            IFERROR( VLOOKUP(A585, Dividends!$A:$C, 3, FALSE) / VLOOKUP(A585, Prices!$A:$B, 2, FALSE), Inputs!$B$4)
        ) / 12,
        0)</f>
        <v>0</v>
      </c>
      <c r="L585" s="3">
        <f t="shared" si="3"/>
        <v>0</v>
      </c>
    </row>
    <row r="586" ht="15.75" customHeight="1">
      <c r="F586" s="3" t="str">
        <f>IFERROR(VLOOKUP(A586, Prices!A:B, 2, FALSE), )</f>
        <v/>
      </c>
      <c r="G586" s="3">
        <f>IFERROR(VLOOKUP(A586, Dividends!$A:$B, 2, FALSE),
       IFERROR( (VLOOKUP(A586, Dividends!$A:$C, 3, FALSE) / VLOOKUP(A586, Prices!$A:$B, 2, FALSE)) * 100,
                Inputs!$B$4*100 ))</f>
        <v>65</v>
      </c>
      <c r="H586" s="3">
        <f>IFERROR(SUMIF(Purchases!B:B, A586, Purchases!D:D), 0)</f>
        <v>0</v>
      </c>
      <c r="I586" s="3">
        <f t="shared" si="1"/>
        <v>0</v>
      </c>
      <c r="J586" s="3">
        <f t="shared" si="2"/>
        <v>0</v>
      </c>
      <c r="K586" s="3">
        <f>IF(J586&gt;0,
        J586 * IF(G586&gt;0, G586/100,
            IFERROR( VLOOKUP(A586, Dividends!$A:$C, 3, FALSE) / VLOOKUP(A586, Prices!$A:$B, 2, FALSE), Inputs!$B$4)
        ) / 12,
        0)</f>
        <v>0</v>
      </c>
      <c r="L586" s="3">
        <f t="shared" si="3"/>
        <v>0</v>
      </c>
    </row>
    <row r="587" ht="15.75" customHeight="1">
      <c r="F587" s="3" t="str">
        <f>IFERROR(VLOOKUP(A587, Prices!A:B, 2, FALSE), )</f>
        <v/>
      </c>
      <c r="G587" s="3">
        <f>IFERROR(VLOOKUP(A587, Dividends!$A:$B, 2, FALSE),
       IFERROR( (VLOOKUP(A587, Dividends!$A:$C, 3, FALSE) / VLOOKUP(A587, Prices!$A:$B, 2, FALSE)) * 100,
                Inputs!$B$4*100 ))</f>
        <v>65</v>
      </c>
      <c r="H587" s="3">
        <f>IFERROR(SUMIF(Purchases!B:B, A587, Purchases!D:D), 0)</f>
        <v>0</v>
      </c>
      <c r="I587" s="3">
        <f t="shared" si="1"/>
        <v>0</v>
      </c>
      <c r="J587" s="3">
        <f t="shared" si="2"/>
        <v>0</v>
      </c>
      <c r="K587" s="3">
        <f>IF(J587&gt;0,
        J587 * IF(G587&gt;0, G587/100,
            IFERROR( VLOOKUP(A587, Dividends!$A:$C, 3, FALSE) / VLOOKUP(A587, Prices!$A:$B, 2, FALSE), Inputs!$B$4)
        ) / 12,
        0)</f>
        <v>0</v>
      </c>
      <c r="L587" s="3">
        <f t="shared" si="3"/>
        <v>0</v>
      </c>
    </row>
    <row r="588" ht="15.75" customHeight="1">
      <c r="F588" s="3" t="str">
        <f>IFERROR(VLOOKUP(A588, Prices!A:B, 2, FALSE), )</f>
        <v/>
      </c>
      <c r="G588" s="3">
        <f>IFERROR(VLOOKUP(A588, Dividends!$A:$B, 2, FALSE),
       IFERROR( (VLOOKUP(A588, Dividends!$A:$C, 3, FALSE) / VLOOKUP(A588, Prices!$A:$B, 2, FALSE)) * 100,
                Inputs!$B$4*100 ))</f>
        <v>65</v>
      </c>
      <c r="H588" s="3">
        <f>IFERROR(SUMIF(Purchases!B:B, A588, Purchases!D:D), 0)</f>
        <v>0</v>
      </c>
      <c r="I588" s="3">
        <f t="shared" si="1"/>
        <v>0</v>
      </c>
      <c r="J588" s="3">
        <f t="shared" si="2"/>
        <v>0</v>
      </c>
      <c r="K588" s="3">
        <f>IF(J588&gt;0,
        J588 * IF(G588&gt;0, G588/100,
            IFERROR( VLOOKUP(A588, Dividends!$A:$C, 3, FALSE) / VLOOKUP(A588, Prices!$A:$B, 2, FALSE), Inputs!$B$4)
        ) / 12,
        0)</f>
        <v>0</v>
      </c>
      <c r="L588" s="3">
        <f t="shared" si="3"/>
        <v>0</v>
      </c>
    </row>
    <row r="589" ht="15.75" customHeight="1">
      <c r="F589" s="3" t="str">
        <f>IFERROR(VLOOKUP(A589, Prices!A:B, 2, FALSE), )</f>
        <v/>
      </c>
      <c r="G589" s="3">
        <f>IFERROR(VLOOKUP(A589, Dividends!$A:$B, 2, FALSE),
       IFERROR( (VLOOKUP(A589, Dividends!$A:$C, 3, FALSE) / VLOOKUP(A589, Prices!$A:$B, 2, FALSE)) * 100,
                Inputs!$B$4*100 ))</f>
        <v>65</v>
      </c>
      <c r="H589" s="3">
        <f>IFERROR(SUMIF(Purchases!B:B, A589, Purchases!D:D), 0)</f>
        <v>0</v>
      </c>
      <c r="I589" s="3">
        <f t="shared" si="1"/>
        <v>0</v>
      </c>
      <c r="J589" s="3">
        <f t="shared" si="2"/>
        <v>0</v>
      </c>
      <c r="K589" s="3">
        <f>IF(J589&gt;0,
        J589 * IF(G589&gt;0, G589/100,
            IFERROR( VLOOKUP(A589, Dividends!$A:$C, 3, FALSE) / VLOOKUP(A589, Prices!$A:$B, 2, FALSE), Inputs!$B$4)
        ) / 12,
        0)</f>
        <v>0</v>
      </c>
      <c r="L589" s="3">
        <f t="shared" si="3"/>
        <v>0</v>
      </c>
    </row>
    <row r="590" ht="15.75" customHeight="1">
      <c r="F590" s="3" t="str">
        <f>IFERROR(VLOOKUP(A590, Prices!A:B, 2, FALSE), )</f>
        <v/>
      </c>
      <c r="G590" s="3">
        <f>IFERROR(VLOOKUP(A590, Dividends!$A:$B, 2, FALSE),
       IFERROR( (VLOOKUP(A590, Dividends!$A:$C, 3, FALSE) / VLOOKUP(A590, Prices!$A:$B, 2, FALSE)) * 100,
                Inputs!$B$4*100 ))</f>
        <v>65</v>
      </c>
      <c r="H590" s="3">
        <f>IFERROR(SUMIF(Purchases!B:B, A590, Purchases!D:D), 0)</f>
        <v>0</v>
      </c>
      <c r="I590" s="3">
        <f t="shared" si="1"/>
        <v>0</v>
      </c>
      <c r="J590" s="3">
        <f t="shared" si="2"/>
        <v>0</v>
      </c>
      <c r="K590" s="3">
        <f>IF(J590&gt;0,
        J590 * IF(G590&gt;0, G590/100,
            IFERROR( VLOOKUP(A590, Dividends!$A:$C, 3, FALSE) / VLOOKUP(A590, Prices!$A:$B, 2, FALSE), Inputs!$B$4)
        ) / 12,
        0)</f>
        <v>0</v>
      </c>
      <c r="L590" s="3">
        <f t="shared" si="3"/>
        <v>0</v>
      </c>
    </row>
    <row r="591" ht="15.75" customHeight="1">
      <c r="F591" s="3" t="str">
        <f>IFERROR(VLOOKUP(A591, Prices!A:B, 2, FALSE), )</f>
        <v/>
      </c>
      <c r="G591" s="3">
        <f>IFERROR(VLOOKUP(A591, Dividends!$A:$B, 2, FALSE),
       IFERROR( (VLOOKUP(A591, Dividends!$A:$C, 3, FALSE) / VLOOKUP(A591, Prices!$A:$B, 2, FALSE)) * 100,
                Inputs!$B$4*100 ))</f>
        <v>65</v>
      </c>
      <c r="H591" s="3">
        <f>IFERROR(SUMIF(Purchases!B:B, A591, Purchases!D:D), 0)</f>
        <v>0</v>
      </c>
      <c r="I591" s="3">
        <f t="shared" si="1"/>
        <v>0</v>
      </c>
      <c r="J591" s="3">
        <f t="shared" si="2"/>
        <v>0</v>
      </c>
      <c r="K591" s="3">
        <f>IF(J591&gt;0,
        J591 * IF(G591&gt;0, G591/100,
            IFERROR( VLOOKUP(A591, Dividends!$A:$C, 3, FALSE) / VLOOKUP(A591, Prices!$A:$B, 2, FALSE), Inputs!$B$4)
        ) / 12,
        0)</f>
        <v>0</v>
      </c>
      <c r="L591" s="3">
        <f t="shared" si="3"/>
        <v>0</v>
      </c>
    </row>
    <row r="592" ht="15.75" customHeight="1">
      <c r="F592" s="3" t="str">
        <f>IFERROR(VLOOKUP(A592, Prices!A:B, 2, FALSE), )</f>
        <v/>
      </c>
      <c r="G592" s="3">
        <f>IFERROR(VLOOKUP(A592, Dividends!$A:$B, 2, FALSE),
       IFERROR( (VLOOKUP(A592, Dividends!$A:$C, 3, FALSE) / VLOOKUP(A592, Prices!$A:$B, 2, FALSE)) * 100,
                Inputs!$B$4*100 ))</f>
        <v>65</v>
      </c>
      <c r="H592" s="3">
        <f>IFERROR(SUMIF(Purchases!B:B, A592, Purchases!D:D), 0)</f>
        <v>0</v>
      </c>
      <c r="I592" s="3">
        <f t="shared" si="1"/>
        <v>0</v>
      </c>
      <c r="J592" s="3">
        <f t="shared" si="2"/>
        <v>0</v>
      </c>
      <c r="K592" s="3">
        <f>IF(J592&gt;0,
        J592 * IF(G592&gt;0, G592/100,
            IFERROR( VLOOKUP(A592, Dividends!$A:$C, 3, FALSE) / VLOOKUP(A592, Prices!$A:$B, 2, FALSE), Inputs!$B$4)
        ) / 12,
        0)</f>
        <v>0</v>
      </c>
      <c r="L592" s="3">
        <f t="shared" si="3"/>
        <v>0</v>
      </c>
    </row>
    <row r="593" ht="15.75" customHeight="1">
      <c r="F593" s="3" t="str">
        <f>IFERROR(VLOOKUP(A593, Prices!A:B, 2, FALSE), )</f>
        <v/>
      </c>
      <c r="G593" s="3">
        <f>IFERROR(VLOOKUP(A593, Dividends!$A:$B, 2, FALSE),
       IFERROR( (VLOOKUP(A593, Dividends!$A:$C, 3, FALSE) / VLOOKUP(A593, Prices!$A:$B, 2, FALSE)) * 100,
                Inputs!$B$4*100 ))</f>
        <v>65</v>
      </c>
      <c r="H593" s="3">
        <f>IFERROR(SUMIF(Purchases!B:B, A593, Purchases!D:D), 0)</f>
        <v>0</v>
      </c>
      <c r="I593" s="3">
        <f t="shared" si="1"/>
        <v>0</v>
      </c>
      <c r="J593" s="3">
        <f t="shared" si="2"/>
        <v>0</v>
      </c>
      <c r="K593" s="3">
        <f>IF(J593&gt;0,
        J593 * IF(G593&gt;0, G593/100,
            IFERROR( VLOOKUP(A593, Dividends!$A:$C, 3, FALSE) / VLOOKUP(A593, Prices!$A:$B, 2, FALSE), Inputs!$B$4)
        ) / 12,
        0)</f>
        <v>0</v>
      </c>
      <c r="L593" s="3">
        <f t="shared" si="3"/>
        <v>0</v>
      </c>
    </row>
    <row r="594" ht="15.75" customHeight="1">
      <c r="F594" s="3" t="str">
        <f>IFERROR(VLOOKUP(A594, Prices!A:B, 2, FALSE), )</f>
        <v/>
      </c>
      <c r="G594" s="3">
        <f>IFERROR(VLOOKUP(A594, Dividends!$A:$B, 2, FALSE),
       IFERROR( (VLOOKUP(A594, Dividends!$A:$C, 3, FALSE) / VLOOKUP(A594, Prices!$A:$B, 2, FALSE)) * 100,
                Inputs!$B$4*100 ))</f>
        <v>65</v>
      </c>
      <c r="H594" s="3">
        <f>IFERROR(SUMIF(Purchases!B:B, A594, Purchases!D:D), 0)</f>
        <v>0</v>
      </c>
      <c r="I594" s="3">
        <f t="shared" si="1"/>
        <v>0</v>
      </c>
      <c r="J594" s="3">
        <f t="shared" si="2"/>
        <v>0</v>
      </c>
      <c r="K594" s="3">
        <f>IF(J594&gt;0,
        J594 * IF(G594&gt;0, G594/100,
            IFERROR( VLOOKUP(A594, Dividends!$A:$C, 3, FALSE) / VLOOKUP(A594, Prices!$A:$B, 2, FALSE), Inputs!$B$4)
        ) / 12,
        0)</f>
        <v>0</v>
      </c>
      <c r="L594" s="3">
        <f t="shared" si="3"/>
        <v>0</v>
      </c>
    </row>
    <row r="595" ht="15.75" customHeight="1">
      <c r="F595" s="3" t="str">
        <f>IFERROR(VLOOKUP(A595, Prices!A:B, 2, FALSE), )</f>
        <v/>
      </c>
      <c r="G595" s="3">
        <f>IFERROR(VLOOKUP(A595, Dividends!$A:$B, 2, FALSE),
       IFERROR( (VLOOKUP(A595, Dividends!$A:$C, 3, FALSE) / VLOOKUP(A595, Prices!$A:$B, 2, FALSE)) * 100,
                Inputs!$B$4*100 ))</f>
        <v>65</v>
      </c>
      <c r="H595" s="3">
        <f>IFERROR(SUMIF(Purchases!B:B, A595, Purchases!D:D), 0)</f>
        <v>0</v>
      </c>
      <c r="I595" s="3">
        <f t="shared" si="1"/>
        <v>0</v>
      </c>
      <c r="J595" s="3">
        <f t="shared" si="2"/>
        <v>0</v>
      </c>
      <c r="K595" s="3">
        <f>IF(J595&gt;0,
        J595 * IF(G595&gt;0, G595/100,
            IFERROR( VLOOKUP(A595, Dividends!$A:$C, 3, FALSE) / VLOOKUP(A595, Prices!$A:$B, 2, FALSE), Inputs!$B$4)
        ) / 12,
        0)</f>
        <v>0</v>
      </c>
      <c r="L595" s="3">
        <f t="shared" si="3"/>
        <v>0</v>
      </c>
    </row>
    <row r="596" ht="15.75" customHeight="1">
      <c r="F596" s="3" t="str">
        <f>IFERROR(VLOOKUP(A596, Prices!A:B, 2, FALSE), )</f>
        <v/>
      </c>
      <c r="G596" s="3">
        <f>IFERROR(VLOOKUP(A596, Dividends!$A:$B, 2, FALSE),
       IFERROR( (VLOOKUP(A596, Dividends!$A:$C, 3, FALSE) / VLOOKUP(A596, Prices!$A:$B, 2, FALSE)) * 100,
                Inputs!$B$4*100 ))</f>
        <v>65</v>
      </c>
      <c r="H596" s="3">
        <f>IFERROR(SUMIF(Purchases!B:B, A596, Purchases!D:D), 0)</f>
        <v>0</v>
      </c>
      <c r="I596" s="3">
        <f t="shared" si="1"/>
        <v>0</v>
      </c>
      <c r="J596" s="3">
        <f t="shared" si="2"/>
        <v>0</v>
      </c>
      <c r="K596" s="3">
        <f>IF(J596&gt;0,
        J596 * IF(G596&gt;0, G596/100,
            IFERROR( VLOOKUP(A596, Dividends!$A:$C, 3, FALSE) / VLOOKUP(A596, Prices!$A:$B, 2, FALSE), Inputs!$B$4)
        ) / 12,
        0)</f>
        <v>0</v>
      </c>
      <c r="L596" s="3">
        <f t="shared" si="3"/>
        <v>0</v>
      </c>
    </row>
    <row r="597" ht="15.75" customHeight="1">
      <c r="F597" s="3" t="str">
        <f>IFERROR(VLOOKUP(A597, Prices!A:B, 2, FALSE), )</f>
        <v/>
      </c>
      <c r="G597" s="3">
        <f>IFERROR(VLOOKUP(A597, Dividends!$A:$B, 2, FALSE),
       IFERROR( (VLOOKUP(A597, Dividends!$A:$C, 3, FALSE) / VLOOKUP(A597, Prices!$A:$B, 2, FALSE)) * 100,
                Inputs!$B$4*100 ))</f>
        <v>65</v>
      </c>
      <c r="H597" s="3">
        <f>IFERROR(SUMIF(Purchases!B:B, A597, Purchases!D:D), 0)</f>
        <v>0</v>
      </c>
      <c r="I597" s="3">
        <f t="shared" si="1"/>
        <v>0</v>
      </c>
      <c r="J597" s="3">
        <f t="shared" si="2"/>
        <v>0</v>
      </c>
      <c r="K597" s="3">
        <f>IF(J597&gt;0,
        J597 * IF(G597&gt;0, G597/100,
            IFERROR( VLOOKUP(A597, Dividends!$A:$C, 3, FALSE) / VLOOKUP(A597, Prices!$A:$B, 2, FALSE), Inputs!$B$4)
        ) / 12,
        0)</f>
        <v>0</v>
      </c>
      <c r="L597" s="3">
        <f t="shared" si="3"/>
        <v>0</v>
      </c>
    </row>
    <row r="598" ht="15.75" customHeight="1">
      <c r="F598" s="3" t="str">
        <f>IFERROR(VLOOKUP(A598, Prices!A:B, 2, FALSE), )</f>
        <v/>
      </c>
      <c r="G598" s="3">
        <f>IFERROR(VLOOKUP(A598, Dividends!$A:$B, 2, FALSE),
       IFERROR( (VLOOKUP(A598, Dividends!$A:$C, 3, FALSE) / VLOOKUP(A598, Prices!$A:$B, 2, FALSE)) * 100,
                Inputs!$B$4*100 ))</f>
        <v>65</v>
      </c>
      <c r="H598" s="3">
        <f>IFERROR(SUMIF(Purchases!B:B, A598, Purchases!D:D), 0)</f>
        <v>0</v>
      </c>
      <c r="I598" s="3">
        <f t="shared" si="1"/>
        <v>0</v>
      </c>
      <c r="J598" s="3">
        <f t="shared" si="2"/>
        <v>0</v>
      </c>
      <c r="K598" s="3">
        <f>IF(J598&gt;0,
        J598 * IF(G598&gt;0, G598/100,
            IFERROR( VLOOKUP(A598, Dividends!$A:$C, 3, FALSE) / VLOOKUP(A598, Prices!$A:$B, 2, FALSE), Inputs!$B$4)
        ) / 12,
        0)</f>
        <v>0</v>
      </c>
      <c r="L598" s="3">
        <f t="shared" si="3"/>
        <v>0</v>
      </c>
    </row>
    <row r="599" ht="15.75" customHeight="1">
      <c r="F599" s="3" t="str">
        <f>IFERROR(VLOOKUP(A599, Prices!A:B, 2, FALSE), )</f>
        <v/>
      </c>
      <c r="G599" s="3">
        <f>IFERROR(VLOOKUP(A599, Dividends!$A:$B, 2, FALSE),
       IFERROR( (VLOOKUP(A599, Dividends!$A:$C, 3, FALSE) / VLOOKUP(A599, Prices!$A:$B, 2, FALSE)) * 100,
                Inputs!$B$4*100 ))</f>
        <v>65</v>
      </c>
      <c r="H599" s="3">
        <f>IFERROR(SUMIF(Purchases!B:B, A599, Purchases!D:D), 0)</f>
        <v>0</v>
      </c>
      <c r="I599" s="3">
        <f t="shared" si="1"/>
        <v>0</v>
      </c>
      <c r="J599" s="3">
        <f t="shared" si="2"/>
        <v>0</v>
      </c>
      <c r="K599" s="3">
        <f>IF(J599&gt;0,
        J599 * IF(G599&gt;0, G599/100,
            IFERROR( VLOOKUP(A599, Dividends!$A:$C, 3, FALSE) / VLOOKUP(A599, Prices!$A:$B, 2, FALSE), Inputs!$B$4)
        ) / 12,
        0)</f>
        <v>0</v>
      </c>
      <c r="L599" s="3">
        <f t="shared" si="3"/>
        <v>0</v>
      </c>
    </row>
    <row r="600" ht="15.75" customHeight="1">
      <c r="F600" s="3" t="str">
        <f>IFERROR(VLOOKUP(A600, Prices!A:B, 2, FALSE), )</f>
        <v/>
      </c>
      <c r="G600" s="3">
        <f>IFERROR(VLOOKUP(A600, Dividends!$A:$B, 2, FALSE),
       IFERROR( (VLOOKUP(A600, Dividends!$A:$C, 3, FALSE) / VLOOKUP(A600, Prices!$A:$B, 2, FALSE)) * 100,
                Inputs!$B$4*100 ))</f>
        <v>65</v>
      </c>
      <c r="H600" s="3">
        <f>IFERROR(SUMIF(Purchases!B:B, A600, Purchases!D:D), 0)</f>
        <v>0</v>
      </c>
      <c r="I600" s="3">
        <f t="shared" si="1"/>
        <v>0</v>
      </c>
      <c r="J600" s="3">
        <f t="shared" si="2"/>
        <v>0</v>
      </c>
      <c r="K600" s="3">
        <f>IF(J600&gt;0,
        J600 * IF(G600&gt;0, G600/100,
            IFERROR( VLOOKUP(A600, Dividends!$A:$C, 3, FALSE) / VLOOKUP(A600, Prices!$A:$B, 2, FALSE), Inputs!$B$4)
        ) / 12,
        0)</f>
        <v>0</v>
      </c>
      <c r="L600" s="3">
        <f t="shared" si="3"/>
        <v>0</v>
      </c>
    </row>
    <row r="601" ht="15.75" customHeight="1">
      <c r="F601" s="3" t="str">
        <f>IFERROR(VLOOKUP(A601, Prices!A:B, 2, FALSE), )</f>
        <v/>
      </c>
      <c r="G601" s="3">
        <f>IFERROR(VLOOKUP(A601, Dividends!$A:$B, 2, FALSE),
       IFERROR( (VLOOKUP(A601, Dividends!$A:$C, 3, FALSE) / VLOOKUP(A601, Prices!$A:$B, 2, FALSE)) * 100,
                Inputs!$B$4*100 ))</f>
        <v>65</v>
      </c>
      <c r="H601" s="3">
        <f>IFERROR(SUMIF(Purchases!B:B, A601, Purchases!D:D), 0)</f>
        <v>0</v>
      </c>
      <c r="I601" s="3">
        <f t="shared" si="1"/>
        <v>0</v>
      </c>
      <c r="J601" s="3">
        <f t="shared" si="2"/>
        <v>0</v>
      </c>
      <c r="K601" s="3">
        <f>IF(J601&gt;0,
        J601 * IF(G601&gt;0, G601/100,
            IFERROR( VLOOKUP(A601, Dividends!$A:$C, 3, FALSE) / VLOOKUP(A601, Prices!$A:$B, 2, FALSE), Inputs!$B$4)
        ) / 12,
        0)</f>
        <v>0</v>
      </c>
      <c r="L601" s="3">
        <f t="shared" si="3"/>
        <v>0</v>
      </c>
    </row>
    <row r="602" ht="15.75" customHeight="1">
      <c r="F602" s="3" t="str">
        <f>IFERROR(VLOOKUP(A602, Prices!A:B, 2, FALSE), )</f>
        <v/>
      </c>
      <c r="G602" s="3">
        <f>IFERROR(VLOOKUP(A602, Dividends!$A:$B, 2, FALSE),
       IFERROR( (VLOOKUP(A602, Dividends!$A:$C, 3, FALSE) / VLOOKUP(A602, Prices!$A:$B, 2, FALSE)) * 100,
                Inputs!$B$4*100 ))</f>
        <v>65</v>
      </c>
      <c r="H602" s="3">
        <f>IFERROR(SUMIF(Purchases!B:B, A602, Purchases!D:D), 0)</f>
        <v>0</v>
      </c>
      <c r="I602" s="3">
        <f t="shared" si="1"/>
        <v>0</v>
      </c>
      <c r="J602" s="3">
        <f t="shared" si="2"/>
        <v>0</v>
      </c>
      <c r="K602" s="3">
        <f>IF(J602&gt;0,
        J602 * IF(G602&gt;0, G602/100,
            IFERROR( VLOOKUP(A602, Dividends!$A:$C, 3, FALSE) / VLOOKUP(A602, Prices!$A:$B, 2, FALSE), Inputs!$B$4)
        ) / 12,
        0)</f>
        <v>0</v>
      </c>
      <c r="L602" s="3">
        <f t="shared" si="3"/>
        <v>0</v>
      </c>
    </row>
    <row r="603" ht="15.75" customHeight="1">
      <c r="F603" s="3" t="str">
        <f>IFERROR(VLOOKUP(A603, Prices!A:B, 2, FALSE), )</f>
        <v/>
      </c>
      <c r="G603" s="3">
        <f>IFERROR(VLOOKUP(A603, Dividends!$A:$B, 2, FALSE),
       IFERROR( (VLOOKUP(A603, Dividends!$A:$C, 3, FALSE) / VLOOKUP(A603, Prices!$A:$B, 2, FALSE)) * 100,
                Inputs!$B$4*100 ))</f>
        <v>65</v>
      </c>
      <c r="H603" s="3">
        <f>IFERROR(SUMIF(Purchases!B:B, A603, Purchases!D:D), 0)</f>
        <v>0</v>
      </c>
      <c r="I603" s="3">
        <f t="shared" si="1"/>
        <v>0</v>
      </c>
      <c r="J603" s="3">
        <f t="shared" si="2"/>
        <v>0</v>
      </c>
      <c r="K603" s="3">
        <f>IF(J603&gt;0,
        J603 * IF(G603&gt;0, G603/100,
            IFERROR( VLOOKUP(A603, Dividends!$A:$C, 3, FALSE) / VLOOKUP(A603, Prices!$A:$B, 2, FALSE), Inputs!$B$4)
        ) / 12,
        0)</f>
        <v>0</v>
      </c>
      <c r="L603" s="3">
        <f t="shared" si="3"/>
        <v>0</v>
      </c>
    </row>
    <row r="604" ht="15.75" customHeight="1">
      <c r="F604" s="3" t="str">
        <f>IFERROR(VLOOKUP(A604, Prices!A:B, 2, FALSE), )</f>
        <v/>
      </c>
      <c r="G604" s="3">
        <f>IFERROR(VLOOKUP(A604, Dividends!$A:$B, 2, FALSE),
       IFERROR( (VLOOKUP(A604, Dividends!$A:$C, 3, FALSE) / VLOOKUP(A604, Prices!$A:$B, 2, FALSE)) * 100,
                Inputs!$B$4*100 ))</f>
        <v>65</v>
      </c>
      <c r="H604" s="3">
        <f>IFERROR(SUMIF(Purchases!B:B, A604, Purchases!D:D), 0)</f>
        <v>0</v>
      </c>
      <c r="I604" s="3">
        <f t="shared" si="1"/>
        <v>0</v>
      </c>
      <c r="J604" s="3">
        <f t="shared" si="2"/>
        <v>0</v>
      </c>
      <c r="K604" s="3">
        <f>IF(J604&gt;0,
        J604 * IF(G604&gt;0, G604/100,
            IFERROR( VLOOKUP(A604, Dividends!$A:$C, 3, FALSE) / VLOOKUP(A604, Prices!$A:$B, 2, FALSE), Inputs!$B$4)
        ) / 12,
        0)</f>
        <v>0</v>
      </c>
      <c r="L604" s="3">
        <f t="shared" si="3"/>
        <v>0</v>
      </c>
    </row>
    <row r="605" ht="15.75" customHeight="1">
      <c r="F605" s="3" t="str">
        <f>IFERROR(VLOOKUP(A605, Prices!A:B, 2, FALSE), )</f>
        <v/>
      </c>
      <c r="G605" s="3">
        <f>IFERROR(VLOOKUP(A605, Dividends!$A:$B, 2, FALSE),
       IFERROR( (VLOOKUP(A605, Dividends!$A:$C, 3, FALSE) / VLOOKUP(A605, Prices!$A:$B, 2, FALSE)) * 100,
                Inputs!$B$4*100 ))</f>
        <v>65</v>
      </c>
      <c r="H605" s="3">
        <f>IFERROR(SUMIF(Purchases!B:B, A605, Purchases!D:D), 0)</f>
        <v>0</v>
      </c>
      <c r="I605" s="3">
        <f t="shared" si="1"/>
        <v>0</v>
      </c>
      <c r="J605" s="3">
        <f t="shared" si="2"/>
        <v>0</v>
      </c>
      <c r="K605" s="3">
        <f>IF(J605&gt;0,
        J605 * IF(G605&gt;0, G605/100,
            IFERROR( VLOOKUP(A605, Dividends!$A:$C, 3, FALSE) / VLOOKUP(A605, Prices!$A:$B, 2, FALSE), Inputs!$B$4)
        ) / 12,
        0)</f>
        <v>0</v>
      </c>
      <c r="L605" s="3">
        <f t="shared" si="3"/>
        <v>0</v>
      </c>
    </row>
    <row r="606" ht="15.75" customHeight="1">
      <c r="F606" s="3" t="str">
        <f>IFERROR(VLOOKUP(A606, Prices!A:B, 2, FALSE), )</f>
        <v/>
      </c>
      <c r="G606" s="3">
        <f>IFERROR(VLOOKUP(A606, Dividends!$A:$B, 2, FALSE),
       IFERROR( (VLOOKUP(A606, Dividends!$A:$C, 3, FALSE) / VLOOKUP(A606, Prices!$A:$B, 2, FALSE)) * 100,
                Inputs!$B$4*100 ))</f>
        <v>65</v>
      </c>
      <c r="H606" s="3">
        <f>IFERROR(SUMIF(Purchases!B:B, A606, Purchases!D:D), 0)</f>
        <v>0</v>
      </c>
      <c r="I606" s="3">
        <f t="shared" si="1"/>
        <v>0</v>
      </c>
      <c r="J606" s="3">
        <f t="shared" si="2"/>
        <v>0</v>
      </c>
      <c r="K606" s="3">
        <f>IF(J606&gt;0,
        J606 * IF(G606&gt;0, G606/100,
            IFERROR( VLOOKUP(A606, Dividends!$A:$C, 3, FALSE) / VLOOKUP(A606, Prices!$A:$B, 2, FALSE), Inputs!$B$4)
        ) / 12,
        0)</f>
        <v>0</v>
      </c>
      <c r="L606" s="3">
        <f t="shared" si="3"/>
        <v>0</v>
      </c>
    </row>
    <row r="607" ht="15.75" customHeight="1">
      <c r="F607" s="3" t="str">
        <f>IFERROR(VLOOKUP(A607, Prices!A:B, 2, FALSE), )</f>
        <v/>
      </c>
      <c r="G607" s="3">
        <f>IFERROR(VLOOKUP(A607, Dividends!$A:$B, 2, FALSE),
       IFERROR( (VLOOKUP(A607, Dividends!$A:$C, 3, FALSE) / VLOOKUP(A607, Prices!$A:$B, 2, FALSE)) * 100,
                Inputs!$B$4*100 ))</f>
        <v>65</v>
      </c>
      <c r="H607" s="3">
        <f>IFERROR(SUMIF(Purchases!B:B, A607, Purchases!D:D), 0)</f>
        <v>0</v>
      </c>
      <c r="I607" s="3">
        <f t="shared" si="1"/>
        <v>0</v>
      </c>
      <c r="J607" s="3">
        <f t="shared" si="2"/>
        <v>0</v>
      </c>
      <c r="K607" s="3">
        <f>IF(J607&gt;0,
        J607 * IF(G607&gt;0, G607/100,
            IFERROR( VLOOKUP(A607, Dividends!$A:$C, 3, FALSE) / VLOOKUP(A607, Prices!$A:$B, 2, FALSE), Inputs!$B$4)
        ) / 12,
        0)</f>
        <v>0</v>
      </c>
      <c r="L607" s="3">
        <f t="shared" si="3"/>
        <v>0</v>
      </c>
    </row>
    <row r="608" ht="15.75" customHeight="1">
      <c r="F608" s="3" t="str">
        <f>IFERROR(VLOOKUP(A608, Prices!A:B, 2, FALSE), )</f>
        <v/>
      </c>
      <c r="G608" s="3">
        <f>IFERROR(VLOOKUP(A608, Dividends!$A:$B, 2, FALSE),
       IFERROR( (VLOOKUP(A608, Dividends!$A:$C, 3, FALSE) / VLOOKUP(A608, Prices!$A:$B, 2, FALSE)) * 100,
                Inputs!$B$4*100 ))</f>
        <v>65</v>
      </c>
      <c r="H608" s="3">
        <f>IFERROR(SUMIF(Purchases!B:B, A608, Purchases!D:D), 0)</f>
        <v>0</v>
      </c>
      <c r="I608" s="3">
        <f t="shared" si="1"/>
        <v>0</v>
      </c>
      <c r="J608" s="3">
        <f t="shared" si="2"/>
        <v>0</v>
      </c>
      <c r="K608" s="3">
        <f>IF(J608&gt;0,
        J608 * IF(G608&gt;0, G608/100,
            IFERROR( VLOOKUP(A608, Dividends!$A:$C, 3, FALSE) / VLOOKUP(A608, Prices!$A:$B, 2, FALSE), Inputs!$B$4)
        ) / 12,
        0)</f>
        <v>0</v>
      </c>
      <c r="L608" s="3">
        <f t="shared" si="3"/>
        <v>0</v>
      </c>
    </row>
    <row r="609" ht="15.75" customHeight="1">
      <c r="F609" s="3" t="str">
        <f>IFERROR(VLOOKUP(A609, Prices!A:B, 2, FALSE), )</f>
        <v/>
      </c>
      <c r="G609" s="3">
        <f>IFERROR(VLOOKUP(A609, Dividends!$A:$B, 2, FALSE),
       IFERROR( (VLOOKUP(A609, Dividends!$A:$C, 3, FALSE) / VLOOKUP(A609, Prices!$A:$B, 2, FALSE)) * 100,
                Inputs!$B$4*100 ))</f>
        <v>65</v>
      </c>
      <c r="H609" s="3">
        <f>IFERROR(SUMIF(Purchases!B:B, A609, Purchases!D:D), 0)</f>
        <v>0</v>
      </c>
      <c r="I609" s="3">
        <f t="shared" si="1"/>
        <v>0</v>
      </c>
      <c r="J609" s="3">
        <f t="shared" si="2"/>
        <v>0</v>
      </c>
      <c r="K609" s="3">
        <f>IF(J609&gt;0,
        J609 * IF(G609&gt;0, G609/100,
            IFERROR( VLOOKUP(A609, Dividends!$A:$C, 3, FALSE) / VLOOKUP(A609, Prices!$A:$B, 2, FALSE), Inputs!$B$4)
        ) / 12,
        0)</f>
        <v>0</v>
      </c>
      <c r="L609" s="3">
        <f t="shared" si="3"/>
        <v>0</v>
      </c>
    </row>
    <row r="610" ht="15.75" customHeight="1">
      <c r="F610" s="3" t="str">
        <f>IFERROR(VLOOKUP(A610, Prices!A:B, 2, FALSE), )</f>
        <v/>
      </c>
      <c r="G610" s="3">
        <f>IFERROR(VLOOKUP(A610, Dividends!$A:$B, 2, FALSE),
       IFERROR( (VLOOKUP(A610, Dividends!$A:$C, 3, FALSE) / VLOOKUP(A610, Prices!$A:$B, 2, FALSE)) * 100,
                Inputs!$B$4*100 ))</f>
        <v>65</v>
      </c>
      <c r="H610" s="3">
        <f>IFERROR(SUMIF(Purchases!B:B, A610, Purchases!D:D), 0)</f>
        <v>0</v>
      </c>
      <c r="I610" s="3">
        <f t="shared" si="1"/>
        <v>0</v>
      </c>
      <c r="J610" s="3">
        <f t="shared" si="2"/>
        <v>0</v>
      </c>
      <c r="K610" s="3">
        <f>IF(J610&gt;0,
        J610 * IF(G610&gt;0, G610/100,
            IFERROR( VLOOKUP(A610, Dividends!$A:$C, 3, FALSE) / VLOOKUP(A610, Prices!$A:$B, 2, FALSE), Inputs!$B$4)
        ) / 12,
        0)</f>
        <v>0</v>
      </c>
      <c r="L610" s="3">
        <f t="shared" si="3"/>
        <v>0</v>
      </c>
    </row>
    <row r="611" ht="15.75" customHeight="1">
      <c r="F611" s="3" t="str">
        <f>IFERROR(VLOOKUP(A611, Prices!A:B, 2, FALSE), )</f>
        <v/>
      </c>
      <c r="G611" s="3">
        <f>IFERROR(VLOOKUP(A611, Dividends!$A:$B, 2, FALSE),
       IFERROR( (VLOOKUP(A611, Dividends!$A:$C, 3, FALSE) / VLOOKUP(A611, Prices!$A:$B, 2, FALSE)) * 100,
                Inputs!$B$4*100 ))</f>
        <v>65</v>
      </c>
      <c r="H611" s="3">
        <f>IFERROR(SUMIF(Purchases!B:B, A611, Purchases!D:D), 0)</f>
        <v>0</v>
      </c>
      <c r="I611" s="3">
        <f t="shared" si="1"/>
        <v>0</v>
      </c>
      <c r="J611" s="3">
        <f t="shared" si="2"/>
        <v>0</v>
      </c>
      <c r="K611" s="3">
        <f>IF(J611&gt;0,
        J611 * IF(G611&gt;0, G611/100,
            IFERROR( VLOOKUP(A611, Dividends!$A:$C, 3, FALSE) / VLOOKUP(A611, Prices!$A:$B, 2, FALSE), Inputs!$B$4)
        ) / 12,
        0)</f>
        <v>0</v>
      </c>
      <c r="L611" s="3">
        <f t="shared" si="3"/>
        <v>0</v>
      </c>
    </row>
    <row r="612" ht="15.75" customHeight="1">
      <c r="F612" s="3" t="str">
        <f>IFERROR(VLOOKUP(A612, Prices!A:B, 2, FALSE), )</f>
        <v/>
      </c>
      <c r="G612" s="3">
        <f>IFERROR(VLOOKUP(A612, Dividends!$A:$B, 2, FALSE),
       IFERROR( (VLOOKUP(A612, Dividends!$A:$C, 3, FALSE) / VLOOKUP(A612, Prices!$A:$B, 2, FALSE)) * 100,
                Inputs!$B$4*100 ))</f>
        <v>65</v>
      </c>
      <c r="H612" s="3">
        <f>IFERROR(SUMIF(Purchases!B:B, A612, Purchases!D:D), 0)</f>
        <v>0</v>
      </c>
      <c r="I612" s="3">
        <f t="shared" si="1"/>
        <v>0</v>
      </c>
      <c r="J612" s="3">
        <f t="shared" si="2"/>
        <v>0</v>
      </c>
      <c r="K612" s="3">
        <f>IF(J612&gt;0,
        J612 * IF(G612&gt;0, G612/100,
            IFERROR( VLOOKUP(A612, Dividends!$A:$C, 3, FALSE) / VLOOKUP(A612, Prices!$A:$B, 2, FALSE), Inputs!$B$4)
        ) / 12,
        0)</f>
        <v>0</v>
      </c>
      <c r="L612" s="3">
        <f t="shared" si="3"/>
        <v>0</v>
      </c>
    </row>
    <row r="613" ht="15.75" customHeight="1">
      <c r="F613" s="3" t="str">
        <f>IFERROR(VLOOKUP(A613, Prices!A:B, 2, FALSE), )</f>
        <v/>
      </c>
      <c r="G613" s="3">
        <f>IFERROR(VLOOKUP(A613, Dividends!$A:$B, 2, FALSE),
       IFERROR( (VLOOKUP(A613, Dividends!$A:$C, 3, FALSE) / VLOOKUP(A613, Prices!$A:$B, 2, FALSE)) * 100,
                Inputs!$B$4*100 ))</f>
        <v>65</v>
      </c>
      <c r="H613" s="3">
        <f>IFERROR(SUMIF(Purchases!B:B, A613, Purchases!D:D), 0)</f>
        <v>0</v>
      </c>
      <c r="I613" s="3">
        <f t="shared" si="1"/>
        <v>0</v>
      </c>
      <c r="J613" s="3">
        <f t="shared" si="2"/>
        <v>0</v>
      </c>
      <c r="K613" s="3">
        <f>IF(J613&gt;0,
        J613 * IF(G613&gt;0, G613/100,
            IFERROR( VLOOKUP(A613, Dividends!$A:$C, 3, FALSE) / VLOOKUP(A613, Prices!$A:$B, 2, FALSE), Inputs!$B$4)
        ) / 12,
        0)</f>
        <v>0</v>
      </c>
      <c r="L613" s="3">
        <f t="shared" si="3"/>
        <v>0</v>
      </c>
    </row>
    <row r="614" ht="15.75" customHeight="1">
      <c r="F614" s="3" t="str">
        <f>IFERROR(VLOOKUP(A614, Prices!A:B, 2, FALSE), )</f>
        <v/>
      </c>
      <c r="G614" s="3">
        <f>IFERROR(VLOOKUP(A614, Dividends!$A:$B, 2, FALSE),
       IFERROR( (VLOOKUP(A614, Dividends!$A:$C, 3, FALSE) / VLOOKUP(A614, Prices!$A:$B, 2, FALSE)) * 100,
                Inputs!$B$4*100 ))</f>
        <v>65</v>
      </c>
      <c r="H614" s="3">
        <f>IFERROR(SUMIF(Purchases!B:B, A614, Purchases!D:D), 0)</f>
        <v>0</v>
      </c>
      <c r="I614" s="3">
        <f t="shared" si="1"/>
        <v>0</v>
      </c>
      <c r="J614" s="3">
        <f t="shared" si="2"/>
        <v>0</v>
      </c>
      <c r="K614" s="3">
        <f>IF(J614&gt;0,
        J614 * IF(G614&gt;0, G614/100,
            IFERROR( VLOOKUP(A614, Dividends!$A:$C, 3, FALSE) / VLOOKUP(A614, Prices!$A:$B, 2, FALSE), Inputs!$B$4)
        ) / 12,
        0)</f>
        <v>0</v>
      </c>
      <c r="L614" s="3">
        <f t="shared" si="3"/>
        <v>0</v>
      </c>
    </row>
    <row r="615" ht="15.75" customHeight="1">
      <c r="F615" s="3" t="str">
        <f>IFERROR(VLOOKUP(A615, Prices!A:B, 2, FALSE), )</f>
        <v/>
      </c>
      <c r="G615" s="3">
        <f>IFERROR(VLOOKUP(A615, Dividends!$A:$B, 2, FALSE),
       IFERROR( (VLOOKUP(A615, Dividends!$A:$C, 3, FALSE) / VLOOKUP(A615, Prices!$A:$B, 2, FALSE)) * 100,
                Inputs!$B$4*100 ))</f>
        <v>65</v>
      </c>
      <c r="H615" s="3">
        <f>IFERROR(SUMIF(Purchases!B:B, A615, Purchases!D:D), 0)</f>
        <v>0</v>
      </c>
      <c r="I615" s="3">
        <f t="shared" si="1"/>
        <v>0</v>
      </c>
      <c r="J615" s="3">
        <f t="shared" si="2"/>
        <v>0</v>
      </c>
      <c r="K615" s="3">
        <f>IF(J615&gt;0,
        J615 * IF(G615&gt;0, G615/100,
            IFERROR( VLOOKUP(A615, Dividends!$A:$C, 3, FALSE) / VLOOKUP(A615, Prices!$A:$B, 2, FALSE), Inputs!$B$4)
        ) / 12,
        0)</f>
        <v>0</v>
      </c>
      <c r="L615" s="3">
        <f t="shared" si="3"/>
        <v>0</v>
      </c>
    </row>
    <row r="616" ht="15.75" customHeight="1">
      <c r="F616" s="3" t="str">
        <f>IFERROR(VLOOKUP(A616, Prices!A:B, 2, FALSE), )</f>
        <v/>
      </c>
      <c r="G616" s="3">
        <f>IFERROR(VLOOKUP(A616, Dividends!$A:$B, 2, FALSE),
       IFERROR( (VLOOKUP(A616, Dividends!$A:$C, 3, FALSE) / VLOOKUP(A616, Prices!$A:$B, 2, FALSE)) * 100,
                Inputs!$B$4*100 ))</f>
        <v>65</v>
      </c>
      <c r="H616" s="3">
        <f>IFERROR(SUMIF(Purchases!B:B, A616, Purchases!D:D), 0)</f>
        <v>0</v>
      </c>
      <c r="I616" s="3">
        <f t="shared" si="1"/>
        <v>0</v>
      </c>
      <c r="J616" s="3">
        <f t="shared" si="2"/>
        <v>0</v>
      </c>
      <c r="K616" s="3">
        <f>IF(J616&gt;0,
        J616 * IF(G616&gt;0, G616/100,
            IFERROR( VLOOKUP(A616, Dividends!$A:$C, 3, FALSE) / VLOOKUP(A616, Prices!$A:$B, 2, FALSE), Inputs!$B$4)
        ) / 12,
        0)</f>
        <v>0</v>
      </c>
      <c r="L616" s="3">
        <f t="shared" si="3"/>
        <v>0</v>
      </c>
    </row>
    <row r="617" ht="15.75" customHeight="1">
      <c r="F617" s="3" t="str">
        <f>IFERROR(VLOOKUP(A617, Prices!A:B, 2, FALSE), )</f>
        <v/>
      </c>
      <c r="G617" s="3">
        <f>IFERROR(VLOOKUP(A617, Dividends!$A:$B, 2, FALSE),
       IFERROR( (VLOOKUP(A617, Dividends!$A:$C, 3, FALSE) / VLOOKUP(A617, Prices!$A:$B, 2, FALSE)) * 100,
                Inputs!$B$4*100 ))</f>
        <v>65</v>
      </c>
      <c r="H617" s="3">
        <f>IFERROR(SUMIF(Purchases!B:B, A617, Purchases!D:D), 0)</f>
        <v>0</v>
      </c>
      <c r="I617" s="3">
        <f t="shared" si="1"/>
        <v>0</v>
      </c>
      <c r="J617" s="3">
        <f t="shared" si="2"/>
        <v>0</v>
      </c>
      <c r="K617" s="3">
        <f>IF(J617&gt;0,
        J617 * IF(G617&gt;0, G617/100,
            IFERROR( VLOOKUP(A617, Dividends!$A:$C, 3, FALSE) / VLOOKUP(A617, Prices!$A:$B, 2, FALSE), Inputs!$B$4)
        ) / 12,
        0)</f>
        <v>0</v>
      </c>
      <c r="L617" s="3">
        <f t="shared" si="3"/>
        <v>0</v>
      </c>
    </row>
    <row r="618" ht="15.75" customHeight="1">
      <c r="F618" s="3" t="str">
        <f>IFERROR(VLOOKUP(A618, Prices!A:B, 2, FALSE), )</f>
        <v/>
      </c>
      <c r="G618" s="3">
        <f>IFERROR(VLOOKUP(A618, Dividends!$A:$B, 2, FALSE),
       IFERROR( (VLOOKUP(A618, Dividends!$A:$C, 3, FALSE) / VLOOKUP(A618, Prices!$A:$B, 2, FALSE)) * 100,
                Inputs!$B$4*100 ))</f>
        <v>65</v>
      </c>
      <c r="H618" s="3">
        <f>IFERROR(SUMIF(Purchases!B:B, A618, Purchases!D:D), 0)</f>
        <v>0</v>
      </c>
      <c r="I618" s="3">
        <f t="shared" si="1"/>
        <v>0</v>
      </c>
      <c r="J618" s="3">
        <f t="shared" si="2"/>
        <v>0</v>
      </c>
      <c r="K618" s="3">
        <f>IF(J618&gt;0,
        J618 * IF(G618&gt;0, G618/100,
            IFERROR( VLOOKUP(A618, Dividends!$A:$C, 3, FALSE) / VLOOKUP(A618, Prices!$A:$B, 2, FALSE), Inputs!$B$4)
        ) / 12,
        0)</f>
        <v>0</v>
      </c>
      <c r="L618" s="3">
        <f t="shared" si="3"/>
        <v>0</v>
      </c>
    </row>
    <row r="619" ht="15.75" customHeight="1">
      <c r="F619" s="3" t="str">
        <f>IFERROR(VLOOKUP(A619, Prices!A:B, 2, FALSE), )</f>
        <v/>
      </c>
      <c r="G619" s="3">
        <f>IFERROR(VLOOKUP(A619, Dividends!$A:$B, 2, FALSE),
       IFERROR( (VLOOKUP(A619, Dividends!$A:$C, 3, FALSE) / VLOOKUP(A619, Prices!$A:$B, 2, FALSE)) * 100,
                Inputs!$B$4*100 ))</f>
        <v>65</v>
      </c>
      <c r="H619" s="3">
        <f>IFERROR(SUMIF(Purchases!B:B, A619, Purchases!D:D), 0)</f>
        <v>0</v>
      </c>
      <c r="I619" s="3">
        <f t="shared" si="1"/>
        <v>0</v>
      </c>
      <c r="J619" s="3">
        <f t="shared" si="2"/>
        <v>0</v>
      </c>
      <c r="K619" s="3">
        <f>IF(J619&gt;0,
        J619 * IF(G619&gt;0, G619/100,
            IFERROR( VLOOKUP(A619, Dividends!$A:$C, 3, FALSE) / VLOOKUP(A619, Prices!$A:$B, 2, FALSE), Inputs!$B$4)
        ) / 12,
        0)</f>
        <v>0</v>
      </c>
      <c r="L619" s="3">
        <f t="shared" si="3"/>
        <v>0</v>
      </c>
    </row>
    <row r="620" ht="15.75" customHeight="1">
      <c r="F620" s="3" t="str">
        <f>IFERROR(VLOOKUP(A620, Prices!A:B, 2, FALSE), )</f>
        <v/>
      </c>
      <c r="G620" s="3">
        <f>IFERROR(VLOOKUP(A620, Dividends!$A:$B, 2, FALSE),
       IFERROR( (VLOOKUP(A620, Dividends!$A:$C, 3, FALSE) / VLOOKUP(A620, Prices!$A:$B, 2, FALSE)) * 100,
                Inputs!$B$4*100 ))</f>
        <v>65</v>
      </c>
      <c r="H620" s="3">
        <f>IFERROR(SUMIF(Purchases!B:B, A620, Purchases!D:D), 0)</f>
        <v>0</v>
      </c>
      <c r="I620" s="3">
        <f t="shared" si="1"/>
        <v>0</v>
      </c>
      <c r="J620" s="3">
        <f t="shared" si="2"/>
        <v>0</v>
      </c>
      <c r="K620" s="3">
        <f>IF(J620&gt;0,
        J620 * IF(G620&gt;0, G620/100,
            IFERROR( VLOOKUP(A620, Dividends!$A:$C, 3, FALSE) / VLOOKUP(A620, Prices!$A:$B, 2, FALSE), Inputs!$B$4)
        ) / 12,
        0)</f>
        <v>0</v>
      </c>
      <c r="L620" s="3">
        <f t="shared" si="3"/>
        <v>0</v>
      </c>
    </row>
    <row r="621" ht="15.75" customHeight="1">
      <c r="F621" s="3" t="str">
        <f>IFERROR(VLOOKUP(A621, Prices!A:B, 2, FALSE), )</f>
        <v/>
      </c>
      <c r="G621" s="3">
        <f>IFERROR(VLOOKUP(A621, Dividends!$A:$B, 2, FALSE),
       IFERROR( (VLOOKUP(A621, Dividends!$A:$C, 3, FALSE) / VLOOKUP(A621, Prices!$A:$B, 2, FALSE)) * 100,
                Inputs!$B$4*100 ))</f>
        <v>65</v>
      </c>
      <c r="H621" s="3">
        <f>IFERROR(SUMIF(Purchases!B:B, A621, Purchases!D:D), 0)</f>
        <v>0</v>
      </c>
      <c r="I621" s="3">
        <f t="shared" si="1"/>
        <v>0</v>
      </c>
      <c r="J621" s="3">
        <f t="shared" si="2"/>
        <v>0</v>
      </c>
      <c r="K621" s="3">
        <f>IF(J621&gt;0,
        J621 * IF(G621&gt;0, G621/100,
            IFERROR( VLOOKUP(A621, Dividends!$A:$C, 3, FALSE) / VLOOKUP(A621, Prices!$A:$B, 2, FALSE), Inputs!$B$4)
        ) / 12,
        0)</f>
        <v>0</v>
      </c>
      <c r="L621" s="3">
        <f t="shared" si="3"/>
        <v>0</v>
      </c>
    </row>
    <row r="622" ht="15.75" customHeight="1">
      <c r="F622" s="3" t="str">
        <f>IFERROR(VLOOKUP(A622, Prices!A:B, 2, FALSE), )</f>
        <v/>
      </c>
      <c r="G622" s="3">
        <f>IFERROR(VLOOKUP(A622, Dividends!$A:$B, 2, FALSE),
       IFERROR( (VLOOKUP(A622, Dividends!$A:$C, 3, FALSE) / VLOOKUP(A622, Prices!$A:$B, 2, FALSE)) * 100,
                Inputs!$B$4*100 ))</f>
        <v>65</v>
      </c>
      <c r="H622" s="3">
        <f>IFERROR(SUMIF(Purchases!B:B, A622, Purchases!D:D), 0)</f>
        <v>0</v>
      </c>
      <c r="I622" s="3">
        <f t="shared" si="1"/>
        <v>0</v>
      </c>
      <c r="J622" s="3">
        <f t="shared" si="2"/>
        <v>0</v>
      </c>
      <c r="K622" s="3">
        <f>IF(J622&gt;0,
        J622 * IF(G622&gt;0, G622/100,
            IFERROR( VLOOKUP(A622, Dividends!$A:$C, 3, FALSE) / VLOOKUP(A622, Prices!$A:$B, 2, FALSE), Inputs!$B$4)
        ) / 12,
        0)</f>
        <v>0</v>
      </c>
      <c r="L622" s="3">
        <f t="shared" si="3"/>
        <v>0</v>
      </c>
    </row>
    <row r="623" ht="15.75" customHeight="1">
      <c r="F623" s="3" t="str">
        <f>IFERROR(VLOOKUP(A623, Prices!A:B, 2, FALSE), )</f>
        <v/>
      </c>
      <c r="G623" s="3">
        <f>IFERROR(VLOOKUP(A623, Dividends!$A:$B, 2, FALSE),
       IFERROR( (VLOOKUP(A623, Dividends!$A:$C, 3, FALSE) / VLOOKUP(A623, Prices!$A:$B, 2, FALSE)) * 100,
                Inputs!$B$4*100 ))</f>
        <v>65</v>
      </c>
      <c r="H623" s="3">
        <f>IFERROR(SUMIF(Purchases!B:B, A623, Purchases!D:D), 0)</f>
        <v>0</v>
      </c>
      <c r="I623" s="3">
        <f t="shared" si="1"/>
        <v>0</v>
      </c>
      <c r="J623" s="3">
        <f t="shared" si="2"/>
        <v>0</v>
      </c>
      <c r="K623" s="3">
        <f>IF(J623&gt;0,
        J623 * IF(G623&gt;0, G623/100,
            IFERROR( VLOOKUP(A623, Dividends!$A:$C, 3, FALSE) / VLOOKUP(A623, Prices!$A:$B, 2, FALSE), Inputs!$B$4)
        ) / 12,
        0)</f>
        <v>0</v>
      </c>
      <c r="L623" s="3">
        <f t="shared" si="3"/>
        <v>0</v>
      </c>
    </row>
    <row r="624" ht="15.75" customHeight="1">
      <c r="F624" s="3" t="str">
        <f>IFERROR(VLOOKUP(A624, Prices!A:B, 2, FALSE), )</f>
        <v/>
      </c>
      <c r="G624" s="3">
        <f>IFERROR(VLOOKUP(A624, Dividends!$A:$B, 2, FALSE),
       IFERROR( (VLOOKUP(A624, Dividends!$A:$C, 3, FALSE) / VLOOKUP(A624, Prices!$A:$B, 2, FALSE)) * 100,
                Inputs!$B$4*100 ))</f>
        <v>65</v>
      </c>
      <c r="H624" s="3">
        <f>IFERROR(SUMIF(Purchases!B:B, A624, Purchases!D:D), 0)</f>
        <v>0</v>
      </c>
      <c r="I624" s="3">
        <f t="shared" si="1"/>
        <v>0</v>
      </c>
      <c r="J624" s="3">
        <f t="shared" si="2"/>
        <v>0</v>
      </c>
      <c r="K624" s="3">
        <f>IF(J624&gt;0,
        J624 * IF(G624&gt;0, G624/100,
            IFERROR( VLOOKUP(A624, Dividends!$A:$C, 3, FALSE) / VLOOKUP(A624, Prices!$A:$B, 2, FALSE), Inputs!$B$4)
        ) / 12,
        0)</f>
        <v>0</v>
      </c>
      <c r="L624" s="3">
        <f t="shared" si="3"/>
        <v>0</v>
      </c>
    </row>
    <row r="625" ht="15.75" customHeight="1">
      <c r="F625" s="3" t="str">
        <f>IFERROR(VLOOKUP(A625, Prices!A:B, 2, FALSE), )</f>
        <v/>
      </c>
      <c r="G625" s="3">
        <f>IFERROR(VLOOKUP(A625, Dividends!$A:$B, 2, FALSE),
       IFERROR( (VLOOKUP(A625, Dividends!$A:$C, 3, FALSE) / VLOOKUP(A625, Prices!$A:$B, 2, FALSE)) * 100,
                Inputs!$B$4*100 ))</f>
        <v>65</v>
      </c>
      <c r="H625" s="3">
        <f>IFERROR(SUMIF(Purchases!B:B, A625, Purchases!D:D), 0)</f>
        <v>0</v>
      </c>
      <c r="I625" s="3">
        <f t="shared" si="1"/>
        <v>0</v>
      </c>
      <c r="J625" s="3">
        <f t="shared" si="2"/>
        <v>0</v>
      </c>
      <c r="K625" s="3">
        <f>IF(J625&gt;0,
        J625 * IF(G625&gt;0, G625/100,
            IFERROR( VLOOKUP(A625, Dividends!$A:$C, 3, FALSE) / VLOOKUP(A625, Prices!$A:$B, 2, FALSE), Inputs!$B$4)
        ) / 12,
        0)</f>
        <v>0</v>
      </c>
      <c r="L625" s="3">
        <f t="shared" si="3"/>
        <v>0</v>
      </c>
    </row>
    <row r="626" ht="15.75" customHeight="1">
      <c r="F626" s="3" t="str">
        <f>IFERROR(VLOOKUP(A626, Prices!A:B, 2, FALSE), )</f>
        <v/>
      </c>
      <c r="G626" s="3">
        <f>IFERROR(VLOOKUP(A626, Dividends!$A:$B, 2, FALSE),
       IFERROR( (VLOOKUP(A626, Dividends!$A:$C, 3, FALSE) / VLOOKUP(A626, Prices!$A:$B, 2, FALSE)) * 100,
                Inputs!$B$4*100 ))</f>
        <v>65</v>
      </c>
      <c r="H626" s="3">
        <f>IFERROR(SUMIF(Purchases!B:B, A626, Purchases!D:D), 0)</f>
        <v>0</v>
      </c>
      <c r="I626" s="3">
        <f t="shared" si="1"/>
        <v>0</v>
      </c>
      <c r="J626" s="3">
        <f t="shared" si="2"/>
        <v>0</v>
      </c>
      <c r="K626" s="3">
        <f>IF(J626&gt;0,
        J626 * IF(G626&gt;0, G626/100,
            IFERROR( VLOOKUP(A626, Dividends!$A:$C, 3, FALSE) / VLOOKUP(A626, Prices!$A:$B, 2, FALSE), Inputs!$B$4)
        ) / 12,
        0)</f>
        <v>0</v>
      </c>
      <c r="L626" s="3">
        <f t="shared" si="3"/>
        <v>0</v>
      </c>
    </row>
    <row r="627" ht="15.75" customHeight="1">
      <c r="F627" s="3" t="str">
        <f>IFERROR(VLOOKUP(A627, Prices!A:B, 2, FALSE), )</f>
        <v/>
      </c>
      <c r="G627" s="3">
        <f>IFERROR(VLOOKUP(A627, Dividends!$A:$B, 2, FALSE),
       IFERROR( (VLOOKUP(A627, Dividends!$A:$C, 3, FALSE) / VLOOKUP(A627, Prices!$A:$B, 2, FALSE)) * 100,
                Inputs!$B$4*100 ))</f>
        <v>65</v>
      </c>
      <c r="H627" s="3">
        <f>IFERROR(SUMIF(Purchases!B:B, A627, Purchases!D:D), 0)</f>
        <v>0</v>
      </c>
      <c r="I627" s="3">
        <f t="shared" si="1"/>
        <v>0</v>
      </c>
      <c r="J627" s="3">
        <f t="shared" si="2"/>
        <v>0</v>
      </c>
      <c r="K627" s="3">
        <f>IF(J627&gt;0,
        J627 * IF(G627&gt;0, G627/100,
            IFERROR( VLOOKUP(A627, Dividends!$A:$C, 3, FALSE) / VLOOKUP(A627, Prices!$A:$B, 2, FALSE), Inputs!$B$4)
        ) / 12,
        0)</f>
        <v>0</v>
      </c>
      <c r="L627" s="3">
        <f t="shared" si="3"/>
        <v>0</v>
      </c>
    </row>
    <row r="628" ht="15.75" customHeight="1">
      <c r="F628" s="3" t="str">
        <f>IFERROR(VLOOKUP(A628, Prices!A:B, 2, FALSE), )</f>
        <v/>
      </c>
      <c r="G628" s="3">
        <f>IFERROR(VLOOKUP(A628, Dividends!$A:$B, 2, FALSE),
       IFERROR( (VLOOKUP(A628, Dividends!$A:$C, 3, FALSE) / VLOOKUP(A628, Prices!$A:$B, 2, FALSE)) * 100,
                Inputs!$B$4*100 ))</f>
        <v>65</v>
      </c>
      <c r="H628" s="3">
        <f>IFERROR(SUMIF(Purchases!B:B, A628, Purchases!D:D), 0)</f>
        <v>0</v>
      </c>
      <c r="I628" s="3">
        <f t="shared" si="1"/>
        <v>0</v>
      </c>
      <c r="J628" s="3">
        <f t="shared" si="2"/>
        <v>0</v>
      </c>
      <c r="K628" s="3">
        <f>IF(J628&gt;0,
        J628 * IF(G628&gt;0, G628/100,
            IFERROR( VLOOKUP(A628, Dividends!$A:$C, 3, FALSE) / VLOOKUP(A628, Prices!$A:$B, 2, FALSE), Inputs!$B$4)
        ) / 12,
        0)</f>
        <v>0</v>
      </c>
      <c r="L628" s="3">
        <f t="shared" si="3"/>
        <v>0</v>
      </c>
    </row>
    <row r="629" ht="15.75" customHeight="1">
      <c r="F629" s="3" t="str">
        <f>IFERROR(VLOOKUP(A629, Prices!A:B, 2, FALSE), )</f>
        <v/>
      </c>
      <c r="G629" s="3">
        <f>IFERROR(VLOOKUP(A629, Dividends!$A:$B, 2, FALSE),
       IFERROR( (VLOOKUP(A629, Dividends!$A:$C, 3, FALSE) / VLOOKUP(A629, Prices!$A:$B, 2, FALSE)) * 100,
                Inputs!$B$4*100 ))</f>
        <v>65</v>
      </c>
      <c r="H629" s="3">
        <f>IFERROR(SUMIF(Purchases!B:B, A629, Purchases!D:D), 0)</f>
        <v>0</v>
      </c>
      <c r="I629" s="3">
        <f t="shared" si="1"/>
        <v>0</v>
      </c>
      <c r="J629" s="3">
        <f t="shared" si="2"/>
        <v>0</v>
      </c>
      <c r="K629" s="3">
        <f>IF(J629&gt;0,
        J629 * IF(G629&gt;0, G629/100,
            IFERROR( VLOOKUP(A629, Dividends!$A:$C, 3, FALSE) / VLOOKUP(A629, Prices!$A:$B, 2, FALSE), Inputs!$B$4)
        ) / 12,
        0)</f>
        <v>0</v>
      </c>
      <c r="L629" s="3">
        <f t="shared" si="3"/>
        <v>0</v>
      </c>
    </row>
    <row r="630" ht="15.75" customHeight="1">
      <c r="F630" s="3" t="str">
        <f>IFERROR(VLOOKUP(A630, Prices!A:B, 2, FALSE), )</f>
        <v/>
      </c>
      <c r="G630" s="3">
        <f>IFERROR(VLOOKUP(A630, Dividends!$A:$B, 2, FALSE),
       IFERROR( (VLOOKUP(A630, Dividends!$A:$C, 3, FALSE) / VLOOKUP(A630, Prices!$A:$B, 2, FALSE)) * 100,
                Inputs!$B$4*100 ))</f>
        <v>65</v>
      </c>
      <c r="H630" s="3">
        <f>IFERROR(SUMIF(Purchases!B:B, A630, Purchases!D:D), 0)</f>
        <v>0</v>
      </c>
      <c r="I630" s="3">
        <f t="shared" si="1"/>
        <v>0</v>
      </c>
      <c r="J630" s="3">
        <f t="shared" si="2"/>
        <v>0</v>
      </c>
      <c r="K630" s="3">
        <f>IF(J630&gt;0,
        J630 * IF(G630&gt;0, G630/100,
            IFERROR( VLOOKUP(A630, Dividends!$A:$C, 3, FALSE) / VLOOKUP(A630, Prices!$A:$B, 2, FALSE), Inputs!$B$4)
        ) / 12,
        0)</f>
        <v>0</v>
      </c>
      <c r="L630" s="3">
        <f t="shared" si="3"/>
        <v>0</v>
      </c>
    </row>
    <row r="631" ht="15.75" customHeight="1">
      <c r="F631" s="3" t="str">
        <f>IFERROR(VLOOKUP(A631, Prices!A:B, 2, FALSE), )</f>
        <v/>
      </c>
      <c r="G631" s="3">
        <f>IFERROR(VLOOKUP(A631, Dividends!$A:$B, 2, FALSE),
       IFERROR( (VLOOKUP(A631, Dividends!$A:$C, 3, FALSE) / VLOOKUP(A631, Prices!$A:$B, 2, FALSE)) * 100,
                Inputs!$B$4*100 ))</f>
        <v>65</v>
      </c>
      <c r="H631" s="3">
        <f>IFERROR(SUMIF(Purchases!B:B, A631, Purchases!D:D), 0)</f>
        <v>0</v>
      </c>
      <c r="I631" s="3">
        <f t="shared" si="1"/>
        <v>0</v>
      </c>
      <c r="J631" s="3">
        <f t="shared" si="2"/>
        <v>0</v>
      </c>
      <c r="K631" s="3">
        <f>IF(J631&gt;0,
        J631 * IF(G631&gt;0, G631/100,
            IFERROR( VLOOKUP(A631, Dividends!$A:$C, 3, FALSE) / VLOOKUP(A631, Prices!$A:$B, 2, FALSE), Inputs!$B$4)
        ) / 12,
        0)</f>
        <v>0</v>
      </c>
      <c r="L631" s="3">
        <f t="shared" si="3"/>
        <v>0</v>
      </c>
    </row>
    <row r="632" ht="15.75" customHeight="1">
      <c r="F632" s="3" t="str">
        <f>IFERROR(VLOOKUP(A632, Prices!A:B, 2, FALSE), )</f>
        <v/>
      </c>
      <c r="G632" s="3">
        <f>IFERROR(VLOOKUP(A632, Dividends!$A:$B, 2, FALSE),
       IFERROR( (VLOOKUP(A632, Dividends!$A:$C, 3, FALSE) / VLOOKUP(A632, Prices!$A:$B, 2, FALSE)) * 100,
                Inputs!$B$4*100 ))</f>
        <v>65</v>
      </c>
      <c r="H632" s="3">
        <f>IFERROR(SUMIF(Purchases!B:B, A632, Purchases!D:D), 0)</f>
        <v>0</v>
      </c>
      <c r="I632" s="3">
        <f t="shared" si="1"/>
        <v>0</v>
      </c>
      <c r="J632" s="3">
        <f t="shared" si="2"/>
        <v>0</v>
      </c>
      <c r="K632" s="3">
        <f>IF(J632&gt;0,
        J632 * IF(G632&gt;0, G632/100,
            IFERROR( VLOOKUP(A632, Dividends!$A:$C, 3, FALSE) / VLOOKUP(A632, Prices!$A:$B, 2, FALSE), Inputs!$B$4)
        ) / 12,
        0)</f>
        <v>0</v>
      </c>
      <c r="L632" s="3">
        <f t="shared" si="3"/>
        <v>0</v>
      </c>
    </row>
    <row r="633" ht="15.75" customHeight="1">
      <c r="F633" s="3" t="str">
        <f>IFERROR(VLOOKUP(A633, Prices!A:B, 2, FALSE), )</f>
        <v/>
      </c>
      <c r="G633" s="3">
        <f>IFERROR(VLOOKUP(A633, Dividends!$A:$B, 2, FALSE),
       IFERROR( (VLOOKUP(A633, Dividends!$A:$C, 3, FALSE) / VLOOKUP(A633, Prices!$A:$B, 2, FALSE)) * 100,
                Inputs!$B$4*100 ))</f>
        <v>65</v>
      </c>
      <c r="H633" s="3">
        <f>IFERROR(SUMIF(Purchases!B:B, A633, Purchases!D:D), 0)</f>
        <v>0</v>
      </c>
      <c r="I633" s="3">
        <f t="shared" si="1"/>
        <v>0</v>
      </c>
      <c r="J633" s="3">
        <f t="shared" si="2"/>
        <v>0</v>
      </c>
      <c r="K633" s="3">
        <f>IF(J633&gt;0,
        J633 * IF(G633&gt;0, G633/100,
            IFERROR( VLOOKUP(A633, Dividends!$A:$C, 3, FALSE) / VLOOKUP(A633, Prices!$A:$B, 2, FALSE), Inputs!$B$4)
        ) / 12,
        0)</f>
        <v>0</v>
      </c>
      <c r="L633" s="3">
        <f t="shared" si="3"/>
        <v>0</v>
      </c>
    </row>
    <row r="634" ht="15.75" customHeight="1">
      <c r="F634" s="3" t="str">
        <f>IFERROR(VLOOKUP(A634, Prices!A:B, 2, FALSE), )</f>
        <v/>
      </c>
      <c r="G634" s="3">
        <f>IFERROR(VLOOKUP(A634, Dividends!$A:$B, 2, FALSE),
       IFERROR( (VLOOKUP(A634, Dividends!$A:$C, 3, FALSE) / VLOOKUP(A634, Prices!$A:$B, 2, FALSE)) * 100,
                Inputs!$B$4*100 ))</f>
        <v>65</v>
      </c>
      <c r="H634" s="3">
        <f>IFERROR(SUMIF(Purchases!B:B, A634, Purchases!D:D), 0)</f>
        <v>0</v>
      </c>
      <c r="I634" s="3">
        <f t="shared" si="1"/>
        <v>0</v>
      </c>
      <c r="J634" s="3">
        <f t="shared" si="2"/>
        <v>0</v>
      </c>
      <c r="K634" s="3">
        <f>IF(J634&gt;0,
        J634 * IF(G634&gt;0, G634/100,
            IFERROR( VLOOKUP(A634, Dividends!$A:$C, 3, FALSE) / VLOOKUP(A634, Prices!$A:$B, 2, FALSE), Inputs!$B$4)
        ) / 12,
        0)</f>
        <v>0</v>
      </c>
      <c r="L634" s="3">
        <f t="shared" si="3"/>
        <v>0</v>
      </c>
    </row>
    <row r="635" ht="15.75" customHeight="1">
      <c r="F635" s="3" t="str">
        <f>IFERROR(VLOOKUP(A635, Prices!A:B, 2, FALSE), )</f>
        <v/>
      </c>
      <c r="G635" s="3">
        <f>IFERROR(VLOOKUP(A635, Dividends!$A:$B, 2, FALSE),
       IFERROR( (VLOOKUP(A635, Dividends!$A:$C, 3, FALSE) / VLOOKUP(A635, Prices!$A:$B, 2, FALSE)) * 100,
                Inputs!$B$4*100 ))</f>
        <v>65</v>
      </c>
      <c r="H635" s="3">
        <f>IFERROR(SUMIF(Purchases!B:B, A635, Purchases!D:D), 0)</f>
        <v>0</v>
      </c>
      <c r="I635" s="3">
        <f t="shared" si="1"/>
        <v>0</v>
      </c>
      <c r="J635" s="3">
        <f t="shared" si="2"/>
        <v>0</v>
      </c>
      <c r="K635" s="3">
        <f>IF(J635&gt;0,
        J635 * IF(G635&gt;0, G635/100,
            IFERROR( VLOOKUP(A635, Dividends!$A:$C, 3, FALSE) / VLOOKUP(A635, Prices!$A:$B, 2, FALSE), Inputs!$B$4)
        ) / 12,
        0)</f>
        <v>0</v>
      </c>
      <c r="L635" s="3">
        <f t="shared" si="3"/>
        <v>0</v>
      </c>
    </row>
    <row r="636" ht="15.75" customHeight="1">
      <c r="F636" s="3" t="str">
        <f>IFERROR(VLOOKUP(A636, Prices!A:B, 2, FALSE), )</f>
        <v/>
      </c>
      <c r="G636" s="3">
        <f>IFERROR(VLOOKUP(A636, Dividends!$A:$B, 2, FALSE),
       IFERROR( (VLOOKUP(A636, Dividends!$A:$C, 3, FALSE) / VLOOKUP(A636, Prices!$A:$B, 2, FALSE)) * 100,
                Inputs!$B$4*100 ))</f>
        <v>65</v>
      </c>
      <c r="H636" s="3">
        <f>IFERROR(SUMIF(Purchases!B:B, A636, Purchases!D:D), 0)</f>
        <v>0</v>
      </c>
      <c r="I636" s="3">
        <f t="shared" si="1"/>
        <v>0</v>
      </c>
      <c r="J636" s="3">
        <f t="shared" si="2"/>
        <v>0</v>
      </c>
      <c r="K636" s="3">
        <f>IF(J636&gt;0,
        J636 * IF(G636&gt;0, G636/100,
            IFERROR( VLOOKUP(A636, Dividends!$A:$C, 3, FALSE) / VLOOKUP(A636, Prices!$A:$B, 2, FALSE), Inputs!$B$4)
        ) / 12,
        0)</f>
        <v>0</v>
      </c>
      <c r="L636" s="3">
        <f t="shared" si="3"/>
        <v>0</v>
      </c>
    </row>
    <row r="637" ht="15.75" customHeight="1">
      <c r="F637" s="3" t="str">
        <f>IFERROR(VLOOKUP(A637, Prices!A:B, 2, FALSE), )</f>
        <v/>
      </c>
      <c r="G637" s="3">
        <f>IFERROR(VLOOKUP(A637, Dividends!$A:$B, 2, FALSE),
       IFERROR( (VLOOKUP(A637, Dividends!$A:$C, 3, FALSE) / VLOOKUP(A637, Prices!$A:$B, 2, FALSE)) * 100,
                Inputs!$B$4*100 ))</f>
        <v>65</v>
      </c>
      <c r="H637" s="3">
        <f>IFERROR(SUMIF(Purchases!B:B, A637, Purchases!D:D), 0)</f>
        <v>0</v>
      </c>
      <c r="I637" s="3">
        <f t="shared" si="1"/>
        <v>0</v>
      </c>
      <c r="J637" s="3">
        <f t="shared" si="2"/>
        <v>0</v>
      </c>
      <c r="K637" s="3">
        <f>IF(J637&gt;0,
        J637 * IF(G637&gt;0, G637/100,
            IFERROR( VLOOKUP(A637, Dividends!$A:$C, 3, FALSE) / VLOOKUP(A637, Prices!$A:$B, 2, FALSE), Inputs!$B$4)
        ) / 12,
        0)</f>
        <v>0</v>
      </c>
      <c r="L637" s="3">
        <f t="shared" si="3"/>
        <v>0</v>
      </c>
    </row>
    <row r="638" ht="15.75" customHeight="1">
      <c r="F638" s="3" t="str">
        <f>IFERROR(VLOOKUP(A638, Prices!A:B, 2, FALSE), )</f>
        <v/>
      </c>
      <c r="G638" s="3">
        <f>IFERROR(VLOOKUP(A638, Dividends!$A:$B, 2, FALSE),
       IFERROR( (VLOOKUP(A638, Dividends!$A:$C, 3, FALSE) / VLOOKUP(A638, Prices!$A:$B, 2, FALSE)) * 100,
                Inputs!$B$4*100 ))</f>
        <v>65</v>
      </c>
      <c r="H638" s="3">
        <f>IFERROR(SUMIF(Purchases!B:B, A638, Purchases!D:D), 0)</f>
        <v>0</v>
      </c>
      <c r="I638" s="3">
        <f t="shared" si="1"/>
        <v>0</v>
      </c>
      <c r="J638" s="3">
        <f t="shared" si="2"/>
        <v>0</v>
      </c>
      <c r="K638" s="3">
        <f>IF(J638&gt;0,
        J638 * IF(G638&gt;0, G638/100,
            IFERROR( VLOOKUP(A638, Dividends!$A:$C, 3, FALSE) / VLOOKUP(A638, Prices!$A:$B, 2, FALSE), Inputs!$B$4)
        ) / 12,
        0)</f>
        <v>0</v>
      </c>
      <c r="L638" s="3">
        <f t="shared" si="3"/>
        <v>0</v>
      </c>
    </row>
    <row r="639" ht="15.75" customHeight="1">
      <c r="F639" s="3" t="str">
        <f>IFERROR(VLOOKUP(A639, Prices!A:B, 2, FALSE), )</f>
        <v/>
      </c>
      <c r="G639" s="3">
        <f>IFERROR(VLOOKUP(A639, Dividends!$A:$B, 2, FALSE),
       IFERROR( (VLOOKUP(A639, Dividends!$A:$C, 3, FALSE) / VLOOKUP(A639, Prices!$A:$B, 2, FALSE)) * 100,
                Inputs!$B$4*100 ))</f>
        <v>65</v>
      </c>
      <c r="H639" s="3">
        <f>IFERROR(SUMIF(Purchases!B:B, A639, Purchases!D:D), 0)</f>
        <v>0</v>
      </c>
      <c r="I639" s="3">
        <f t="shared" si="1"/>
        <v>0</v>
      </c>
      <c r="J639" s="3">
        <f t="shared" si="2"/>
        <v>0</v>
      </c>
      <c r="K639" s="3">
        <f>IF(J639&gt;0,
        J639 * IF(G639&gt;0, G639/100,
            IFERROR( VLOOKUP(A639, Dividends!$A:$C, 3, FALSE) / VLOOKUP(A639, Prices!$A:$B, 2, FALSE), Inputs!$B$4)
        ) / 12,
        0)</f>
        <v>0</v>
      </c>
      <c r="L639" s="3">
        <f t="shared" si="3"/>
        <v>0</v>
      </c>
    </row>
    <row r="640" ht="15.75" customHeight="1">
      <c r="F640" s="3" t="str">
        <f>IFERROR(VLOOKUP(A640, Prices!A:B, 2, FALSE), )</f>
        <v/>
      </c>
      <c r="G640" s="3">
        <f>IFERROR(VLOOKUP(A640, Dividends!$A:$B, 2, FALSE),
       IFERROR( (VLOOKUP(A640, Dividends!$A:$C, 3, FALSE) / VLOOKUP(A640, Prices!$A:$B, 2, FALSE)) * 100,
                Inputs!$B$4*100 ))</f>
        <v>65</v>
      </c>
      <c r="H640" s="3">
        <f>IFERROR(SUMIF(Purchases!B:B, A640, Purchases!D:D), 0)</f>
        <v>0</v>
      </c>
      <c r="I640" s="3">
        <f t="shared" si="1"/>
        <v>0</v>
      </c>
      <c r="J640" s="3">
        <f t="shared" si="2"/>
        <v>0</v>
      </c>
      <c r="K640" s="3">
        <f>IF(J640&gt;0,
        J640 * IF(G640&gt;0, G640/100,
            IFERROR( VLOOKUP(A640, Dividends!$A:$C, 3, FALSE) / VLOOKUP(A640, Prices!$A:$B, 2, FALSE), Inputs!$B$4)
        ) / 12,
        0)</f>
        <v>0</v>
      </c>
      <c r="L640" s="3">
        <f t="shared" si="3"/>
        <v>0</v>
      </c>
    </row>
    <row r="641" ht="15.75" customHeight="1">
      <c r="F641" s="3" t="str">
        <f>IFERROR(VLOOKUP(A641, Prices!A:B, 2, FALSE), )</f>
        <v/>
      </c>
      <c r="G641" s="3">
        <f>IFERROR(VLOOKUP(A641, Dividends!$A:$B, 2, FALSE),
       IFERROR( (VLOOKUP(A641, Dividends!$A:$C, 3, FALSE) / VLOOKUP(A641, Prices!$A:$B, 2, FALSE)) * 100,
                Inputs!$B$4*100 ))</f>
        <v>65</v>
      </c>
      <c r="H641" s="3">
        <f>IFERROR(SUMIF(Purchases!B:B, A641, Purchases!D:D), 0)</f>
        <v>0</v>
      </c>
      <c r="I641" s="3">
        <f t="shared" si="1"/>
        <v>0</v>
      </c>
      <c r="J641" s="3">
        <f t="shared" si="2"/>
        <v>0</v>
      </c>
      <c r="K641" s="3">
        <f>IF(J641&gt;0,
        J641 * IF(G641&gt;0, G641/100,
            IFERROR( VLOOKUP(A641, Dividends!$A:$C, 3, FALSE) / VLOOKUP(A641, Prices!$A:$B, 2, FALSE), Inputs!$B$4)
        ) / 12,
        0)</f>
        <v>0</v>
      </c>
      <c r="L641" s="3">
        <f t="shared" si="3"/>
        <v>0</v>
      </c>
    </row>
    <row r="642" ht="15.75" customHeight="1">
      <c r="F642" s="3" t="str">
        <f>IFERROR(VLOOKUP(A642, Prices!A:B, 2, FALSE), )</f>
        <v/>
      </c>
      <c r="G642" s="3">
        <f>IFERROR(VLOOKUP(A642, Dividends!$A:$B, 2, FALSE),
       IFERROR( (VLOOKUP(A642, Dividends!$A:$C, 3, FALSE) / VLOOKUP(A642, Prices!$A:$B, 2, FALSE)) * 100,
                Inputs!$B$4*100 ))</f>
        <v>65</v>
      </c>
      <c r="H642" s="3">
        <f>IFERROR(SUMIF(Purchases!B:B, A642, Purchases!D:D), 0)</f>
        <v>0</v>
      </c>
      <c r="I642" s="3">
        <f t="shared" si="1"/>
        <v>0</v>
      </c>
      <c r="J642" s="3">
        <f t="shared" si="2"/>
        <v>0</v>
      </c>
      <c r="K642" s="3">
        <f>IF(J642&gt;0,
        J642 * IF(G642&gt;0, G642/100,
            IFERROR( VLOOKUP(A642, Dividends!$A:$C, 3, FALSE) / VLOOKUP(A642, Prices!$A:$B, 2, FALSE), Inputs!$B$4)
        ) / 12,
        0)</f>
        <v>0</v>
      </c>
      <c r="L642" s="3">
        <f t="shared" si="3"/>
        <v>0</v>
      </c>
    </row>
    <row r="643" ht="15.75" customHeight="1">
      <c r="F643" s="3" t="str">
        <f>IFERROR(VLOOKUP(A643, Prices!A:B, 2, FALSE), )</f>
        <v/>
      </c>
      <c r="G643" s="3">
        <f>IFERROR(VLOOKUP(A643, Dividends!$A:$B, 2, FALSE),
       IFERROR( (VLOOKUP(A643, Dividends!$A:$C, 3, FALSE) / VLOOKUP(A643, Prices!$A:$B, 2, FALSE)) * 100,
                Inputs!$B$4*100 ))</f>
        <v>65</v>
      </c>
      <c r="H643" s="3">
        <f>IFERROR(SUMIF(Purchases!B:B, A643, Purchases!D:D), 0)</f>
        <v>0</v>
      </c>
      <c r="I643" s="3">
        <f t="shared" si="1"/>
        <v>0</v>
      </c>
      <c r="J643" s="3">
        <f t="shared" si="2"/>
        <v>0</v>
      </c>
      <c r="K643" s="3">
        <f>IF(J643&gt;0,
        J643 * IF(G643&gt;0, G643/100,
            IFERROR( VLOOKUP(A643, Dividends!$A:$C, 3, FALSE) / VLOOKUP(A643, Prices!$A:$B, 2, FALSE), Inputs!$B$4)
        ) / 12,
        0)</f>
        <v>0</v>
      </c>
      <c r="L643" s="3">
        <f t="shared" si="3"/>
        <v>0</v>
      </c>
    </row>
    <row r="644" ht="15.75" customHeight="1">
      <c r="F644" s="3" t="str">
        <f>IFERROR(VLOOKUP(A644, Prices!A:B, 2, FALSE), )</f>
        <v/>
      </c>
      <c r="G644" s="3">
        <f>IFERROR(VLOOKUP(A644, Dividends!$A:$B, 2, FALSE),
       IFERROR( (VLOOKUP(A644, Dividends!$A:$C, 3, FALSE) / VLOOKUP(A644, Prices!$A:$B, 2, FALSE)) * 100,
                Inputs!$B$4*100 ))</f>
        <v>65</v>
      </c>
      <c r="H644" s="3">
        <f>IFERROR(SUMIF(Purchases!B:B, A644, Purchases!D:D), 0)</f>
        <v>0</v>
      </c>
      <c r="I644" s="3">
        <f t="shared" si="1"/>
        <v>0</v>
      </c>
      <c r="J644" s="3">
        <f t="shared" si="2"/>
        <v>0</v>
      </c>
      <c r="K644" s="3">
        <f>IF(J644&gt;0,
        J644 * IF(G644&gt;0, G644/100,
            IFERROR( VLOOKUP(A644, Dividends!$A:$C, 3, FALSE) / VLOOKUP(A644, Prices!$A:$B, 2, FALSE), Inputs!$B$4)
        ) / 12,
        0)</f>
        <v>0</v>
      </c>
      <c r="L644" s="3">
        <f t="shared" si="3"/>
        <v>0</v>
      </c>
    </row>
    <row r="645" ht="15.75" customHeight="1">
      <c r="F645" s="3" t="str">
        <f>IFERROR(VLOOKUP(A645, Prices!A:B, 2, FALSE), )</f>
        <v/>
      </c>
      <c r="G645" s="3">
        <f>IFERROR(VLOOKUP(A645, Dividends!$A:$B, 2, FALSE),
       IFERROR( (VLOOKUP(A645, Dividends!$A:$C, 3, FALSE) / VLOOKUP(A645, Prices!$A:$B, 2, FALSE)) * 100,
                Inputs!$B$4*100 ))</f>
        <v>65</v>
      </c>
      <c r="H645" s="3">
        <f>IFERROR(SUMIF(Purchases!B:B, A645, Purchases!D:D), 0)</f>
        <v>0</v>
      </c>
      <c r="I645" s="3">
        <f t="shared" si="1"/>
        <v>0</v>
      </c>
      <c r="J645" s="3">
        <f t="shared" si="2"/>
        <v>0</v>
      </c>
      <c r="K645" s="3">
        <f>IF(J645&gt;0,
        J645 * IF(G645&gt;0, G645/100,
            IFERROR( VLOOKUP(A645, Dividends!$A:$C, 3, FALSE) / VLOOKUP(A645, Prices!$A:$B, 2, FALSE), Inputs!$B$4)
        ) / 12,
        0)</f>
        <v>0</v>
      </c>
      <c r="L645" s="3">
        <f t="shared" si="3"/>
        <v>0</v>
      </c>
    </row>
    <row r="646" ht="15.75" customHeight="1">
      <c r="F646" s="3" t="str">
        <f>IFERROR(VLOOKUP(A646, Prices!A:B, 2, FALSE), )</f>
        <v/>
      </c>
      <c r="G646" s="3">
        <f>IFERROR(VLOOKUP(A646, Dividends!$A:$B, 2, FALSE),
       IFERROR( (VLOOKUP(A646, Dividends!$A:$C, 3, FALSE) / VLOOKUP(A646, Prices!$A:$B, 2, FALSE)) * 100,
                Inputs!$B$4*100 ))</f>
        <v>65</v>
      </c>
      <c r="H646" s="3">
        <f>IFERROR(SUMIF(Purchases!B:B, A646, Purchases!D:D), 0)</f>
        <v>0</v>
      </c>
      <c r="I646" s="3">
        <f t="shared" si="1"/>
        <v>0</v>
      </c>
      <c r="J646" s="3">
        <f t="shared" si="2"/>
        <v>0</v>
      </c>
      <c r="K646" s="3">
        <f>IF(J646&gt;0,
        J646 * IF(G646&gt;0, G646/100,
            IFERROR( VLOOKUP(A646, Dividends!$A:$C, 3, FALSE) / VLOOKUP(A646, Prices!$A:$B, 2, FALSE), Inputs!$B$4)
        ) / 12,
        0)</f>
        <v>0</v>
      </c>
      <c r="L646" s="3">
        <f t="shared" si="3"/>
        <v>0</v>
      </c>
    </row>
    <row r="647" ht="15.75" customHeight="1">
      <c r="F647" s="3" t="str">
        <f>IFERROR(VLOOKUP(A647, Prices!A:B, 2, FALSE), )</f>
        <v/>
      </c>
      <c r="G647" s="3">
        <f>IFERROR(VLOOKUP(A647, Dividends!$A:$B, 2, FALSE),
       IFERROR( (VLOOKUP(A647, Dividends!$A:$C, 3, FALSE) / VLOOKUP(A647, Prices!$A:$B, 2, FALSE)) * 100,
                Inputs!$B$4*100 ))</f>
        <v>65</v>
      </c>
      <c r="H647" s="3">
        <f>IFERROR(SUMIF(Purchases!B:B, A647, Purchases!D:D), 0)</f>
        <v>0</v>
      </c>
      <c r="I647" s="3">
        <f t="shared" si="1"/>
        <v>0</v>
      </c>
      <c r="J647" s="3">
        <f t="shared" si="2"/>
        <v>0</v>
      </c>
      <c r="K647" s="3">
        <f>IF(J647&gt;0,
        J647 * IF(G647&gt;0, G647/100,
            IFERROR( VLOOKUP(A647, Dividends!$A:$C, 3, FALSE) / VLOOKUP(A647, Prices!$A:$B, 2, FALSE), Inputs!$B$4)
        ) / 12,
        0)</f>
        <v>0</v>
      </c>
      <c r="L647" s="3">
        <f t="shared" si="3"/>
        <v>0</v>
      </c>
    </row>
    <row r="648" ht="15.75" customHeight="1">
      <c r="F648" s="3" t="str">
        <f>IFERROR(VLOOKUP(A648, Prices!A:B, 2, FALSE), )</f>
        <v/>
      </c>
      <c r="G648" s="3">
        <f>IFERROR(VLOOKUP(A648, Dividends!$A:$B, 2, FALSE),
       IFERROR( (VLOOKUP(A648, Dividends!$A:$C, 3, FALSE) / VLOOKUP(A648, Prices!$A:$B, 2, FALSE)) * 100,
                Inputs!$B$4*100 ))</f>
        <v>65</v>
      </c>
      <c r="H648" s="3">
        <f>IFERROR(SUMIF(Purchases!B:B, A648, Purchases!D:D), 0)</f>
        <v>0</v>
      </c>
      <c r="I648" s="3">
        <f t="shared" si="1"/>
        <v>0</v>
      </c>
      <c r="J648" s="3">
        <f t="shared" si="2"/>
        <v>0</v>
      </c>
      <c r="K648" s="3">
        <f>IF(J648&gt;0,
        J648 * IF(G648&gt;0, G648/100,
            IFERROR( VLOOKUP(A648, Dividends!$A:$C, 3, FALSE) / VLOOKUP(A648, Prices!$A:$B, 2, FALSE), Inputs!$B$4)
        ) / 12,
        0)</f>
        <v>0</v>
      </c>
      <c r="L648" s="3">
        <f t="shared" si="3"/>
        <v>0</v>
      </c>
    </row>
    <row r="649" ht="15.75" customHeight="1">
      <c r="F649" s="3" t="str">
        <f>IFERROR(VLOOKUP(A649, Prices!A:B, 2, FALSE), )</f>
        <v/>
      </c>
      <c r="G649" s="3">
        <f>IFERROR(VLOOKUP(A649, Dividends!$A:$B, 2, FALSE),
       IFERROR( (VLOOKUP(A649, Dividends!$A:$C, 3, FALSE) / VLOOKUP(A649, Prices!$A:$B, 2, FALSE)) * 100,
                Inputs!$B$4*100 ))</f>
        <v>65</v>
      </c>
      <c r="H649" s="3">
        <f>IFERROR(SUMIF(Purchases!B:B, A649, Purchases!D:D), 0)</f>
        <v>0</v>
      </c>
      <c r="I649" s="3">
        <f t="shared" si="1"/>
        <v>0</v>
      </c>
      <c r="J649" s="3">
        <f t="shared" si="2"/>
        <v>0</v>
      </c>
      <c r="K649" s="3">
        <f>IF(J649&gt;0,
        J649 * IF(G649&gt;0, G649/100,
            IFERROR( VLOOKUP(A649, Dividends!$A:$C, 3, FALSE) / VLOOKUP(A649, Prices!$A:$B, 2, FALSE), Inputs!$B$4)
        ) / 12,
        0)</f>
        <v>0</v>
      </c>
      <c r="L649" s="3">
        <f t="shared" si="3"/>
        <v>0</v>
      </c>
    </row>
    <row r="650" ht="15.75" customHeight="1">
      <c r="F650" s="3" t="str">
        <f>IFERROR(VLOOKUP(A650, Prices!A:B, 2, FALSE), )</f>
        <v/>
      </c>
      <c r="G650" s="3">
        <f>IFERROR(VLOOKUP(A650, Dividends!$A:$B, 2, FALSE),
       IFERROR( (VLOOKUP(A650, Dividends!$A:$C, 3, FALSE) / VLOOKUP(A650, Prices!$A:$B, 2, FALSE)) * 100,
                Inputs!$B$4*100 ))</f>
        <v>65</v>
      </c>
      <c r="H650" s="3">
        <f>IFERROR(SUMIF(Purchases!B:B, A650, Purchases!D:D), 0)</f>
        <v>0</v>
      </c>
      <c r="I650" s="3">
        <f t="shared" si="1"/>
        <v>0</v>
      </c>
      <c r="J650" s="3">
        <f t="shared" si="2"/>
        <v>0</v>
      </c>
      <c r="K650" s="3">
        <f>IF(J650&gt;0,
        J650 * IF(G650&gt;0, G650/100,
            IFERROR( VLOOKUP(A650, Dividends!$A:$C, 3, FALSE) / VLOOKUP(A650, Prices!$A:$B, 2, FALSE), Inputs!$B$4)
        ) / 12,
        0)</f>
        <v>0</v>
      </c>
      <c r="L650" s="3">
        <f t="shared" si="3"/>
        <v>0</v>
      </c>
    </row>
    <row r="651" ht="15.75" customHeight="1">
      <c r="F651" s="3" t="str">
        <f>IFERROR(VLOOKUP(A651, Prices!A:B, 2, FALSE), )</f>
        <v/>
      </c>
      <c r="G651" s="3">
        <f>IFERROR(VLOOKUP(A651, Dividends!$A:$B, 2, FALSE),
       IFERROR( (VLOOKUP(A651, Dividends!$A:$C, 3, FALSE) / VLOOKUP(A651, Prices!$A:$B, 2, FALSE)) * 100,
                Inputs!$B$4*100 ))</f>
        <v>65</v>
      </c>
      <c r="H651" s="3">
        <f>IFERROR(SUMIF(Purchases!B:B, A651, Purchases!D:D), 0)</f>
        <v>0</v>
      </c>
      <c r="I651" s="3">
        <f t="shared" si="1"/>
        <v>0</v>
      </c>
      <c r="J651" s="3">
        <f t="shared" si="2"/>
        <v>0</v>
      </c>
      <c r="K651" s="3">
        <f>IF(J651&gt;0,
        J651 * IF(G651&gt;0, G651/100,
            IFERROR( VLOOKUP(A651, Dividends!$A:$C, 3, FALSE) / VLOOKUP(A651, Prices!$A:$B, 2, FALSE), Inputs!$B$4)
        ) / 12,
        0)</f>
        <v>0</v>
      </c>
      <c r="L651" s="3">
        <f t="shared" si="3"/>
        <v>0</v>
      </c>
    </row>
    <row r="652" ht="15.75" customHeight="1">
      <c r="F652" s="3" t="str">
        <f>IFERROR(VLOOKUP(A652, Prices!A:B, 2, FALSE), )</f>
        <v/>
      </c>
      <c r="G652" s="3">
        <f>IFERROR(VLOOKUP(A652, Dividends!$A:$B, 2, FALSE),
       IFERROR( (VLOOKUP(A652, Dividends!$A:$C, 3, FALSE) / VLOOKUP(A652, Prices!$A:$B, 2, FALSE)) * 100,
                Inputs!$B$4*100 ))</f>
        <v>65</v>
      </c>
      <c r="H652" s="3">
        <f>IFERROR(SUMIF(Purchases!B:B, A652, Purchases!D:D), 0)</f>
        <v>0</v>
      </c>
      <c r="I652" s="3">
        <f t="shared" si="1"/>
        <v>0</v>
      </c>
      <c r="J652" s="3">
        <f t="shared" si="2"/>
        <v>0</v>
      </c>
      <c r="K652" s="3">
        <f>IF(J652&gt;0,
        J652 * IF(G652&gt;0, G652/100,
            IFERROR( VLOOKUP(A652, Dividends!$A:$C, 3, FALSE) / VLOOKUP(A652, Prices!$A:$B, 2, FALSE), Inputs!$B$4)
        ) / 12,
        0)</f>
        <v>0</v>
      </c>
      <c r="L652" s="3">
        <f t="shared" si="3"/>
        <v>0</v>
      </c>
    </row>
    <row r="653" ht="15.75" customHeight="1">
      <c r="F653" s="3" t="str">
        <f>IFERROR(VLOOKUP(A653, Prices!A:B, 2, FALSE), )</f>
        <v/>
      </c>
      <c r="G653" s="3">
        <f>IFERROR(VLOOKUP(A653, Dividends!$A:$B, 2, FALSE),
       IFERROR( (VLOOKUP(A653, Dividends!$A:$C, 3, FALSE) / VLOOKUP(A653, Prices!$A:$B, 2, FALSE)) * 100,
                Inputs!$B$4*100 ))</f>
        <v>65</v>
      </c>
      <c r="H653" s="3">
        <f>IFERROR(SUMIF(Purchases!B:B, A653, Purchases!D:D), 0)</f>
        <v>0</v>
      </c>
      <c r="I653" s="3">
        <f t="shared" si="1"/>
        <v>0</v>
      </c>
      <c r="J653" s="3">
        <f t="shared" si="2"/>
        <v>0</v>
      </c>
      <c r="K653" s="3">
        <f>IF(J653&gt;0,
        J653 * IF(G653&gt;0, G653/100,
            IFERROR( VLOOKUP(A653, Dividends!$A:$C, 3, FALSE) / VLOOKUP(A653, Prices!$A:$B, 2, FALSE), Inputs!$B$4)
        ) / 12,
        0)</f>
        <v>0</v>
      </c>
      <c r="L653" s="3">
        <f t="shared" si="3"/>
        <v>0</v>
      </c>
    </row>
    <row r="654" ht="15.75" customHeight="1">
      <c r="F654" s="3" t="str">
        <f>IFERROR(VLOOKUP(A654, Prices!A:B, 2, FALSE), )</f>
        <v/>
      </c>
      <c r="G654" s="3">
        <f>IFERROR(VLOOKUP(A654, Dividends!$A:$B, 2, FALSE),
       IFERROR( (VLOOKUP(A654, Dividends!$A:$C, 3, FALSE) / VLOOKUP(A654, Prices!$A:$B, 2, FALSE)) * 100,
                Inputs!$B$4*100 ))</f>
        <v>65</v>
      </c>
      <c r="H654" s="3">
        <f>IFERROR(SUMIF(Purchases!B:B, A654, Purchases!D:D), 0)</f>
        <v>0</v>
      </c>
      <c r="I654" s="3">
        <f t="shared" si="1"/>
        <v>0</v>
      </c>
      <c r="J654" s="3">
        <f t="shared" si="2"/>
        <v>0</v>
      </c>
      <c r="K654" s="3">
        <f>IF(J654&gt;0,
        J654 * IF(G654&gt;0, G654/100,
            IFERROR( VLOOKUP(A654, Dividends!$A:$C, 3, FALSE) / VLOOKUP(A654, Prices!$A:$B, 2, FALSE), Inputs!$B$4)
        ) / 12,
        0)</f>
        <v>0</v>
      </c>
      <c r="L654" s="3">
        <f t="shared" si="3"/>
        <v>0</v>
      </c>
    </row>
    <row r="655" ht="15.75" customHeight="1">
      <c r="F655" s="3" t="str">
        <f>IFERROR(VLOOKUP(A655, Prices!A:B, 2, FALSE), )</f>
        <v/>
      </c>
      <c r="G655" s="3">
        <f>IFERROR(VLOOKUP(A655, Dividends!$A:$B, 2, FALSE),
       IFERROR( (VLOOKUP(A655, Dividends!$A:$C, 3, FALSE) / VLOOKUP(A655, Prices!$A:$B, 2, FALSE)) * 100,
                Inputs!$B$4*100 ))</f>
        <v>65</v>
      </c>
      <c r="H655" s="3">
        <f>IFERROR(SUMIF(Purchases!B:B, A655, Purchases!D:D), 0)</f>
        <v>0</v>
      </c>
      <c r="I655" s="3">
        <f t="shared" si="1"/>
        <v>0</v>
      </c>
      <c r="J655" s="3">
        <f t="shared" si="2"/>
        <v>0</v>
      </c>
      <c r="K655" s="3">
        <f>IF(J655&gt;0,
        J655 * IF(G655&gt;0, G655/100,
            IFERROR( VLOOKUP(A655, Dividends!$A:$C, 3, FALSE) / VLOOKUP(A655, Prices!$A:$B, 2, FALSE), Inputs!$B$4)
        ) / 12,
        0)</f>
        <v>0</v>
      </c>
      <c r="L655" s="3">
        <f t="shared" si="3"/>
        <v>0</v>
      </c>
    </row>
    <row r="656" ht="15.75" customHeight="1">
      <c r="F656" s="3" t="str">
        <f>IFERROR(VLOOKUP(A656, Prices!A:B, 2, FALSE), )</f>
        <v/>
      </c>
      <c r="G656" s="3">
        <f>IFERROR(VLOOKUP(A656, Dividends!$A:$B, 2, FALSE),
       IFERROR( (VLOOKUP(A656, Dividends!$A:$C, 3, FALSE) / VLOOKUP(A656, Prices!$A:$B, 2, FALSE)) * 100,
                Inputs!$B$4*100 ))</f>
        <v>65</v>
      </c>
      <c r="H656" s="3">
        <f>IFERROR(SUMIF(Purchases!B:B, A656, Purchases!D:D), 0)</f>
        <v>0</v>
      </c>
      <c r="I656" s="3">
        <f t="shared" si="1"/>
        <v>0</v>
      </c>
      <c r="J656" s="3">
        <f t="shared" si="2"/>
        <v>0</v>
      </c>
      <c r="K656" s="3">
        <f>IF(J656&gt;0,
        J656 * IF(G656&gt;0, G656/100,
            IFERROR( VLOOKUP(A656, Dividends!$A:$C, 3, FALSE) / VLOOKUP(A656, Prices!$A:$B, 2, FALSE), Inputs!$B$4)
        ) / 12,
        0)</f>
        <v>0</v>
      </c>
      <c r="L656" s="3">
        <f t="shared" si="3"/>
        <v>0</v>
      </c>
    </row>
    <row r="657" ht="15.75" customHeight="1">
      <c r="F657" s="3" t="str">
        <f>IFERROR(VLOOKUP(A657, Prices!A:B, 2, FALSE), )</f>
        <v/>
      </c>
      <c r="G657" s="3">
        <f>IFERROR(VLOOKUP(A657, Dividends!$A:$B, 2, FALSE),
       IFERROR( (VLOOKUP(A657, Dividends!$A:$C, 3, FALSE) / VLOOKUP(A657, Prices!$A:$B, 2, FALSE)) * 100,
                Inputs!$B$4*100 ))</f>
        <v>65</v>
      </c>
      <c r="H657" s="3">
        <f>IFERROR(SUMIF(Purchases!B:B, A657, Purchases!D:D), 0)</f>
        <v>0</v>
      </c>
      <c r="I657" s="3">
        <f t="shared" si="1"/>
        <v>0</v>
      </c>
      <c r="J657" s="3">
        <f t="shared" si="2"/>
        <v>0</v>
      </c>
      <c r="K657" s="3">
        <f>IF(J657&gt;0,
        J657 * IF(G657&gt;0, G657/100,
            IFERROR( VLOOKUP(A657, Dividends!$A:$C, 3, FALSE) / VLOOKUP(A657, Prices!$A:$B, 2, FALSE), Inputs!$B$4)
        ) / 12,
        0)</f>
        <v>0</v>
      </c>
      <c r="L657" s="3">
        <f t="shared" si="3"/>
        <v>0</v>
      </c>
    </row>
    <row r="658" ht="15.75" customHeight="1">
      <c r="F658" s="3" t="str">
        <f>IFERROR(VLOOKUP(A658, Prices!A:B, 2, FALSE), )</f>
        <v/>
      </c>
      <c r="G658" s="3">
        <f>IFERROR(VLOOKUP(A658, Dividends!$A:$B, 2, FALSE),
       IFERROR( (VLOOKUP(A658, Dividends!$A:$C, 3, FALSE) / VLOOKUP(A658, Prices!$A:$B, 2, FALSE)) * 100,
                Inputs!$B$4*100 ))</f>
        <v>65</v>
      </c>
      <c r="H658" s="3">
        <f>IFERROR(SUMIF(Purchases!B:B, A658, Purchases!D:D), 0)</f>
        <v>0</v>
      </c>
      <c r="I658" s="3">
        <f t="shared" si="1"/>
        <v>0</v>
      </c>
      <c r="J658" s="3">
        <f t="shared" si="2"/>
        <v>0</v>
      </c>
      <c r="K658" s="3">
        <f>IF(J658&gt;0,
        J658 * IF(G658&gt;0, G658/100,
            IFERROR( VLOOKUP(A658, Dividends!$A:$C, 3, FALSE) / VLOOKUP(A658, Prices!$A:$B, 2, FALSE), Inputs!$B$4)
        ) / 12,
        0)</f>
        <v>0</v>
      </c>
      <c r="L658" s="3">
        <f t="shared" si="3"/>
        <v>0</v>
      </c>
    </row>
    <row r="659" ht="15.75" customHeight="1">
      <c r="F659" s="3" t="str">
        <f>IFERROR(VLOOKUP(A659, Prices!A:B, 2, FALSE), )</f>
        <v/>
      </c>
      <c r="G659" s="3">
        <f>IFERROR(VLOOKUP(A659, Dividends!$A:$B, 2, FALSE),
       IFERROR( (VLOOKUP(A659, Dividends!$A:$C, 3, FALSE) / VLOOKUP(A659, Prices!$A:$B, 2, FALSE)) * 100,
                Inputs!$B$4*100 ))</f>
        <v>65</v>
      </c>
      <c r="H659" s="3">
        <f>IFERROR(SUMIF(Purchases!B:B, A659, Purchases!D:D), 0)</f>
        <v>0</v>
      </c>
      <c r="I659" s="3">
        <f t="shared" si="1"/>
        <v>0</v>
      </c>
      <c r="J659" s="3">
        <f t="shared" si="2"/>
        <v>0</v>
      </c>
      <c r="K659" s="3">
        <f>IF(J659&gt;0,
        J659 * IF(G659&gt;0, G659/100,
            IFERROR( VLOOKUP(A659, Dividends!$A:$C, 3, FALSE) / VLOOKUP(A659, Prices!$A:$B, 2, FALSE), Inputs!$B$4)
        ) / 12,
        0)</f>
        <v>0</v>
      </c>
      <c r="L659" s="3">
        <f t="shared" si="3"/>
        <v>0</v>
      </c>
    </row>
    <row r="660" ht="15.75" customHeight="1">
      <c r="F660" s="3" t="str">
        <f>IFERROR(VLOOKUP(A660, Prices!A:B, 2, FALSE), )</f>
        <v/>
      </c>
      <c r="G660" s="3">
        <f>IFERROR(VLOOKUP(A660, Dividends!$A:$B, 2, FALSE),
       IFERROR( (VLOOKUP(A660, Dividends!$A:$C, 3, FALSE) / VLOOKUP(A660, Prices!$A:$B, 2, FALSE)) * 100,
                Inputs!$B$4*100 ))</f>
        <v>65</v>
      </c>
      <c r="H660" s="3">
        <f>IFERROR(SUMIF(Purchases!B:B, A660, Purchases!D:D), 0)</f>
        <v>0</v>
      </c>
      <c r="I660" s="3">
        <f t="shared" si="1"/>
        <v>0</v>
      </c>
      <c r="J660" s="3">
        <f t="shared" si="2"/>
        <v>0</v>
      </c>
      <c r="K660" s="3">
        <f>IF(J660&gt;0,
        J660 * IF(G660&gt;0, G660/100,
            IFERROR( VLOOKUP(A660, Dividends!$A:$C, 3, FALSE) / VLOOKUP(A660, Prices!$A:$B, 2, FALSE), Inputs!$B$4)
        ) / 12,
        0)</f>
        <v>0</v>
      </c>
      <c r="L660" s="3">
        <f t="shared" si="3"/>
        <v>0</v>
      </c>
    </row>
    <row r="661" ht="15.75" customHeight="1">
      <c r="F661" s="3" t="str">
        <f>IFERROR(VLOOKUP(A661, Prices!A:B, 2, FALSE), )</f>
        <v/>
      </c>
      <c r="G661" s="3">
        <f>IFERROR(VLOOKUP(A661, Dividends!$A:$B, 2, FALSE),
       IFERROR( (VLOOKUP(A661, Dividends!$A:$C, 3, FALSE) / VLOOKUP(A661, Prices!$A:$B, 2, FALSE)) * 100,
                Inputs!$B$4*100 ))</f>
        <v>65</v>
      </c>
      <c r="H661" s="3">
        <f>IFERROR(SUMIF(Purchases!B:B, A661, Purchases!D:D), 0)</f>
        <v>0</v>
      </c>
      <c r="I661" s="3">
        <f t="shared" si="1"/>
        <v>0</v>
      </c>
      <c r="J661" s="3">
        <f t="shared" si="2"/>
        <v>0</v>
      </c>
      <c r="K661" s="3">
        <f>IF(J661&gt;0,
        J661 * IF(G661&gt;0, G661/100,
            IFERROR( VLOOKUP(A661, Dividends!$A:$C, 3, FALSE) / VLOOKUP(A661, Prices!$A:$B, 2, FALSE), Inputs!$B$4)
        ) / 12,
        0)</f>
        <v>0</v>
      </c>
      <c r="L661" s="3">
        <f t="shared" si="3"/>
        <v>0</v>
      </c>
    </row>
    <row r="662" ht="15.75" customHeight="1">
      <c r="F662" s="3" t="str">
        <f>IFERROR(VLOOKUP(A662, Prices!A:B, 2, FALSE), )</f>
        <v/>
      </c>
      <c r="G662" s="3">
        <f>IFERROR(VLOOKUP(A662, Dividends!$A:$B, 2, FALSE),
       IFERROR( (VLOOKUP(A662, Dividends!$A:$C, 3, FALSE) / VLOOKUP(A662, Prices!$A:$B, 2, FALSE)) * 100,
                Inputs!$B$4*100 ))</f>
        <v>65</v>
      </c>
      <c r="H662" s="3">
        <f>IFERROR(SUMIF(Purchases!B:B, A662, Purchases!D:D), 0)</f>
        <v>0</v>
      </c>
      <c r="I662" s="3">
        <f t="shared" si="1"/>
        <v>0</v>
      </c>
      <c r="J662" s="3">
        <f t="shared" si="2"/>
        <v>0</v>
      </c>
      <c r="K662" s="3">
        <f>IF(J662&gt;0,
        J662 * IF(G662&gt;0, G662/100,
            IFERROR( VLOOKUP(A662, Dividends!$A:$C, 3, FALSE) / VLOOKUP(A662, Prices!$A:$B, 2, FALSE), Inputs!$B$4)
        ) / 12,
        0)</f>
        <v>0</v>
      </c>
      <c r="L662" s="3">
        <f t="shared" si="3"/>
        <v>0</v>
      </c>
    </row>
    <row r="663" ht="15.75" customHeight="1">
      <c r="F663" s="3" t="str">
        <f>IFERROR(VLOOKUP(A663, Prices!A:B, 2, FALSE), )</f>
        <v/>
      </c>
      <c r="G663" s="3">
        <f>IFERROR(VLOOKUP(A663, Dividends!$A:$B, 2, FALSE),
       IFERROR( (VLOOKUP(A663, Dividends!$A:$C, 3, FALSE) / VLOOKUP(A663, Prices!$A:$B, 2, FALSE)) * 100,
                Inputs!$B$4*100 ))</f>
        <v>65</v>
      </c>
      <c r="H663" s="3">
        <f>IFERROR(SUMIF(Purchases!B:B, A663, Purchases!D:D), 0)</f>
        <v>0</v>
      </c>
      <c r="I663" s="3">
        <f t="shared" si="1"/>
        <v>0</v>
      </c>
      <c r="J663" s="3">
        <f t="shared" si="2"/>
        <v>0</v>
      </c>
      <c r="K663" s="3">
        <f>IF(J663&gt;0,
        J663 * IF(G663&gt;0, G663/100,
            IFERROR( VLOOKUP(A663, Dividends!$A:$C, 3, FALSE) / VLOOKUP(A663, Prices!$A:$B, 2, FALSE), Inputs!$B$4)
        ) / 12,
        0)</f>
        <v>0</v>
      </c>
      <c r="L663" s="3">
        <f t="shared" si="3"/>
        <v>0</v>
      </c>
    </row>
    <row r="664" ht="15.75" customHeight="1">
      <c r="F664" s="3" t="str">
        <f>IFERROR(VLOOKUP(A664, Prices!A:B, 2, FALSE), )</f>
        <v/>
      </c>
      <c r="G664" s="3">
        <f>IFERROR(VLOOKUP(A664, Dividends!$A:$B, 2, FALSE),
       IFERROR( (VLOOKUP(A664, Dividends!$A:$C, 3, FALSE) / VLOOKUP(A664, Prices!$A:$B, 2, FALSE)) * 100,
                Inputs!$B$4*100 ))</f>
        <v>65</v>
      </c>
      <c r="H664" s="3">
        <f>IFERROR(SUMIF(Purchases!B:B, A664, Purchases!D:D), 0)</f>
        <v>0</v>
      </c>
      <c r="I664" s="3">
        <f t="shared" si="1"/>
        <v>0</v>
      </c>
      <c r="J664" s="3">
        <f t="shared" si="2"/>
        <v>0</v>
      </c>
      <c r="K664" s="3">
        <f>IF(J664&gt;0,
        J664 * IF(G664&gt;0, G664/100,
            IFERROR( VLOOKUP(A664, Dividends!$A:$C, 3, FALSE) / VLOOKUP(A664, Prices!$A:$B, 2, FALSE), Inputs!$B$4)
        ) / 12,
        0)</f>
        <v>0</v>
      </c>
      <c r="L664" s="3">
        <f t="shared" si="3"/>
        <v>0</v>
      </c>
    </row>
    <row r="665" ht="15.75" customHeight="1">
      <c r="F665" s="3" t="str">
        <f>IFERROR(VLOOKUP(A665, Prices!A:B, 2, FALSE), )</f>
        <v/>
      </c>
      <c r="G665" s="3">
        <f>IFERROR(VLOOKUP(A665, Dividends!$A:$B, 2, FALSE),
       IFERROR( (VLOOKUP(A665, Dividends!$A:$C, 3, FALSE) / VLOOKUP(A665, Prices!$A:$B, 2, FALSE)) * 100,
                Inputs!$B$4*100 ))</f>
        <v>65</v>
      </c>
      <c r="H665" s="3">
        <f>IFERROR(SUMIF(Purchases!B:B, A665, Purchases!D:D), 0)</f>
        <v>0</v>
      </c>
      <c r="I665" s="3">
        <f t="shared" si="1"/>
        <v>0</v>
      </c>
      <c r="J665" s="3">
        <f t="shared" si="2"/>
        <v>0</v>
      </c>
      <c r="K665" s="3">
        <f>IF(J665&gt;0,
        J665 * IF(G665&gt;0, G665/100,
            IFERROR( VLOOKUP(A665, Dividends!$A:$C, 3, FALSE) / VLOOKUP(A665, Prices!$A:$B, 2, FALSE), Inputs!$B$4)
        ) / 12,
        0)</f>
        <v>0</v>
      </c>
      <c r="L665" s="3">
        <f t="shared" si="3"/>
        <v>0</v>
      </c>
    </row>
    <row r="666" ht="15.75" customHeight="1">
      <c r="F666" s="3" t="str">
        <f>IFERROR(VLOOKUP(A666, Prices!A:B, 2, FALSE), )</f>
        <v/>
      </c>
      <c r="G666" s="3">
        <f>IFERROR(VLOOKUP(A666, Dividends!$A:$B, 2, FALSE),
       IFERROR( (VLOOKUP(A666, Dividends!$A:$C, 3, FALSE) / VLOOKUP(A666, Prices!$A:$B, 2, FALSE)) * 100,
                Inputs!$B$4*100 ))</f>
        <v>65</v>
      </c>
      <c r="H666" s="3">
        <f>IFERROR(SUMIF(Purchases!B:B, A666, Purchases!D:D), 0)</f>
        <v>0</v>
      </c>
      <c r="I666" s="3">
        <f t="shared" si="1"/>
        <v>0</v>
      </c>
      <c r="J666" s="3">
        <f t="shared" si="2"/>
        <v>0</v>
      </c>
      <c r="K666" s="3">
        <f>IF(J666&gt;0,
        J666 * IF(G666&gt;0, G666/100,
            IFERROR( VLOOKUP(A666, Dividends!$A:$C, 3, FALSE) / VLOOKUP(A666, Prices!$A:$B, 2, FALSE), Inputs!$B$4)
        ) / 12,
        0)</f>
        <v>0</v>
      </c>
      <c r="L666" s="3">
        <f t="shared" si="3"/>
        <v>0</v>
      </c>
    </row>
    <row r="667" ht="15.75" customHeight="1">
      <c r="F667" s="3" t="str">
        <f>IFERROR(VLOOKUP(A667, Prices!A:B, 2, FALSE), )</f>
        <v/>
      </c>
      <c r="G667" s="3">
        <f>IFERROR(VLOOKUP(A667, Dividends!$A:$B, 2, FALSE),
       IFERROR( (VLOOKUP(A667, Dividends!$A:$C, 3, FALSE) / VLOOKUP(A667, Prices!$A:$B, 2, FALSE)) * 100,
                Inputs!$B$4*100 ))</f>
        <v>65</v>
      </c>
      <c r="H667" s="3">
        <f>IFERROR(SUMIF(Purchases!B:B, A667, Purchases!D:D), 0)</f>
        <v>0</v>
      </c>
      <c r="I667" s="3">
        <f t="shared" si="1"/>
        <v>0</v>
      </c>
      <c r="J667" s="3">
        <f t="shared" si="2"/>
        <v>0</v>
      </c>
      <c r="K667" s="3">
        <f>IF(J667&gt;0,
        J667 * IF(G667&gt;0, G667/100,
            IFERROR( VLOOKUP(A667, Dividends!$A:$C, 3, FALSE) / VLOOKUP(A667, Prices!$A:$B, 2, FALSE), Inputs!$B$4)
        ) / 12,
        0)</f>
        <v>0</v>
      </c>
      <c r="L667" s="3">
        <f t="shared" si="3"/>
        <v>0</v>
      </c>
    </row>
    <row r="668" ht="15.75" customHeight="1">
      <c r="F668" s="3" t="str">
        <f>IFERROR(VLOOKUP(A668, Prices!A:B, 2, FALSE), )</f>
        <v/>
      </c>
      <c r="G668" s="3">
        <f>IFERROR(VLOOKUP(A668, Dividends!$A:$B, 2, FALSE),
       IFERROR( (VLOOKUP(A668, Dividends!$A:$C, 3, FALSE) / VLOOKUP(A668, Prices!$A:$B, 2, FALSE)) * 100,
                Inputs!$B$4*100 ))</f>
        <v>65</v>
      </c>
      <c r="H668" s="3">
        <f>IFERROR(SUMIF(Purchases!B:B, A668, Purchases!D:D), 0)</f>
        <v>0</v>
      </c>
      <c r="I668" s="3">
        <f t="shared" si="1"/>
        <v>0</v>
      </c>
      <c r="J668" s="3">
        <f t="shared" si="2"/>
        <v>0</v>
      </c>
      <c r="K668" s="3">
        <f>IF(J668&gt;0,
        J668 * IF(G668&gt;0, G668/100,
            IFERROR( VLOOKUP(A668, Dividends!$A:$C, 3, FALSE) / VLOOKUP(A668, Prices!$A:$B, 2, FALSE), Inputs!$B$4)
        ) / 12,
        0)</f>
        <v>0</v>
      </c>
      <c r="L668" s="3">
        <f t="shared" si="3"/>
        <v>0</v>
      </c>
    </row>
    <row r="669" ht="15.75" customHeight="1">
      <c r="F669" s="3" t="str">
        <f>IFERROR(VLOOKUP(A669, Prices!A:B, 2, FALSE), )</f>
        <v/>
      </c>
      <c r="G669" s="3">
        <f>IFERROR(VLOOKUP(A669, Dividends!$A:$B, 2, FALSE),
       IFERROR( (VLOOKUP(A669, Dividends!$A:$C, 3, FALSE) / VLOOKUP(A669, Prices!$A:$B, 2, FALSE)) * 100,
                Inputs!$B$4*100 ))</f>
        <v>65</v>
      </c>
      <c r="H669" s="3">
        <f>IFERROR(SUMIF(Purchases!B:B, A669, Purchases!D:D), 0)</f>
        <v>0</v>
      </c>
      <c r="I669" s="3">
        <f t="shared" si="1"/>
        <v>0</v>
      </c>
      <c r="J669" s="3">
        <f t="shared" si="2"/>
        <v>0</v>
      </c>
      <c r="K669" s="3">
        <f>IF(J669&gt;0,
        J669 * IF(G669&gt;0, G669/100,
            IFERROR( VLOOKUP(A669, Dividends!$A:$C, 3, FALSE) / VLOOKUP(A669, Prices!$A:$B, 2, FALSE), Inputs!$B$4)
        ) / 12,
        0)</f>
        <v>0</v>
      </c>
      <c r="L669" s="3">
        <f t="shared" si="3"/>
        <v>0</v>
      </c>
    </row>
    <row r="670" ht="15.75" customHeight="1">
      <c r="F670" s="3" t="str">
        <f>IFERROR(VLOOKUP(A670, Prices!A:B, 2, FALSE), )</f>
        <v/>
      </c>
      <c r="G670" s="3">
        <f>IFERROR(VLOOKUP(A670, Dividends!$A:$B, 2, FALSE),
       IFERROR( (VLOOKUP(A670, Dividends!$A:$C, 3, FALSE) / VLOOKUP(A670, Prices!$A:$B, 2, FALSE)) * 100,
                Inputs!$B$4*100 ))</f>
        <v>65</v>
      </c>
      <c r="H670" s="3">
        <f>IFERROR(SUMIF(Purchases!B:B, A670, Purchases!D:D), 0)</f>
        <v>0</v>
      </c>
      <c r="I670" s="3">
        <f t="shared" si="1"/>
        <v>0</v>
      </c>
      <c r="J670" s="3">
        <f t="shared" si="2"/>
        <v>0</v>
      </c>
      <c r="K670" s="3">
        <f>IF(J670&gt;0,
        J670 * IF(G670&gt;0, G670/100,
            IFERROR( VLOOKUP(A670, Dividends!$A:$C, 3, FALSE) / VLOOKUP(A670, Prices!$A:$B, 2, FALSE), Inputs!$B$4)
        ) / 12,
        0)</f>
        <v>0</v>
      </c>
      <c r="L670" s="3">
        <f t="shared" si="3"/>
        <v>0</v>
      </c>
    </row>
    <row r="671" ht="15.75" customHeight="1">
      <c r="F671" s="3" t="str">
        <f>IFERROR(VLOOKUP(A671, Prices!A:B, 2, FALSE), )</f>
        <v/>
      </c>
      <c r="G671" s="3">
        <f>IFERROR(VLOOKUP(A671, Dividends!$A:$B, 2, FALSE),
       IFERROR( (VLOOKUP(A671, Dividends!$A:$C, 3, FALSE) / VLOOKUP(A671, Prices!$A:$B, 2, FALSE)) * 100,
                Inputs!$B$4*100 ))</f>
        <v>65</v>
      </c>
      <c r="H671" s="3">
        <f>IFERROR(SUMIF(Purchases!B:B, A671, Purchases!D:D), 0)</f>
        <v>0</v>
      </c>
      <c r="I671" s="3">
        <f t="shared" si="1"/>
        <v>0</v>
      </c>
      <c r="J671" s="3">
        <f t="shared" si="2"/>
        <v>0</v>
      </c>
      <c r="K671" s="3">
        <f>IF(J671&gt;0,
        J671 * IF(G671&gt;0, G671/100,
            IFERROR( VLOOKUP(A671, Dividends!$A:$C, 3, FALSE) / VLOOKUP(A671, Prices!$A:$B, 2, FALSE), Inputs!$B$4)
        ) / 12,
        0)</f>
        <v>0</v>
      </c>
      <c r="L671" s="3">
        <f t="shared" si="3"/>
        <v>0</v>
      </c>
    </row>
    <row r="672" ht="15.75" customHeight="1">
      <c r="F672" s="3" t="str">
        <f>IFERROR(VLOOKUP(A672, Prices!A:B, 2, FALSE), )</f>
        <v/>
      </c>
      <c r="G672" s="3">
        <f>IFERROR(VLOOKUP(A672, Dividends!$A:$B, 2, FALSE),
       IFERROR( (VLOOKUP(A672, Dividends!$A:$C, 3, FALSE) / VLOOKUP(A672, Prices!$A:$B, 2, FALSE)) * 100,
                Inputs!$B$4*100 ))</f>
        <v>65</v>
      </c>
      <c r="H672" s="3">
        <f>IFERROR(SUMIF(Purchases!B:B, A672, Purchases!D:D), 0)</f>
        <v>0</v>
      </c>
      <c r="I672" s="3">
        <f t="shared" si="1"/>
        <v>0</v>
      </c>
      <c r="J672" s="3">
        <f t="shared" si="2"/>
        <v>0</v>
      </c>
      <c r="K672" s="3">
        <f>IF(J672&gt;0,
        J672 * IF(G672&gt;0, G672/100,
            IFERROR( VLOOKUP(A672, Dividends!$A:$C, 3, FALSE) / VLOOKUP(A672, Prices!$A:$B, 2, FALSE), Inputs!$B$4)
        ) / 12,
        0)</f>
        <v>0</v>
      </c>
      <c r="L672" s="3">
        <f t="shared" si="3"/>
        <v>0</v>
      </c>
    </row>
    <row r="673" ht="15.75" customHeight="1">
      <c r="F673" s="3" t="str">
        <f>IFERROR(VLOOKUP(A673, Prices!A:B, 2, FALSE), )</f>
        <v/>
      </c>
      <c r="G673" s="3">
        <f>IFERROR(VLOOKUP(A673, Dividends!$A:$B, 2, FALSE),
       IFERROR( (VLOOKUP(A673, Dividends!$A:$C, 3, FALSE) / VLOOKUP(A673, Prices!$A:$B, 2, FALSE)) * 100,
                Inputs!$B$4*100 ))</f>
        <v>65</v>
      </c>
      <c r="H673" s="3">
        <f>IFERROR(SUMIF(Purchases!B:B, A673, Purchases!D:D), 0)</f>
        <v>0</v>
      </c>
      <c r="I673" s="3">
        <f t="shared" si="1"/>
        <v>0</v>
      </c>
      <c r="J673" s="3">
        <f t="shared" si="2"/>
        <v>0</v>
      </c>
      <c r="K673" s="3">
        <f>IF(J673&gt;0,
        J673 * IF(G673&gt;0, G673/100,
            IFERROR( VLOOKUP(A673, Dividends!$A:$C, 3, FALSE) / VLOOKUP(A673, Prices!$A:$B, 2, FALSE), Inputs!$B$4)
        ) / 12,
        0)</f>
        <v>0</v>
      </c>
      <c r="L673" s="3">
        <f t="shared" si="3"/>
        <v>0</v>
      </c>
    </row>
    <row r="674" ht="15.75" customHeight="1">
      <c r="F674" s="3" t="str">
        <f>IFERROR(VLOOKUP(A674, Prices!A:B, 2, FALSE), )</f>
        <v/>
      </c>
      <c r="G674" s="3">
        <f>IFERROR(VLOOKUP(A674, Dividends!$A:$B, 2, FALSE),
       IFERROR( (VLOOKUP(A674, Dividends!$A:$C, 3, FALSE) / VLOOKUP(A674, Prices!$A:$B, 2, FALSE)) * 100,
                Inputs!$B$4*100 ))</f>
        <v>65</v>
      </c>
      <c r="H674" s="3">
        <f>IFERROR(SUMIF(Purchases!B:B, A674, Purchases!D:D), 0)</f>
        <v>0</v>
      </c>
      <c r="I674" s="3">
        <f t="shared" si="1"/>
        <v>0</v>
      </c>
      <c r="J674" s="3">
        <f t="shared" si="2"/>
        <v>0</v>
      </c>
      <c r="K674" s="3">
        <f>IF(J674&gt;0,
        J674 * IF(G674&gt;0, G674/100,
            IFERROR( VLOOKUP(A674, Dividends!$A:$C, 3, FALSE) / VLOOKUP(A674, Prices!$A:$B, 2, FALSE), Inputs!$B$4)
        ) / 12,
        0)</f>
        <v>0</v>
      </c>
      <c r="L674" s="3">
        <f t="shared" si="3"/>
        <v>0</v>
      </c>
    </row>
    <row r="675" ht="15.75" customHeight="1">
      <c r="F675" s="3" t="str">
        <f>IFERROR(VLOOKUP(A675, Prices!A:B, 2, FALSE), )</f>
        <v/>
      </c>
      <c r="G675" s="3">
        <f>IFERROR(VLOOKUP(A675, Dividends!$A:$B, 2, FALSE),
       IFERROR( (VLOOKUP(A675, Dividends!$A:$C, 3, FALSE) / VLOOKUP(A675, Prices!$A:$B, 2, FALSE)) * 100,
                Inputs!$B$4*100 ))</f>
        <v>65</v>
      </c>
      <c r="H675" s="3">
        <f>IFERROR(SUMIF(Purchases!B:B, A675, Purchases!D:D), 0)</f>
        <v>0</v>
      </c>
      <c r="I675" s="3">
        <f t="shared" si="1"/>
        <v>0</v>
      </c>
      <c r="J675" s="3">
        <f t="shared" si="2"/>
        <v>0</v>
      </c>
      <c r="K675" s="3">
        <f>IF(J675&gt;0,
        J675 * IF(G675&gt;0, G675/100,
            IFERROR( VLOOKUP(A675, Dividends!$A:$C, 3, FALSE) / VLOOKUP(A675, Prices!$A:$B, 2, FALSE), Inputs!$B$4)
        ) / 12,
        0)</f>
        <v>0</v>
      </c>
      <c r="L675" s="3">
        <f t="shared" si="3"/>
        <v>0</v>
      </c>
    </row>
    <row r="676" ht="15.75" customHeight="1">
      <c r="F676" s="3" t="str">
        <f>IFERROR(VLOOKUP(A676, Prices!A:B, 2, FALSE), )</f>
        <v/>
      </c>
      <c r="G676" s="3">
        <f>IFERROR(VLOOKUP(A676, Dividends!$A:$B, 2, FALSE),
       IFERROR( (VLOOKUP(A676, Dividends!$A:$C, 3, FALSE) / VLOOKUP(A676, Prices!$A:$B, 2, FALSE)) * 100,
                Inputs!$B$4*100 ))</f>
        <v>65</v>
      </c>
      <c r="H676" s="3">
        <f>IFERROR(SUMIF(Purchases!B:B, A676, Purchases!D:D), 0)</f>
        <v>0</v>
      </c>
      <c r="I676" s="3">
        <f t="shared" si="1"/>
        <v>0</v>
      </c>
      <c r="J676" s="3">
        <f t="shared" si="2"/>
        <v>0</v>
      </c>
      <c r="K676" s="3">
        <f>IF(J676&gt;0,
        J676 * IF(G676&gt;0, G676/100,
            IFERROR( VLOOKUP(A676, Dividends!$A:$C, 3, FALSE) / VLOOKUP(A676, Prices!$A:$B, 2, FALSE), Inputs!$B$4)
        ) / 12,
        0)</f>
        <v>0</v>
      </c>
      <c r="L676" s="3">
        <f t="shared" si="3"/>
        <v>0</v>
      </c>
    </row>
    <row r="677" ht="15.75" customHeight="1">
      <c r="F677" s="3" t="str">
        <f>IFERROR(VLOOKUP(A677, Prices!A:B, 2, FALSE), )</f>
        <v/>
      </c>
      <c r="G677" s="3">
        <f>IFERROR(VLOOKUP(A677, Dividends!$A:$B, 2, FALSE),
       IFERROR( (VLOOKUP(A677, Dividends!$A:$C, 3, FALSE) / VLOOKUP(A677, Prices!$A:$B, 2, FALSE)) * 100,
                Inputs!$B$4*100 ))</f>
        <v>65</v>
      </c>
      <c r="H677" s="3">
        <f>IFERROR(SUMIF(Purchases!B:B, A677, Purchases!D:D), 0)</f>
        <v>0</v>
      </c>
      <c r="I677" s="3">
        <f t="shared" si="1"/>
        <v>0</v>
      </c>
      <c r="J677" s="3">
        <f t="shared" si="2"/>
        <v>0</v>
      </c>
      <c r="K677" s="3">
        <f>IF(J677&gt;0,
        J677 * IF(G677&gt;0, G677/100,
            IFERROR( VLOOKUP(A677, Dividends!$A:$C, 3, FALSE) / VLOOKUP(A677, Prices!$A:$B, 2, FALSE), Inputs!$B$4)
        ) / 12,
        0)</f>
        <v>0</v>
      </c>
      <c r="L677" s="3">
        <f t="shared" si="3"/>
        <v>0</v>
      </c>
    </row>
    <row r="678" ht="15.75" customHeight="1">
      <c r="F678" s="3" t="str">
        <f>IFERROR(VLOOKUP(A678, Prices!A:B, 2, FALSE), )</f>
        <v/>
      </c>
      <c r="G678" s="3">
        <f>IFERROR(VLOOKUP(A678, Dividends!$A:$B, 2, FALSE),
       IFERROR( (VLOOKUP(A678, Dividends!$A:$C, 3, FALSE) / VLOOKUP(A678, Prices!$A:$B, 2, FALSE)) * 100,
                Inputs!$B$4*100 ))</f>
        <v>65</v>
      </c>
      <c r="H678" s="3">
        <f>IFERROR(SUMIF(Purchases!B:B, A678, Purchases!D:D), 0)</f>
        <v>0</v>
      </c>
      <c r="I678" s="3">
        <f t="shared" si="1"/>
        <v>0</v>
      </c>
      <c r="J678" s="3">
        <f t="shared" si="2"/>
        <v>0</v>
      </c>
      <c r="K678" s="3">
        <f>IF(J678&gt;0,
        J678 * IF(G678&gt;0, G678/100,
            IFERROR( VLOOKUP(A678, Dividends!$A:$C, 3, FALSE) / VLOOKUP(A678, Prices!$A:$B, 2, FALSE), Inputs!$B$4)
        ) / 12,
        0)</f>
        <v>0</v>
      </c>
      <c r="L678" s="3">
        <f t="shared" si="3"/>
        <v>0</v>
      </c>
    </row>
    <row r="679" ht="15.75" customHeight="1">
      <c r="F679" s="3" t="str">
        <f>IFERROR(VLOOKUP(A679, Prices!A:B, 2, FALSE), )</f>
        <v/>
      </c>
      <c r="G679" s="3">
        <f>IFERROR(VLOOKUP(A679, Dividends!$A:$B, 2, FALSE),
       IFERROR( (VLOOKUP(A679, Dividends!$A:$C, 3, FALSE) / VLOOKUP(A679, Prices!$A:$B, 2, FALSE)) * 100,
                Inputs!$B$4*100 ))</f>
        <v>65</v>
      </c>
      <c r="H679" s="3">
        <f>IFERROR(SUMIF(Purchases!B:B, A679, Purchases!D:D), 0)</f>
        <v>0</v>
      </c>
      <c r="I679" s="3">
        <f t="shared" si="1"/>
        <v>0</v>
      </c>
      <c r="J679" s="3">
        <f t="shared" si="2"/>
        <v>0</v>
      </c>
      <c r="K679" s="3">
        <f>IF(J679&gt;0,
        J679 * IF(G679&gt;0, G679/100,
            IFERROR( VLOOKUP(A679, Dividends!$A:$C, 3, FALSE) / VLOOKUP(A679, Prices!$A:$B, 2, FALSE), Inputs!$B$4)
        ) / 12,
        0)</f>
        <v>0</v>
      </c>
      <c r="L679" s="3">
        <f t="shared" si="3"/>
        <v>0</v>
      </c>
    </row>
    <row r="680" ht="15.75" customHeight="1">
      <c r="F680" s="3" t="str">
        <f>IFERROR(VLOOKUP(A680, Prices!A:B, 2, FALSE), )</f>
        <v/>
      </c>
      <c r="G680" s="3">
        <f>IFERROR(VLOOKUP(A680, Dividends!$A:$B, 2, FALSE),
       IFERROR( (VLOOKUP(A680, Dividends!$A:$C, 3, FALSE) / VLOOKUP(A680, Prices!$A:$B, 2, FALSE)) * 100,
                Inputs!$B$4*100 ))</f>
        <v>65</v>
      </c>
      <c r="H680" s="3">
        <f>IFERROR(SUMIF(Purchases!B:B, A680, Purchases!D:D), 0)</f>
        <v>0</v>
      </c>
      <c r="I680" s="3">
        <f t="shared" si="1"/>
        <v>0</v>
      </c>
      <c r="J680" s="3">
        <f t="shared" si="2"/>
        <v>0</v>
      </c>
      <c r="K680" s="3">
        <f>IF(J680&gt;0,
        J680 * IF(G680&gt;0, G680/100,
            IFERROR( VLOOKUP(A680, Dividends!$A:$C, 3, FALSE) / VLOOKUP(A680, Prices!$A:$B, 2, FALSE), Inputs!$B$4)
        ) / 12,
        0)</f>
        <v>0</v>
      </c>
      <c r="L680" s="3">
        <f t="shared" si="3"/>
        <v>0</v>
      </c>
    </row>
    <row r="681" ht="15.75" customHeight="1">
      <c r="F681" s="3" t="str">
        <f>IFERROR(VLOOKUP(A681, Prices!A:B, 2, FALSE), )</f>
        <v/>
      </c>
      <c r="G681" s="3">
        <f>IFERROR(VLOOKUP(A681, Dividends!$A:$B, 2, FALSE),
       IFERROR( (VLOOKUP(A681, Dividends!$A:$C, 3, FALSE) / VLOOKUP(A681, Prices!$A:$B, 2, FALSE)) * 100,
                Inputs!$B$4*100 ))</f>
        <v>65</v>
      </c>
      <c r="H681" s="3">
        <f>IFERROR(SUMIF(Purchases!B:B, A681, Purchases!D:D), 0)</f>
        <v>0</v>
      </c>
      <c r="I681" s="3">
        <f t="shared" si="1"/>
        <v>0</v>
      </c>
      <c r="J681" s="3">
        <f t="shared" si="2"/>
        <v>0</v>
      </c>
      <c r="K681" s="3">
        <f>IF(J681&gt;0,
        J681 * IF(G681&gt;0, G681/100,
            IFERROR( VLOOKUP(A681, Dividends!$A:$C, 3, FALSE) / VLOOKUP(A681, Prices!$A:$B, 2, FALSE), Inputs!$B$4)
        ) / 12,
        0)</f>
        <v>0</v>
      </c>
      <c r="L681" s="3">
        <f t="shared" si="3"/>
        <v>0</v>
      </c>
    </row>
    <row r="682" ht="15.75" customHeight="1">
      <c r="F682" s="3" t="str">
        <f>IFERROR(VLOOKUP(A682, Prices!A:B, 2, FALSE), )</f>
        <v/>
      </c>
      <c r="G682" s="3">
        <f>IFERROR(VLOOKUP(A682, Dividends!$A:$B, 2, FALSE),
       IFERROR( (VLOOKUP(A682, Dividends!$A:$C, 3, FALSE) / VLOOKUP(A682, Prices!$A:$B, 2, FALSE)) * 100,
                Inputs!$B$4*100 ))</f>
        <v>65</v>
      </c>
      <c r="H682" s="3">
        <f>IFERROR(SUMIF(Purchases!B:B, A682, Purchases!D:D), 0)</f>
        <v>0</v>
      </c>
      <c r="I682" s="3">
        <f t="shared" si="1"/>
        <v>0</v>
      </c>
      <c r="J682" s="3">
        <f t="shared" si="2"/>
        <v>0</v>
      </c>
      <c r="K682" s="3">
        <f>IF(J682&gt;0,
        J682 * IF(G682&gt;0, G682/100,
            IFERROR( VLOOKUP(A682, Dividends!$A:$C, 3, FALSE) / VLOOKUP(A682, Prices!$A:$B, 2, FALSE), Inputs!$B$4)
        ) / 12,
        0)</f>
        <v>0</v>
      </c>
      <c r="L682" s="3">
        <f t="shared" si="3"/>
        <v>0</v>
      </c>
    </row>
    <row r="683" ht="15.75" customHeight="1">
      <c r="F683" s="3" t="str">
        <f>IFERROR(VLOOKUP(A683, Prices!A:B, 2, FALSE), )</f>
        <v/>
      </c>
      <c r="G683" s="3">
        <f>IFERROR(VLOOKUP(A683, Dividends!$A:$B, 2, FALSE),
       IFERROR( (VLOOKUP(A683, Dividends!$A:$C, 3, FALSE) / VLOOKUP(A683, Prices!$A:$B, 2, FALSE)) * 100,
                Inputs!$B$4*100 ))</f>
        <v>65</v>
      </c>
      <c r="H683" s="3">
        <f>IFERROR(SUMIF(Purchases!B:B, A683, Purchases!D:D), 0)</f>
        <v>0</v>
      </c>
      <c r="I683" s="3">
        <f t="shared" si="1"/>
        <v>0</v>
      </c>
      <c r="J683" s="3">
        <f t="shared" si="2"/>
        <v>0</v>
      </c>
      <c r="K683" s="3">
        <f>IF(J683&gt;0,
        J683 * IF(G683&gt;0, G683/100,
            IFERROR( VLOOKUP(A683, Dividends!$A:$C, 3, FALSE) / VLOOKUP(A683, Prices!$A:$B, 2, FALSE), Inputs!$B$4)
        ) / 12,
        0)</f>
        <v>0</v>
      </c>
      <c r="L683" s="3">
        <f t="shared" si="3"/>
        <v>0</v>
      </c>
    </row>
    <row r="684" ht="15.75" customHeight="1">
      <c r="F684" s="3" t="str">
        <f>IFERROR(VLOOKUP(A684, Prices!A:B, 2, FALSE), )</f>
        <v/>
      </c>
      <c r="G684" s="3">
        <f>IFERROR(VLOOKUP(A684, Dividends!$A:$B, 2, FALSE),
       IFERROR( (VLOOKUP(A684, Dividends!$A:$C, 3, FALSE) / VLOOKUP(A684, Prices!$A:$B, 2, FALSE)) * 100,
                Inputs!$B$4*100 ))</f>
        <v>65</v>
      </c>
      <c r="H684" s="3">
        <f>IFERROR(SUMIF(Purchases!B:B, A684, Purchases!D:D), 0)</f>
        <v>0</v>
      </c>
      <c r="I684" s="3">
        <f t="shared" si="1"/>
        <v>0</v>
      </c>
      <c r="J684" s="3">
        <f t="shared" si="2"/>
        <v>0</v>
      </c>
      <c r="K684" s="3">
        <f>IF(J684&gt;0,
        J684 * IF(G684&gt;0, G684/100,
            IFERROR( VLOOKUP(A684, Dividends!$A:$C, 3, FALSE) / VLOOKUP(A684, Prices!$A:$B, 2, FALSE), Inputs!$B$4)
        ) / 12,
        0)</f>
        <v>0</v>
      </c>
      <c r="L684" s="3">
        <f t="shared" si="3"/>
        <v>0</v>
      </c>
    </row>
    <row r="685" ht="15.75" customHeight="1">
      <c r="F685" s="3" t="str">
        <f>IFERROR(VLOOKUP(A685, Prices!A:B, 2, FALSE), )</f>
        <v/>
      </c>
      <c r="G685" s="3">
        <f>IFERROR(VLOOKUP(A685, Dividends!$A:$B, 2, FALSE),
       IFERROR( (VLOOKUP(A685, Dividends!$A:$C, 3, FALSE) / VLOOKUP(A685, Prices!$A:$B, 2, FALSE)) * 100,
                Inputs!$B$4*100 ))</f>
        <v>65</v>
      </c>
      <c r="H685" s="3">
        <f>IFERROR(SUMIF(Purchases!B:B, A685, Purchases!D:D), 0)</f>
        <v>0</v>
      </c>
      <c r="I685" s="3">
        <f t="shared" si="1"/>
        <v>0</v>
      </c>
      <c r="J685" s="3">
        <f t="shared" si="2"/>
        <v>0</v>
      </c>
      <c r="K685" s="3">
        <f>IF(J685&gt;0,
        J685 * IF(G685&gt;0, G685/100,
            IFERROR( VLOOKUP(A685, Dividends!$A:$C, 3, FALSE) / VLOOKUP(A685, Prices!$A:$B, 2, FALSE), Inputs!$B$4)
        ) / 12,
        0)</f>
        <v>0</v>
      </c>
      <c r="L685" s="3">
        <f t="shared" si="3"/>
        <v>0</v>
      </c>
    </row>
    <row r="686" ht="15.75" customHeight="1">
      <c r="F686" s="3" t="str">
        <f>IFERROR(VLOOKUP(A686, Prices!A:B, 2, FALSE), )</f>
        <v/>
      </c>
      <c r="G686" s="3">
        <f>IFERROR(VLOOKUP(A686, Dividends!$A:$B, 2, FALSE),
       IFERROR( (VLOOKUP(A686, Dividends!$A:$C, 3, FALSE) / VLOOKUP(A686, Prices!$A:$B, 2, FALSE)) * 100,
                Inputs!$B$4*100 ))</f>
        <v>65</v>
      </c>
      <c r="H686" s="3">
        <f>IFERROR(SUMIF(Purchases!B:B, A686, Purchases!D:D), 0)</f>
        <v>0</v>
      </c>
      <c r="I686" s="3">
        <f t="shared" si="1"/>
        <v>0</v>
      </c>
      <c r="J686" s="3">
        <f t="shared" si="2"/>
        <v>0</v>
      </c>
      <c r="K686" s="3">
        <f>IF(J686&gt;0,
        J686 * IF(G686&gt;0, G686/100,
            IFERROR( VLOOKUP(A686, Dividends!$A:$C, 3, FALSE) / VLOOKUP(A686, Prices!$A:$B, 2, FALSE), Inputs!$B$4)
        ) / 12,
        0)</f>
        <v>0</v>
      </c>
      <c r="L686" s="3">
        <f t="shared" si="3"/>
        <v>0</v>
      </c>
    </row>
    <row r="687" ht="15.75" customHeight="1">
      <c r="F687" s="3" t="str">
        <f>IFERROR(VLOOKUP(A687, Prices!A:B, 2, FALSE), )</f>
        <v/>
      </c>
      <c r="G687" s="3">
        <f>IFERROR(VLOOKUP(A687, Dividends!$A:$B, 2, FALSE),
       IFERROR( (VLOOKUP(A687, Dividends!$A:$C, 3, FALSE) / VLOOKUP(A687, Prices!$A:$B, 2, FALSE)) * 100,
                Inputs!$B$4*100 ))</f>
        <v>65</v>
      </c>
      <c r="H687" s="3">
        <f>IFERROR(SUMIF(Purchases!B:B, A687, Purchases!D:D), 0)</f>
        <v>0</v>
      </c>
      <c r="I687" s="3">
        <f t="shared" si="1"/>
        <v>0</v>
      </c>
      <c r="J687" s="3">
        <f t="shared" si="2"/>
        <v>0</v>
      </c>
      <c r="K687" s="3">
        <f>IF(J687&gt;0,
        J687 * IF(G687&gt;0, G687/100,
            IFERROR( VLOOKUP(A687, Dividends!$A:$C, 3, FALSE) / VLOOKUP(A687, Prices!$A:$B, 2, FALSE), Inputs!$B$4)
        ) / 12,
        0)</f>
        <v>0</v>
      </c>
      <c r="L687" s="3">
        <f t="shared" si="3"/>
        <v>0</v>
      </c>
    </row>
    <row r="688" ht="15.75" customHeight="1">
      <c r="F688" s="3" t="str">
        <f>IFERROR(VLOOKUP(A688, Prices!A:B, 2, FALSE), )</f>
        <v/>
      </c>
      <c r="G688" s="3">
        <f>IFERROR(VLOOKUP(A688, Dividends!$A:$B, 2, FALSE),
       IFERROR( (VLOOKUP(A688, Dividends!$A:$C, 3, FALSE) / VLOOKUP(A688, Prices!$A:$B, 2, FALSE)) * 100,
                Inputs!$B$4*100 ))</f>
        <v>65</v>
      </c>
      <c r="H688" s="3">
        <f>IFERROR(SUMIF(Purchases!B:B, A688, Purchases!D:D), 0)</f>
        <v>0</v>
      </c>
      <c r="I688" s="3">
        <f t="shared" si="1"/>
        <v>0</v>
      </c>
      <c r="J688" s="3">
        <f t="shared" si="2"/>
        <v>0</v>
      </c>
      <c r="K688" s="3">
        <f>IF(J688&gt;0,
        J688 * IF(G688&gt;0, G688/100,
            IFERROR( VLOOKUP(A688, Dividends!$A:$C, 3, FALSE) / VLOOKUP(A688, Prices!$A:$B, 2, FALSE), Inputs!$B$4)
        ) / 12,
        0)</f>
        <v>0</v>
      </c>
      <c r="L688" s="3">
        <f t="shared" si="3"/>
        <v>0</v>
      </c>
    </row>
    <row r="689" ht="15.75" customHeight="1">
      <c r="F689" s="3" t="str">
        <f>IFERROR(VLOOKUP(A689, Prices!A:B, 2, FALSE), )</f>
        <v/>
      </c>
      <c r="G689" s="3">
        <f>IFERROR(VLOOKUP(A689, Dividends!$A:$B, 2, FALSE),
       IFERROR( (VLOOKUP(A689, Dividends!$A:$C, 3, FALSE) / VLOOKUP(A689, Prices!$A:$B, 2, FALSE)) * 100,
                Inputs!$B$4*100 ))</f>
        <v>65</v>
      </c>
      <c r="H689" s="3">
        <f>IFERROR(SUMIF(Purchases!B:B, A689, Purchases!D:D), 0)</f>
        <v>0</v>
      </c>
      <c r="I689" s="3">
        <f t="shared" si="1"/>
        <v>0</v>
      </c>
      <c r="J689" s="3">
        <f t="shared" si="2"/>
        <v>0</v>
      </c>
      <c r="K689" s="3">
        <f>IF(J689&gt;0,
        J689 * IF(G689&gt;0, G689/100,
            IFERROR( VLOOKUP(A689, Dividends!$A:$C, 3, FALSE) / VLOOKUP(A689, Prices!$A:$B, 2, FALSE), Inputs!$B$4)
        ) / 12,
        0)</f>
        <v>0</v>
      </c>
      <c r="L689" s="3">
        <f t="shared" si="3"/>
        <v>0</v>
      </c>
    </row>
    <row r="690" ht="15.75" customHeight="1">
      <c r="F690" s="3" t="str">
        <f>IFERROR(VLOOKUP(A690, Prices!A:B, 2, FALSE), )</f>
        <v/>
      </c>
      <c r="G690" s="3">
        <f>IFERROR(VLOOKUP(A690, Dividends!$A:$B, 2, FALSE),
       IFERROR( (VLOOKUP(A690, Dividends!$A:$C, 3, FALSE) / VLOOKUP(A690, Prices!$A:$B, 2, FALSE)) * 100,
                Inputs!$B$4*100 ))</f>
        <v>65</v>
      </c>
      <c r="H690" s="3">
        <f>IFERROR(SUMIF(Purchases!B:B, A690, Purchases!D:D), 0)</f>
        <v>0</v>
      </c>
      <c r="I690" s="3">
        <f t="shared" si="1"/>
        <v>0</v>
      </c>
      <c r="J690" s="3">
        <f t="shared" si="2"/>
        <v>0</v>
      </c>
      <c r="K690" s="3">
        <f>IF(J690&gt;0,
        J690 * IF(G690&gt;0, G690/100,
            IFERROR( VLOOKUP(A690, Dividends!$A:$C, 3, FALSE) / VLOOKUP(A690, Prices!$A:$B, 2, FALSE), Inputs!$B$4)
        ) / 12,
        0)</f>
        <v>0</v>
      </c>
      <c r="L690" s="3">
        <f t="shared" si="3"/>
        <v>0</v>
      </c>
    </row>
    <row r="691" ht="15.75" customHeight="1">
      <c r="F691" s="3" t="str">
        <f>IFERROR(VLOOKUP(A691, Prices!A:B, 2, FALSE), )</f>
        <v/>
      </c>
      <c r="G691" s="3">
        <f>IFERROR(VLOOKUP(A691, Dividends!$A:$B, 2, FALSE),
       IFERROR( (VLOOKUP(A691, Dividends!$A:$C, 3, FALSE) / VLOOKUP(A691, Prices!$A:$B, 2, FALSE)) * 100,
                Inputs!$B$4*100 ))</f>
        <v>65</v>
      </c>
      <c r="H691" s="3">
        <f>IFERROR(SUMIF(Purchases!B:B, A691, Purchases!D:D), 0)</f>
        <v>0</v>
      </c>
      <c r="I691" s="3">
        <f t="shared" si="1"/>
        <v>0</v>
      </c>
      <c r="J691" s="3">
        <f t="shared" si="2"/>
        <v>0</v>
      </c>
      <c r="K691" s="3">
        <f>IF(J691&gt;0,
        J691 * IF(G691&gt;0, G691/100,
            IFERROR( VLOOKUP(A691, Dividends!$A:$C, 3, FALSE) / VLOOKUP(A691, Prices!$A:$B, 2, FALSE), Inputs!$B$4)
        ) / 12,
        0)</f>
        <v>0</v>
      </c>
      <c r="L691" s="3">
        <f t="shared" si="3"/>
        <v>0</v>
      </c>
    </row>
    <row r="692" ht="15.75" customHeight="1">
      <c r="F692" s="3" t="str">
        <f>IFERROR(VLOOKUP(A692, Prices!A:B, 2, FALSE), )</f>
        <v/>
      </c>
      <c r="G692" s="3">
        <f>IFERROR(VLOOKUP(A692, Dividends!$A:$B, 2, FALSE),
       IFERROR( (VLOOKUP(A692, Dividends!$A:$C, 3, FALSE) / VLOOKUP(A692, Prices!$A:$B, 2, FALSE)) * 100,
                Inputs!$B$4*100 ))</f>
        <v>65</v>
      </c>
      <c r="H692" s="3">
        <f>IFERROR(SUMIF(Purchases!B:B, A692, Purchases!D:D), 0)</f>
        <v>0</v>
      </c>
      <c r="I692" s="3">
        <f t="shared" si="1"/>
        <v>0</v>
      </c>
      <c r="J692" s="3">
        <f t="shared" si="2"/>
        <v>0</v>
      </c>
      <c r="K692" s="3">
        <f>IF(J692&gt;0,
        J692 * IF(G692&gt;0, G692/100,
            IFERROR( VLOOKUP(A692, Dividends!$A:$C, 3, FALSE) / VLOOKUP(A692, Prices!$A:$B, 2, FALSE), Inputs!$B$4)
        ) / 12,
        0)</f>
        <v>0</v>
      </c>
      <c r="L692" s="3">
        <f t="shared" si="3"/>
        <v>0</v>
      </c>
    </row>
    <row r="693" ht="15.75" customHeight="1">
      <c r="F693" s="3" t="str">
        <f>IFERROR(VLOOKUP(A693, Prices!A:B, 2, FALSE), )</f>
        <v/>
      </c>
      <c r="G693" s="3">
        <f>IFERROR(VLOOKUP(A693, Dividends!$A:$B, 2, FALSE),
       IFERROR( (VLOOKUP(A693, Dividends!$A:$C, 3, FALSE) / VLOOKUP(A693, Prices!$A:$B, 2, FALSE)) * 100,
                Inputs!$B$4*100 ))</f>
        <v>65</v>
      </c>
      <c r="H693" s="3">
        <f>IFERROR(SUMIF(Purchases!B:B, A693, Purchases!D:D), 0)</f>
        <v>0</v>
      </c>
      <c r="I693" s="3">
        <f t="shared" si="1"/>
        <v>0</v>
      </c>
      <c r="J693" s="3">
        <f t="shared" si="2"/>
        <v>0</v>
      </c>
      <c r="K693" s="3">
        <f>IF(J693&gt;0,
        J693 * IF(G693&gt;0, G693/100,
            IFERROR( VLOOKUP(A693, Dividends!$A:$C, 3, FALSE) / VLOOKUP(A693, Prices!$A:$B, 2, FALSE), Inputs!$B$4)
        ) / 12,
        0)</f>
        <v>0</v>
      </c>
      <c r="L693" s="3">
        <f t="shared" si="3"/>
        <v>0</v>
      </c>
    </row>
    <row r="694" ht="15.75" customHeight="1">
      <c r="F694" s="3" t="str">
        <f>IFERROR(VLOOKUP(A694, Prices!A:B, 2, FALSE), )</f>
        <v/>
      </c>
      <c r="G694" s="3">
        <f>IFERROR(VLOOKUP(A694, Dividends!$A:$B, 2, FALSE),
       IFERROR( (VLOOKUP(A694, Dividends!$A:$C, 3, FALSE) / VLOOKUP(A694, Prices!$A:$B, 2, FALSE)) * 100,
                Inputs!$B$4*100 ))</f>
        <v>65</v>
      </c>
      <c r="H694" s="3">
        <f>IFERROR(SUMIF(Purchases!B:B, A694, Purchases!D:D), 0)</f>
        <v>0</v>
      </c>
      <c r="I694" s="3">
        <f t="shared" si="1"/>
        <v>0</v>
      </c>
      <c r="J694" s="3">
        <f t="shared" si="2"/>
        <v>0</v>
      </c>
      <c r="K694" s="3">
        <f>IF(J694&gt;0,
        J694 * IF(G694&gt;0, G694/100,
            IFERROR( VLOOKUP(A694, Dividends!$A:$C, 3, FALSE) / VLOOKUP(A694, Prices!$A:$B, 2, FALSE), Inputs!$B$4)
        ) / 12,
        0)</f>
        <v>0</v>
      </c>
      <c r="L694" s="3">
        <f t="shared" si="3"/>
        <v>0</v>
      </c>
    </row>
    <row r="695" ht="15.75" customHeight="1">
      <c r="F695" s="3" t="str">
        <f>IFERROR(VLOOKUP(A695, Prices!A:B, 2, FALSE), )</f>
        <v/>
      </c>
      <c r="G695" s="3">
        <f>IFERROR(VLOOKUP(A695, Dividends!$A:$B, 2, FALSE),
       IFERROR( (VLOOKUP(A695, Dividends!$A:$C, 3, FALSE) / VLOOKUP(A695, Prices!$A:$B, 2, FALSE)) * 100,
                Inputs!$B$4*100 ))</f>
        <v>65</v>
      </c>
      <c r="H695" s="3">
        <f>IFERROR(SUMIF(Purchases!B:B, A695, Purchases!D:D), 0)</f>
        <v>0</v>
      </c>
      <c r="I695" s="3">
        <f t="shared" si="1"/>
        <v>0</v>
      </c>
      <c r="J695" s="3">
        <f t="shared" si="2"/>
        <v>0</v>
      </c>
      <c r="K695" s="3">
        <f>IF(J695&gt;0,
        J695 * IF(G695&gt;0, G695/100,
            IFERROR( VLOOKUP(A695, Dividends!$A:$C, 3, FALSE) / VLOOKUP(A695, Prices!$A:$B, 2, FALSE), Inputs!$B$4)
        ) / 12,
        0)</f>
        <v>0</v>
      </c>
      <c r="L695" s="3">
        <f t="shared" si="3"/>
        <v>0</v>
      </c>
    </row>
    <row r="696" ht="15.75" customHeight="1">
      <c r="F696" s="3" t="str">
        <f>IFERROR(VLOOKUP(A696, Prices!A:B, 2, FALSE), )</f>
        <v/>
      </c>
      <c r="G696" s="3">
        <f>IFERROR(VLOOKUP(A696, Dividends!$A:$B, 2, FALSE),
       IFERROR( (VLOOKUP(A696, Dividends!$A:$C, 3, FALSE) / VLOOKUP(A696, Prices!$A:$B, 2, FALSE)) * 100,
                Inputs!$B$4*100 ))</f>
        <v>65</v>
      </c>
      <c r="H696" s="3">
        <f>IFERROR(SUMIF(Purchases!B:B, A696, Purchases!D:D), 0)</f>
        <v>0</v>
      </c>
      <c r="I696" s="3">
        <f t="shared" si="1"/>
        <v>0</v>
      </c>
      <c r="J696" s="3">
        <f t="shared" si="2"/>
        <v>0</v>
      </c>
      <c r="K696" s="3">
        <f>IF(J696&gt;0,
        J696 * IF(G696&gt;0, G696/100,
            IFERROR( VLOOKUP(A696, Dividends!$A:$C, 3, FALSE) / VLOOKUP(A696, Prices!$A:$B, 2, FALSE), Inputs!$B$4)
        ) / 12,
        0)</f>
        <v>0</v>
      </c>
      <c r="L696" s="3">
        <f t="shared" si="3"/>
        <v>0</v>
      </c>
    </row>
    <row r="697" ht="15.75" customHeight="1">
      <c r="F697" s="3" t="str">
        <f>IFERROR(VLOOKUP(A697, Prices!A:B, 2, FALSE), )</f>
        <v/>
      </c>
      <c r="G697" s="3">
        <f>IFERROR(VLOOKUP(A697, Dividends!$A:$B, 2, FALSE),
       IFERROR( (VLOOKUP(A697, Dividends!$A:$C, 3, FALSE) / VLOOKUP(A697, Prices!$A:$B, 2, FALSE)) * 100,
                Inputs!$B$4*100 ))</f>
        <v>65</v>
      </c>
      <c r="H697" s="3">
        <f>IFERROR(SUMIF(Purchases!B:B, A697, Purchases!D:D), 0)</f>
        <v>0</v>
      </c>
      <c r="I697" s="3">
        <f t="shared" si="1"/>
        <v>0</v>
      </c>
      <c r="J697" s="3">
        <f t="shared" si="2"/>
        <v>0</v>
      </c>
      <c r="K697" s="3">
        <f>IF(J697&gt;0,
        J697 * IF(G697&gt;0, G697/100,
            IFERROR( VLOOKUP(A697, Dividends!$A:$C, 3, FALSE) / VLOOKUP(A697, Prices!$A:$B, 2, FALSE), Inputs!$B$4)
        ) / 12,
        0)</f>
        <v>0</v>
      </c>
      <c r="L697" s="3">
        <f t="shared" si="3"/>
        <v>0</v>
      </c>
    </row>
    <row r="698" ht="15.75" customHeight="1">
      <c r="F698" s="3" t="str">
        <f>IFERROR(VLOOKUP(A698, Prices!A:B, 2, FALSE), )</f>
        <v/>
      </c>
      <c r="G698" s="3">
        <f>IFERROR(VLOOKUP(A698, Dividends!$A:$B, 2, FALSE),
       IFERROR( (VLOOKUP(A698, Dividends!$A:$C, 3, FALSE) / VLOOKUP(A698, Prices!$A:$B, 2, FALSE)) * 100,
                Inputs!$B$4*100 ))</f>
        <v>65</v>
      </c>
      <c r="H698" s="3">
        <f>IFERROR(SUMIF(Purchases!B:B, A698, Purchases!D:D), 0)</f>
        <v>0</v>
      </c>
      <c r="I698" s="3">
        <f t="shared" si="1"/>
        <v>0</v>
      </c>
      <c r="J698" s="3">
        <f t="shared" si="2"/>
        <v>0</v>
      </c>
      <c r="K698" s="3">
        <f>IF(J698&gt;0,
        J698 * IF(G698&gt;0, G698/100,
            IFERROR( VLOOKUP(A698, Dividends!$A:$C, 3, FALSE) / VLOOKUP(A698, Prices!$A:$B, 2, FALSE), Inputs!$B$4)
        ) / 12,
        0)</f>
        <v>0</v>
      </c>
      <c r="L698" s="3">
        <f t="shared" si="3"/>
        <v>0</v>
      </c>
    </row>
    <row r="699" ht="15.75" customHeight="1">
      <c r="F699" s="3" t="str">
        <f>IFERROR(VLOOKUP(A699, Prices!A:B, 2, FALSE), )</f>
        <v/>
      </c>
      <c r="G699" s="3">
        <f>IFERROR(VLOOKUP(A699, Dividends!$A:$B, 2, FALSE),
       IFERROR( (VLOOKUP(A699, Dividends!$A:$C, 3, FALSE) / VLOOKUP(A699, Prices!$A:$B, 2, FALSE)) * 100,
                Inputs!$B$4*100 ))</f>
        <v>65</v>
      </c>
      <c r="H699" s="3">
        <f>IFERROR(SUMIF(Purchases!B:B, A699, Purchases!D:D), 0)</f>
        <v>0</v>
      </c>
      <c r="I699" s="3">
        <f t="shared" si="1"/>
        <v>0</v>
      </c>
      <c r="J699" s="3">
        <f t="shared" si="2"/>
        <v>0</v>
      </c>
      <c r="K699" s="3">
        <f>IF(J699&gt;0,
        J699 * IF(G699&gt;0, G699/100,
            IFERROR( VLOOKUP(A699, Dividends!$A:$C, 3, FALSE) / VLOOKUP(A699, Prices!$A:$B, 2, FALSE), Inputs!$B$4)
        ) / 12,
        0)</f>
        <v>0</v>
      </c>
      <c r="L699" s="3">
        <f t="shared" si="3"/>
        <v>0</v>
      </c>
    </row>
    <row r="700" ht="15.75" customHeight="1">
      <c r="F700" s="3" t="str">
        <f>IFERROR(VLOOKUP(A700, Prices!A:B, 2, FALSE), )</f>
        <v/>
      </c>
      <c r="G700" s="3">
        <f>IFERROR(VLOOKUP(A700, Dividends!$A:$B, 2, FALSE),
       IFERROR( (VLOOKUP(A700, Dividends!$A:$C, 3, FALSE) / VLOOKUP(A700, Prices!$A:$B, 2, FALSE)) * 100,
                Inputs!$B$4*100 ))</f>
        <v>65</v>
      </c>
      <c r="H700" s="3">
        <f>IFERROR(SUMIF(Purchases!B:B, A700, Purchases!D:D), 0)</f>
        <v>0</v>
      </c>
      <c r="I700" s="3">
        <f t="shared" si="1"/>
        <v>0</v>
      </c>
      <c r="J700" s="3">
        <f t="shared" si="2"/>
        <v>0</v>
      </c>
      <c r="K700" s="3">
        <f>IF(J700&gt;0,
        J700 * IF(G700&gt;0, G700/100,
            IFERROR( VLOOKUP(A700, Dividends!$A:$C, 3, FALSE) / VLOOKUP(A700, Prices!$A:$B, 2, FALSE), Inputs!$B$4)
        ) / 12,
        0)</f>
        <v>0</v>
      </c>
      <c r="L700" s="3">
        <f t="shared" si="3"/>
        <v>0</v>
      </c>
    </row>
    <row r="701" ht="15.75" customHeight="1">
      <c r="F701" s="3" t="str">
        <f>IFERROR(VLOOKUP(A701, Prices!A:B, 2, FALSE), )</f>
        <v/>
      </c>
      <c r="G701" s="3">
        <f>IFERROR(VLOOKUP(A701, Dividends!$A:$B, 2, FALSE),
       IFERROR( (VLOOKUP(A701, Dividends!$A:$C, 3, FALSE) / VLOOKUP(A701, Prices!$A:$B, 2, FALSE)) * 100,
                Inputs!$B$4*100 ))</f>
        <v>65</v>
      </c>
      <c r="H701" s="3">
        <f>IFERROR(SUMIF(Purchases!B:B, A701, Purchases!D:D), 0)</f>
        <v>0</v>
      </c>
      <c r="I701" s="3">
        <f t="shared" si="1"/>
        <v>0</v>
      </c>
      <c r="J701" s="3">
        <f t="shared" si="2"/>
        <v>0</v>
      </c>
      <c r="K701" s="3">
        <f>IF(J701&gt;0,
        J701 * IF(G701&gt;0, G701/100,
            IFERROR( VLOOKUP(A701, Dividends!$A:$C, 3, FALSE) / VLOOKUP(A701, Prices!$A:$B, 2, FALSE), Inputs!$B$4)
        ) / 12,
        0)</f>
        <v>0</v>
      </c>
      <c r="L701" s="3">
        <f t="shared" si="3"/>
        <v>0</v>
      </c>
    </row>
    <row r="702" ht="15.75" customHeight="1">
      <c r="F702" s="3" t="str">
        <f>IFERROR(VLOOKUP(A702, Prices!A:B, 2, FALSE), )</f>
        <v/>
      </c>
      <c r="G702" s="3">
        <f>IFERROR(VLOOKUP(A702, Dividends!$A:$B, 2, FALSE),
       IFERROR( (VLOOKUP(A702, Dividends!$A:$C, 3, FALSE) / VLOOKUP(A702, Prices!$A:$B, 2, FALSE)) * 100,
                Inputs!$B$4*100 ))</f>
        <v>65</v>
      </c>
      <c r="H702" s="3">
        <f>IFERROR(SUMIF(Purchases!B:B, A702, Purchases!D:D), 0)</f>
        <v>0</v>
      </c>
      <c r="I702" s="3">
        <f t="shared" si="1"/>
        <v>0</v>
      </c>
      <c r="J702" s="3">
        <f t="shared" si="2"/>
        <v>0</v>
      </c>
      <c r="K702" s="3">
        <f>IF(J702&gt;0,
        J702 * IF(G702&gt;0, G702/100,
            IFERROR( VLOOKUP(A702, Dividends!$A:$C, 3, FALSE) / VLOOKUP(A702, Prices!$A:$B, 2, FALSE), Inputs!$B$4)
        ) / 12,
        0)</f>
        <v>0</v>
      </c>
      <c r="L702" s="3">
        <f t="shared" si="3"/>
        <v>0</v>
      </c>
    </row>
    <row r="703" ht="15.75" customHeight="1">
      <c r="F703" s="3" t="str">
        <f>IFERROR(VLOOKUP(A703, Prices!A:B, 2, FALSE), )</f>
        <v/>
      </c>
      <c r="G703" s="3">
        <f>IFERROR(VLOOKUP(A703, Dividends!$A:$B, 2, FALSE),
       IFERROR( (VLOOKUP(A703, Dividends!$A:$C, 3, FALSE) / VLOOKUP(A703, Prices!$A:$B, 2, FALSE)) * 100,
                Inputs!$B$4*100 ))</f>
        <v>65</v>
      </c>
      <c r="H703" s="3">
        <f>IFERROR(SUMIF(Purchases!B:B, A703, Purchases!D:D), 0)</f>
        <v>0</v>
      </c>
      <c r="I703" s="3">
        <f t="shared" si="1"/>
        <v>0</v>
      </c>
      <c r="J703" s="3">
        <f t="shared" si="2"/>
        <v>0</v>
      </c>
      <c r="K703" s="3">
        <f>IF(J703&gt;0,
        J703 * IF(G703&gt;0, G703/100,
            IFERROR( VLOOKUP(A703, Dividends!$A:$C, 3, FALSE) / VLOOKUP(A703, Prices!$A:$B, 2, FALSE), Inputs!$B$4)
        ) / 12,
        0)</f>
        <v>0</v>
      </c>
      <c r="L703" s="3">
        <f t="shared" si="3"/>
        <v>0</v>
      </c>
    </row>
    <row r="704" ht="15.75" customHeight="1">
      <c r="F704" s="3" t="str">
        <f>IFERROR(VLOOKUP(A704, Prices!A:B, 2, FALSE), )</f>
        <v/>
      </c>
      <c r="G704" s="3">
        <f>IFERROR(VLOOKUP(A704, Dividends!$A:$B, 2, FALSE),
       IFERROR( (VLOOKUP(A704, Dividends!$A:$C, 3, FALSE) / VLOOKUP(A704, Prices!$A:$B, 2, FALSE)) * 100,
                Inputs!$B$4*100 ))</f>
        <v>65</v>
      </c>
      <c r="H704" s="3">
        <f>IFERROR(SUMIF(Purchases!B:B, A704, Purchases!D:D), 0)</f>
        <v>0</v>
      </c>
      <c r="I704" s="3">
        <f t="shared" si="1"/>
        <v>0</v>
      </c>
      <c r="J704" s="3">
        <f t="shared" si="2"/>
        <v>0</v>
      </c>
      <c r="K704" s="3">
        <f>IF(J704&gt;0,
        J704 * IF(G704&gt;0, G704/100,
            IFERROR( VLOOKUP(A704, Dividends!$A:$C, 3, FALSE) / VLOOKUP(A704, Prices!$A:$B, 2, FALSE), Inputs!$B$4)
        ) / 12,
        0)</f>
        <v>0</v>
      </c>
      <c r="L704" s="3">
        <f t="shared" si="3"/>
        <v>0</v>
      </c>
    </row>
    <row r="705" ht="15.75" customHeight="1">
      <c r="F705" s="3" t="str">
        <f>IFERROR(VLOOKUP(A705, Prices!A:B, 2, FALSE), )</f>
        <v/>
      </c>
      <c r="G705" s="3">
        <f>IFERROR(VLOOKUP(A705, Dividends!$A:$B, 2, FALSE),
       IFERROR( (VLOOKUP(A705, Dividends!$A:$C, 3, FALSE) / VLOOKUP(A705, Prices!$A:$B, 2, FALSE)) * 100,
                Inputs!$B$4*100 ))</f>
        <v>65</v>
      </c>
      <c r="H705" s="3">
        <f>IFERROR(SUMIF(Purchases!B:B, A705, Purchases!D:D), 0)</f>
        <v>0</v>
      </c>
      <c r="I705" s="3">
        <f t="shared" si="1"/>
        <v>0</v>
      </c>
      <c r="J705" s="3">
        <f t="shared" si="2"/>
        <v>0</v>
      </c>
      <c r="K705" s="3">
        <f>IF(J705&gt;0,
        J705 * IF(G705&gt;0, G705/100,
            IFERROR( VLOOKUP(A705, Dividends!$A:$C, 3, FALSE) / VLOOKUP(A705, Prices!$A:$B, 2, FALSE), Inputs!$B$4)
        ) / 12,
        0)</f>
        <v>0</v>
      </c>
      <c r="L705" s="3">
        <f t="shared" si="3"/>
        <v>0</v>
      </c>
    </row>
    <row r="706" ht="15.75" customHeight="1">
      <c r="F706" s="3" t="str">
        <f>IFERROR(VLOOKUP(A706, Prices!A:B, 2, FALSE), )</f>
        <v/>
      </c>
      <c r="G706" s="3">
        <f>IFERROR(VLOOKUP(A706, Dividends!$A:$B, 2, FALSE),
       IFERROR( (VLOOKUP(A706, Dividends!$A:$C, 3, FALSE) / VLOOKUP(A706, Prices!$A:$B, 2, FALSE)) * 100,
                Inputs!$B$4*100 ))</f>
        <v>65</v>
      </c>
      <c r="H706" s="3">
        <f>IFERROR(SUMIF(Purchases!B:B, A706, Purchases!D:D), 0)</f>
        <v>0</v>
      </c>
      <c r="I706" s="3">
        <f t="shared" si="1"/>
        <v>0</v>
      </c>
      <c r="J706" s="3">
        <f t="shared" si="2"/>
        <v>0</v>
      </c>
      <c r="K706" s="3">
        <f>IF(J706&gt;0,
        J706 * IF(G706&gt;0, G706/100,
            IFERROR( VLOOKUP(A706, Dividends!$A:$C, 3, FALSE) / VLOOKUP(A706, Prices!$A:$B, 2, FALSE), Inputs!$B$4)
        ) / 12,
        0)</f>
        <v>0</v>
      </c>
      <c r="L706" s="3">
        <f t="shared" si="3"/>
        <v>0</v>
      </c>
    </row>
    <row r="707" ht="15.75" customHeight="1">
      <c r="F707" s="3" t="str">
        <f>IFERROR(VLOOKUP(A707, Prices!A:B, 2, FALSE), )</f>
        <v/>
      </c>
      <c r="G707" s="3">
        <f>IFERROR(VLOOKUP(A707, Dividends!$A:$B, 2, FALSE),
       IFERROR( (VLOOKUP(A707, Dividends!$A:$C, 3, FALSE) / VLOOKUP(A707, Prices!$A:$B, 2, FALSE)) * 100,
                Inputs!$B$4*100 ))</f>
        <v>65</v>
      </c>
      <c r="H707" s="3">
        <f>IFERROR(SUMIF(Purchases!B:B, A707, Purchases!D:D), 0)</f>
        <v>0</v>
      </c>
      <c r="I707" s="3">
        <f t="shared" si="1"/>
        <v>0</v>
      </c>
      <c r="J707" s="3">
        <f t="shared" si="2"/>
        <v>0</v>
      </c>
      <c r="K707" s="3">
        <f>IF(J707&gt;0,
        J707 * IF(G707&gt;0, G707/100,
            IFERROR( VLOOKUP(A707, Dividends!$A:$C, 3, FALSE) / VLOOKUP(A707, Prices!$A:$B, 2, FALSE), Inputs!$B$4)
        ) / 12,
        0)</f>
        <v>0</v>
      </c>
      <c r="L707" s="3">
        <f t="shared" si="3"/>
        <v>0</v>
      </c>
    </row>
    <row r="708" ht="15.75" customHeight="1">
      <c r="F708" s="3" t="str">
        <f>IFERROR(VLOOKUP(A708, Prices!A:B, 2, FALSE), )</f>
        <v/>
      </c>
      <c r="G708" s="3">
        <f>IFERROR(VLOOKUP(A708, Dividends!$A:$B, 2, FALSE),
       IFERROR( (VLOOKUP(A708, Dividends!$A:$C, 3, FALSE) / VLOOKUP(A708, Prices!$A:$B, 2, FALSE)) * 100,
                Inputs!$B$4*100 ))</f>
        <v>65</v>
      </c>
      <c r="H708" s="3">
        <f>IFERROR(SUMIF(Purchases!B:B, A708, Purchases!D:D), 0)</f>
        <v>0</v>
      </c>
      <c r="I708" s="3">
        <f t="shared" si="1"/>
        <v>0</v>
      </c>
      <c r="J708" s="3">
        <f t="shared" si="2"/>
        <v>0</v>
      </c>
      <c r="K708" s="3">
        <f>IF(J708&gt;0,
        J708 * IF(G708&gt;0, G708/100,
            IFERROR( VLOOKUP(A708, Dividends!$A:$C, 3, FALSE) / VLOOKUP(A708, Prices!$A:$B, 2, FALSE), Inputs!$B$4)
        ) / 12,
        0)</f>
        <v>0</v>
      </c>
      <c r="L708" s="3">
        <f t="shared" si="3"/>
        <v>0</v>
      </c>
    </row>
    <row r="709" ht="15.75" customHeight="1">
      <c r="F709" s="3" t="str">
        <f>IFERROR(VLOOKUP(A709, Prices!A:B, 2, FALSE), )</f>
        <v/>
      </c>
      <c r="G709" s="3">
        <f>IFERROR(VLOOKUP(A709, Dividends!$A:$B, 2, FALSE),
       IFERROR( (VLOOKUP(A709, Dividends!$A:$C, 3, FALSE) / VLOOKUP(A709, Prices!$A:$B, 2, FALSE)) * 100,
                Inputs!$B$4*100 ))</f>
        <v>65</v>
      </c>
      <c r="H709" s="3">
        <f>IFERROR(SUMIF(Purchases!B:B, A709, Purchases!D:D), 0)</f>
        <v>0</v>
      </c>
      <c r="I709" s="3">
        <f t="shared" si="1"/>
        <v>0</v>
      </c>
      <c r="J709" s="3">
        <f t="shared" si="2"/>
        <v>0</v>
      </c>
      <c r="K709" s="3">
        <f>IF(J709&gt;0,
        J709 * IF(G709&gt;0, G709/100,
            IFERROR( VLOOKUP(A709, Dividends!$A:$C, 3, FALSE) / VLOOKUP(A709, Prices!$A:$B, 2, FALSE), Inputs!$B$4)
        ) / 12,
        0)</f>
        <v>0</v>
      </c>
      <c r="L709" s="3">
        <f t="shared" si="3"/>
        <v>0</v>
      </c>
    </row>
    <row r="710" ht="15.75" customHeight="1">
      <c r="F710" s="3" t="str">
        <f>IFERROR(VLOOKUP(A710, Prices!A:B, 2, FALSE), )</f>
        <v/>
      </c>
      <c r="G710" s="3">
        <f>IFERROR(VLOOKUP(A710, Dividends!$A:$B, 2, FALSE),
       IFERROR( (VLOOKUP(A710, Dividends!$A:$C, 3, FALSE) / VLOOKUP(A710, Prices!$A:$B, 2, FALSE)) * 100,
                Inputs!$B$4*100 ))</f>
        <v>65</v>
      </c>
      <c r="H710" s="3">
        <f>IFERROR(SUMIF(Purchases!B:B, A710, Purchases!D:D), 0)</f>
        <v>0</v>
      </c>
      <c r="I710" s="3">
        <f t="shared" si="1"/>
        <v>0</v>
      </c>
      <c r="J710" s="3">
        <f t="shared" si="2"/>
        <v>0</v>
      </c>
      <c r="K710" s="3">
        <f>IF(J710&gt;0,
        J710 * IF(G710&gt;0, G710/100,
            IFERROR( VLOOKUP(A710, Dividends!$A:$C, 3, FALSE) / VLOOKUP(A710, Prices!$A:$B, 2, FALSE), Inputs!$B$4)
        ) / 12,
        0)</f>
        <v>0</v>
      </c>
      <c r="L710" s="3">
        <f t="shared" si="3"/>
        <v>0</v>
      </c>
    </row>
    <row r="711" ht="15.75" customHeight="1">
      <c r="F711" s="3" t="str">
        <f>IFERROR(VLOOKUP(A711, Prices!A:B, 2, FALSE), )</f>
        <v/>
      </c>
      <c r="G711" s="3">
        <f>IFERROR(VLOOKUP(A711, Dividends!$A:$B, 2, FALSE),
       IFERROR( (VLOOKUP(A711, Dividends!$A:$C, 3, FALSE) / VLOOKUP(A711, Prices!$A:$B, 2, FALSE)) * 100,
                Inputs!$B$4*100 ))</f>
        <v>65</v>
      </c>
      <c r="H711" s="3">
        <f>IFERROR(SUMIF(Purchases!B:B, A711, Purchases!D:D), 0)</f>
        <v>0</v>
      </c>
      <c r="I711" s="3">
        <f t="shared" si="1"/>
        <v>0</v>
      </c>
      <c r="J711" s="3">
        <f t="shared" si="2"/>
        <v>0</v>
      </c>
      <c r="K711" s="3">
        <f>IF(J711&gt;0,
        J711 * IF(G711&gt;0, G711/100,
            IFERROR( VLOOKUP(A711, Dividends!$A:$C, 3, FALSE) / VLOOKUP(A711, Prices!$A:$B, 2, FALSE), Inputs!$B$4)
        ) / 12,
        0)</f>
        <v>0</v>
      </c>
      <c r="L711" s="3">
        <f t="shared" si="3"/>
        <v>0</v>
      </c>
    </row>
    <row r="712" ht="15.75" customHeight="1">
      <c r="F712" s="3" t="str">
        <f>IFERROR(VLOOKUP(A712, Prices!A:B, 2, FALSE), )</f>
        <v/>
      </c>
      <c r="G712" s="3">
        <f>IFERROR(VLOOKUP(A712, Dividends!$A:$B, 2, FALSE),
       IFERROR( (VLOOKUP(A712, Dividends!$A:$C, 3, FALSE) / VLOOKUP(A712, Prices!$A:$B, 2, FALSE)) * 100,
                Inputs!$B$4*100 ))</f>
        <v>65</v>
      </c>
      <c r="H712" s="3">
        <f>IFERROR(SUMIF(Purchases!B:B, A712, Purchases!D:D), 0)</f>
        <v>0</v>
      </c>
      <c r="I712" s="3">
        <f t="shared" si="1"/>
        <v>0</v>
      </c>
      <c r="J712" s="3">
        <f t="shared" si="2"/>
        <v>0</v>
      </c>
      <c r="K712" s="3">
        <f>IF(J712&gt;0,
        J712 * IF(G712&gt;0, G712/100,
            IFERROR( VLOOKUP(A712, Dividends!$A:$C, 3, FALSE) / VLOOKUP(A712, Prices!$A:$B, 2, FALSE), Inputs!$B$4)
        ) / 12,
        0)</f>
        <v>0</v>
      </c>
      <c r="L712" s="3">
        <f t="shared" si="3"/>
        <v>0</v>
      </c>
    </row>
    <row r="713" ht="15.75" customHeight="1">
      <c r="F713" s="3" t="str">
        <f>IFERROR(VLOOKUP(A713, Prices!A:B, 2, FALSE), )</f>
        <v/>
      </c>
      <c r="G713" s="3">
        <f>IFERROR(VLOOKUP(A713, Dividends!$A:$B, 2, FALSE),
       IFERROR( (VLOOKUP(A713, Dividends!$A:$C, 3, FALSE) / VLOOKUP(A713, Prices!$A:$B, 2, FALSE)) * 100,
                Inputs!$B$4*100 ))</f>
        <v>65</v>
      </c>
      <c r="H713" s="3">
        <f>IFERROR(SUMIF(Purchases!B:B, A713, Purchases!D:D), 0)</f>
        <v>0</v>
      </c>
      <c r="I713" s="3">
        <f t="shared" si="1"/>
        <v>0</v>
      </c>
      <c r="J713" s="3">
        <f t="shared" si="2"/>
        <v>0</v>
      </c>
      <c r="K713" s="3">
        <f>IF(J713&gt;0,
        J713 * IF(G713&gt;0, G713/100,
            IFERROR( VLOOKUP(A713, Dividends!$A:$C, 3, FALSE) / VLOOKUP(A713, Prices!$A:$B, 2, FALSE), Inputs!$B$4)
        ) / 12,
        0)</f>
        <v>0</v>
      </c>
      <c r="L713" s="3">
        <f t="shared" si="3"/>
        <v>0</v>
      </c>
    </row>
    <row r="714" ht="15.75" customHeight="1">
      <c r="F714" s="3" t="str">
        <f>IFERROR(VLOOKUP(A714, Prices!A:B, 2, FALSE), )</f>
        <v/>
      </c>
      <c r="G714" s="3">
        <f>IFERROR(VLOOKUP(A714, Dividends!$A:$B, 2, FALSE),
       IFERROR( (VLOOKUP(A714, Dividends!$A:$C, 3, FALSE) / VLOOKUP(A714, Prices!$A:$B, 2, FALSE)) * 100,
                Inputs!$B$4*100 ))</f>
        <v>65</v>
      </c>
      <c r="H714" s="3">
        <f>IFERROR(SUMIF(Purchases!B:B, A714, Purchases!D:D), 0)</f>
        <v>0</v>
      </c>
      <c r="I714" s="3">
        <f t="shared" si="1"/>
        <v>0</v>
      </c>
      <c r="J714" s="3">
        <f t="shared" si="2"/>
        <v>0</v>
      </c>
      <c r="K714" s="3">
        <f>IF(J714&gt;0,
        J714 * IF(G714&gt;0, G714/100,
            IFERROR( VLOOKUP(A714, Dividends!$A:$C, 3, FALSE) / VLOOKUP(A714, Prices!$A:$B, 2, FALSE), Inputs!$B$4)
        ) / 12,
        0)</f>
        <v>0</v>
      </c>
      <c r="L714" s="3">
        <f t="shared" si="3"/>
        <v>0</v>
      </c>
    </row>
    <row r="715" ht="15.75" customHeight="1">
      <c r="F715" s="3" t="str">
        <f>IFERROR(VLOOKUP(A715, Prices!A:B, 2, FALSE), )</f>
        <v/>
      </c>
      <c r="G715" s="3">
        <f>IFERROR(VLOOKUP(A715, Dividends!$A:$B, 2, FALSE),
       IFERROR( (VLOOKUP(A715, Dividends!$A:$C, 3, FALSE) / VLOOKUP(A715, Prices!$A:$B, 2, FALSE)) * 100,
                Inputs!$B$4*100 ))</f>
        <v>65</v>
      </c>
      <c r="H715" s="3">
        <f>IFERROR(SUMIF(Purchases!B:B, A715, Purchases!D:D), 0)</f>
        <v>0</v>
      </c>
      <c r="I715" s="3">
        <f t="shared" si="1"/>
        <v>0</v>
      </c>
      <c r="J715" s="3">
        <f t="shared" si="2"/>
        <v>0</v>
      </c>
      <c r="K715" s="3">
        <f>IF(J715&gt;0,
        J715 * IF(G715&gt;0, G715/100,
            IFERROR( VLOOKUP(A715, Dividends!$A:$C, 3, FALSE) / VLOOKUP(A715, Prices!$A:$B, 2, FALSE), Inputs!$B$4)
        ) / 12,
        0)</f>
        <v>0</v>
      </c>
      <c r="L715" s="3">
        <f t="shared" si="3"/>
        <v>0</v>
      </c>
    </row>
    <row r="716" ht="15.75" customHeight="1">
      <c r="F716" s="3" t="str">
        <f>IFERROR(VLOOKUP(A716, Prices!A:B, 2, FALSE), )</f>
        <v/>
      </c>
      <c r="G716" s="3">
        <f>IFERROR(VLOOKUP(A716, Dividends!$A:$B, 2, FALSE),
       IFERROR( (VLOOKUP(A716, Dividends!$A:$C, 3, FALSE) / VLOOKUP(A716, Prices!$A:$B, 2, FALSE)) * 100,
                Inputs!$B$4*100 ))</f>
        <v>65</v>
      </c>
      <c r="H716" s="3">
        <f>IFERROR(SUMIF(Purchases!B:B, A716, Purchases!D:D), 0)</f>
        <v>0</v>
      </c>
      <c r="I716" s="3">
        <f t="shared" si="1"/>
        <v>0</v>
      </c>
      <c r="J716" s="3">
        <f t="shared" si="2"/>
        <v>0</v>
      </c>
      <c r="K716" s="3">
        <f>IF(J716&gt;0,
        J716 * IF(G716&gt;0, G716/100,
            IFERROR( VLOOKUP(A716, Dividends!$A:$C, 3, FALSE) / VLOOKUP(A716, Prices!$A:$B, 2, FALSE), Inputs!$B$4)
        ) / 12,
        0)</f>
        <v>0</v>
      </c>
      <c r="L716" s="3">
        <f t="shared" si="3"/>
        <v>0</v>
      </c>
    </row>
    <row r="717" ht="15.75" customHeight="1">
      <c r="F717" s="3" t="str">
        <f>IFERROR(VLOOKUP(A717, Prices!A:B, 2, FALSE), )</f>
        <v/>
      </c>
      <c r="G717" s="3">
        <f>IFERROR(VLOOKUP(A717, Dividends!$A:$B, 2, FALSE),
       IFERROR( (VLOOKUP(A717, Dividends!$A:$C, 3, FALSE) / VLOOKUP(A717, Prices!$A:$B, 2, FALSE)) * 100,
                Inputs!$B$4*100 ))</f>
        <v>65</v>
      </c>
      <c r="H717" s="3">
        <f>IFERROR(SUMIF(Purchases!B:B, A717, Purchases!D:D), 0)</f>
        <v>0</v>
      </c>
      <c r="I717" s="3">
        <f t="shared" si="1"/>
        <v>0</v>
      </c>
      <c r="J717" s="3">
        <f t="shared" si="2"/>
        <v>0</v>
      </c>
      <c r="K717" s="3">
        <f>IF(J717&gt;0,
        J717 * IF(G717&gt;0, G717/100,
            IFERROR( VLOOKUP(A717, Dividends!$A:$C, 3, FALSE) / VLOOKUP(A717, Prices!$A:$B, 2, FALSE), Inputs!$B$4)
        ) / 12,
        0)</f>
        <v>0</v>
      </c>
      <c r="L717" s="3">
        <f t="shared" si="3"/>
        <v>0</v>
      </c>
    </row>
    <row r="718" ht="15.75" customHeight="1">
      <c r="F718" s="3" t="str">
        <f>IFERROR(VLOOKUP(A718, Prices!A:B, 2, FALSE), )</f>
        <v/>
      </c>
      <c r="G718" s="3">
        <f>IFERROR(VLOOKUP(A718, Dividends!$A:$B, 2, FALSE),
       IFERROR( (VLOOKUP(A718, Dividends!$A:$C, 3, FALSE) / VLOOKUP(A718, Prices!$A:$B, 2, FALSE)) * 100,
                Inputs!$B$4*100 ))</f>
        <v>65</v>
      </c>
      <c r="H718" s="3">
        <f>IFERROR(SUMIF(Purchases!B:B, A718, Purchases!D:D), 0)</f>
        <v>0</v>
      </c>
      <c r="I718" s="3">
        <f t="shared" si="1"/>
        <v>0</v>
      </c>
      <c r="J718" s="3">
        <f t="shared" si="2"/>
        <v>0</v>
      </c>
      <c r="K718" s="3">
        <f>IF(J718&gt;0,
        J718 * IF(G718&gt;0, G718/100,
            IFERROR( VLOOKUP(A718, Dividends!$A:$C, 3, FALSE) / VLOOKUP(A718, Prices!$A:$B, 2, FALSE), Inputs!$B$4)
        ) / 12,
        0)</f>
        <v>0</v>
      </c>
      <c r="L718" s="3">
        <f t="shared" si="3"/>
        <v>0</v>
      </c>
    </row>
    <row r="719" ht="15.75" customHeight="1">
      <c r="F719" s="3" t="str">
        <f>IFERROR(VLOOKUP(A719, Prices!A:B, 2, FALSE), )</f>
        <v/>
      </c>
      <c r="G719" s="3">
        <f>IFERROR(VLOOKUP(A719, Dividends!$A:$B, 2, FALSE),
       IFERROR( (VLOOKUP(A719, Dividends!$A:$C, 3, FALSE) / VLOOKUP(A719, Prices!$A:$B, 2, FALSE)) * 100,
                Inputs!$B$4*100 ))</f>
        <v>65</v>
      </c>
      <c r="H719" s="3">
        <f>IFERROR(SUMIF(Purchases!B:B, A719, Purchases!D:D), 0)</f>
        <v>0</v>
      </c>
      <c r="I719" s="3">
        <f t="shared" si="1"/>
        <v>0</v>
      </c>
      <c r="J719" s="3">
        <f t="shared" si="2"/>
        <v>0</v>
      </c>
      <c r="K719" s="3">
        <f>IF(J719&gt;0,
        J719 * IF(G719&gt;0, G719/100,
            IFERROR( VLOOKUP(A719, Dividends!$A:$C, 3, FALSE) / VLOOKUP(A719, Prices!$A:$B, 2, FALSE), Inputs!$B$4)
        ) / 12,
        0)</f>
        <v>0</v>
      </c>
      <c r="L719" s="3">
        <f t="shared" si="3"/>
        <v>0</v>
      </c>
    </row>
    <row r="720" ht="15.75" customHeight="1">
      <c r="F720" s="3" t="str">
        <f>IFERROR(VLOOKUP(A720, Prices!A:B, 2, FALSE), )</f>
        <v/>
      </c>
      <c r="G720" s="3">
        <f>IFERROR(VLOOKUP(A720, Dividends!$A:$B, 2, FALSE),
       IFERROR( (VLOOKUP(A720, Dividends!$A:$C, 3, FALSE) / VLOOKUP(A720, Prices!$A:$B, 2, FALSE)) * 100,
                Inputs!$B$4*100 ))</f>
        <v>65</v>
      </c>
      <c r="H720" s="3">
        <f>IFERROR(SUMIF(Purchases!B:B, A720, Purchases!D:D), 0)</f>
        <v>0</v>
      </c>
      <c r="I720" s="3">
        <f t="shared" si="1"/>
        <v>0</v>
      </c>
      <c r="J720" s="3">
        <f t="shared" si="2"/>
        <v>0</v>
      </c>
      <c r="K720" s="3">
        <f>IF(J720&gt;0,
        J720 * IF(G720&gt;0, G720/100,
            IFERROR( VLOOKUP(A720, Dividends!$A:$C, 3, FALSE) / VLOOKUP(A720, Prices!$A:$B, 2, FALSE), Inputs!$B$4)
        ) / 12,
        0)</f>
        <v>0</v>
      </c>
      <c r="L720" s="3">
        <f t="shared" si="3"/>
        <v>0</v>
      </c>
    </row>
    <row r="721" ht="15.75" customHeight="1">
      <c r="F721" s="3" t="str">
        <f>IFERROR(VLOOKUP(A721, Prices!A:B, 2, FALSE), )</f>
        <v/>
      </c>
      <c r="G721" s="3">
        <f>IFERROR(VLOOKUP(A721, Dividends!$A:$B, 2, FALSE),
       IFERROR( (VLOOKUP(A721, Dividends!$A:$C, 3, FALSE) / VLOOKUP(A721, Prices!$A:$B, 2, FALSE)) * 100,
                Inputs!$B$4*100 ))</f>
        <v>65</v>
      </c>
      <c r="H721" s="3">
        <f>IFERROR(SUMIF(Purchases!B:B, A721, Purchases!D:D), 0)</f>
        <v>0</v>
      </c>
      <c r="I721" s="3">
        <f t="shared" si="1"/>
        <v>0</v>
      </c>
      <c r="J721" s="3">
        <f t="shared" si="2"/>
        <v>0</v>
      </c>
      <c r="K721" s="3">
        <f>IF(J721&gt;0,
        J721 * IF(G721&gt;0, G721/100,
            IFERROR( VLOOKUP(A721, Dividends!$A:$C, 3, FALSE) / VLOOKUP(A721, Prices!$A:$B, 2, FALSE), Inputs!$B$4)
        ) / 12,
        0)</f>
        <v>0</v>
      </c>
      <c r="L721" s="3">
        <f t="shared" si="3"/>
        <v>0</v>
      </c>
    </row>
    <row r="722" ht="15.75" customHeight="1">
      <c r="F722" s="3" t="str">
        <f>IFERROR(VLOOKUP(A722, Prices!A:B, 2, FALSE), )</f>
        <v/>
      </c>
      <c r="G722" s="3">
        <f>IFERROR(VLOOKUP(A722, Dividends!$A:$B, 2, FALSE),
       IFERROR( (VLOOKUP(A722, Dividends!$A:$C, 3, FALSE) / VLOOKUP(A722, Prices!$A:$B, 2, FALSE)) * 100,
                Inputs!$B$4*100 ))</f>
        <v>65</v>
      </c>
      <c r="H722" s="3">
        <f>IFERROR(SUMIF(Purchases!B:B, A722, Purchases!D:D), 0)</f>
        <v>0</v>
      </c>
      <c r="I722" s="3">
        <f t="shared" si="1"/>
        <v>0</v>
      </c>
      <c r="J722" s="3">
        <f t="shared" si="2"/>
        <v>0</v>
      </c>
      <c r="K722" s="3">
        <f>IF(J722&gt;0,
        J722 * IF(G722&gt;0, G722/100,
            IFERROR( VLOOKUP(A722, Dividends!$A:$C, 3, FALSE) / VLOOKUP(A722, Prices!$A:$B, 2, FALSE), Inputs!$B$4)
        ) / 12,
        0)</f>
        <v>0</v>
      </c>
      <c r="L722" s="3">
        <f t="shared" si="3"/>
        <v>0</v>
      </c>
    </row>
    <row r="723" ht="15.75" customHeight="1">
      <c r="F723" s="3" t="str">
        <f>IFERROR(VLOOKUP(A723, Prices!A:B, 2, FALSE), )</f>
        <v/>
      </c>
      <c r="G723" s="3">
        <f>IFERROR(VLOOKUP(A723, Dividends!$A:$B, 2, FALSE),
       IFERROR( (VLOOKUP(A723, Dividends!$A:$C, 3, FALSE) / VLOOKUP(A723, Prices!$A:$B, 2, FALSE)) * 100,
                Inputs!$B$4*100 ))</f>
        <v>65</v>
      </c>
      <c r="H723" s="3">
        <f>IFERROR(SUMIF(Purchases!B:B, A723, Purchases!D:D), 0)</f>
        <v>0</v>
      </c>
      <c r="I723" s="3">
        <f t="shared" si="1"/>
        <v>0</v>
      </c>
      <c r="J723" s="3">
        <f t="shared" si="2"/>
        <v>0</v>
      </c>
      <c r="K723" s="3">
        <f>IF(J723&gt;0,
        J723 * IF(G723&gt;0, G723/100,
            IFERROR( VLOOKUP(A723, Dividends!$A:$C, 3, FALSE) / VLOOKUP(A723, Prices!$A:$B, 2, FALSE), Inputs!$B$4)
        ) / 12,
        0)</f>
        <v>0</v>
      </c>
      <c r="L723" s="3">
        <f t="shared" si="3"/>
        <v>0</v>
      </c>
    </row>
    <row r="724" ht="15.75" customHeight="1">
      <c r="F724" s="3" t="str">
        <f>IFERROR(VLOOKUP(A724, Prices!A:B, 2, FALSE), )</f>
        <v/>
      </c>
      <c r="G724" s="3">
        <f>IFERROR(VLOOKUP(A724, Dividends!$A:$B, 2, FALSE),
       IFERROR( (VLOOKUP(A724, Dividends!$A:$C, 3, FALSE) / VLOOKUP(A724, Prices!$A:$B, 2, FALSE)) * 100,
                Inputs!$B$4*100 ))</f>
        <v>65</v>
      </c>
      <c r="H724" s="3">
        <f>IFERROR(SUMIF(Purchases!B:B, A724, Purchases!D:D), 0)</f>
        <v>0</v>
      </c>
      <c r="I724" s="3">
        <f t="shared" si="1"/>
        <v>0</v>
      </c>
      <c r="J724" s="3">
        <f t="shared" si="2"/>
        <v>0</v>
      </c>
      <c r="K724" s="3">
        <f>IF(J724&gt;0,
        J724 * IF(G724&gt;0, G724/100,
            IFERROR( VLOOKUP(A724, Dividends!$A:$C, 3, FALSE) / VLOOKUP(A724, Prices!$A:$B, 2, FALSE), Inputs!$B$4)
        ) / 12,
        0)</f>
        <v>0</v>
      </c>
      <c r="L724" s="3">
        <f t="shared" si="3"/>
        <v>0</v>
      </c>
    </row>
    <row r="725" ht="15.75" customHeight="1">
      <c r="F725" s="3" t="str">
        <f>IFERROR(VLOOKUP(A725, Prices!A:B, 2, FALSE), )</f>
        <v/>
      </c>
      <c r="G725" s="3">
        <f>IFERROR(VLOOKUP(A725, Dividends!$A:$B, 2, FALSE),
       IFERROR( (VLOOKUP(A725, Dividends!$A:$C, 3, FALSE) / VLOOKUP(A725, Prices!$A:$B, 2, FALSE)) * 100,
                Inputs!$B$4*100 ))</f>
        <v>65</v>
      </c>
      <c r="H725" s="3">
        <f>IFERROR(SUMIF(Purchases!B:B, A725, Purchases!D:D), 0)</f>
        <v>0</v>
      </c>
      <c r="I725" s="3">
        <f t="shared" si="1"/>
        <v>0</v>
      </c>
      <c r="J725" s="3">
        <f t="shared" si="2"/>
        <v>0</v>
      </c>
      <c r="K725" s="3">
        <f>IF(J725&gt;0,
        J725 * IF(G725&gt;0, G725/100,
            IFERROR( VLOOKUP(A725, Dividends!$A:$C, 3, FALSE) / VLOOKUP(A725, Prices!$A:$B, 2, FALSE), Inputs!$B$4)
        ) / 12,
        0)</f>
        <v>0</v>
      </c>
      <c r="L725" s="3">
        <f t="shared" si="3"/>
        <v>0</v>
      </c>
    </row>
    <row r="726" ht="15.75" customHeight="1">
      <c r="F726" s="3" t="str">
        <f>IFERROR(VLOOKUP(A726, Prices!A:B, 2, FALSE), )</f>
        <v/>
      </c>
      <c r="G726" s="3">
        <f>IFERROR(VLOOKUP(A726, Dividends!$A:$B, 2, FALSE),
       IFERROR( (VLOOKUP(A726, Dividends!$A:$C, 3, FALSE) / VLOOKUP(A726, Prices!$A:$B, 2, FALSE)) * 100,
                Inputs!$B$4*100 ))</f>
        <v>65</v>
      </c>
      <c r="H726" s="3">
        <f>IFERROR(SUMIF(Purchases!B:B, A726, Purchases!D:D), 0)</f>
        <v>0</v>
      </c>
      <c r="I726" s="3">
        <f t="shared" si="1"/>
        <v>0</v>
      </c>
      <c r="J726" s="3">
        <f t="shared" si="2"/>
        <v>0</v>
      </c>
      <c r="K726" s="3">
        <f>IF(J726&gt;0,
        J726 * IF(G726&gt;0, G726/100,
            IFERROR( VLOOKUP(A726, Dividends!$A:$C, 3, FALSE) / VLOOKUP(A726, Prices!$A:$B, 2, FALSE), Inputs!$B$4)
        ) / 12,
        0)</f>
        <v>0</v>
      </c>
      <c r="L726" s="3">
        <f t="shared" si="3"/>
        <v>0</v>
      </c>
    </row>
    <row r="727" ht="15.75" customHeight="1">
      <c r="F727" s="3" t="str">
        <f>IFERROR(VLOOKUP(A727, Prices!A:B, 2, FALSE), )</f>
        <v/>
      </c>
      <c r="G727" s="3">
        <f>IFERROR(VLOOKUP(A727, Dividends!$A:$B, 2, FALSE),
       IFERROR( (VLOOKUP(A727, Dividends!$A:$C, 3, FALSE) / VLOOKUP(A727, Prices!$A:$B, 2, FALSE)) * 100,
                Inputs!$B$4*100 ))</f>
        <v>65</v>
      </c>
      <c r="H727" s="3">
        <f>IFERROR(SUMIF(Purchases!B:B, A727, Purchases!D:D), 0)</f>
        <v>0</v>
      </c>
      <c r="I727" s="3">
        <f t="shared" si="1"/>
        <v>0</v>
      </c>
      <c r="J727" s="3">
        <f t="shared" si="2"/>
        <v>0</v>
      </c>
      <c r="K727" s="3">
        <f>IF(J727&gt;0,
        J727 * IF(G727&gt;0, G727/100,
            IFERROR( VLOOKUP(A727, Dividends!$A:$C, 3, FALSE) / VLOOKUP(A727, Prices!$A:$B, 2, FALSE), Inputs!$B$4)
        ) / 12,
        0)</f>
        <v>0</v>
      </c>
      <c r="L727" s="3">
        <f t="shared" si="3"/>
        <v>0</v>
      </c>
    </row>
    <row r="728" ht="15.75" customHeight="1">
      <c r="F728" s="3" t="str">
        <f>IFERROR(VLOOKUP(A728, Prices!A:B, 2, FALSE), )</f>
        <v/>
      </c>
      <c r="G728" s="3">
        <f>IFERROR(VLOOKUP(A728, Dividends!$A:$B, 2, FALSE),
       IFERROR( (VLOOKUP(A728, Dividends!$A:$C, 3, FALSE) / VLOOKUP(A728, Prices!$A:$B, 2, FALSE)) * 100,
                Inputs!$B$4*100 ))</f>
        <v>65</v>
      </c>
      <c r="H728" s="3">
        <f>IFERROR(SUMIF(Purchases!B:B, A728, Purchases!D:D), 0)</f>
        <v>0</v>
      </c>
      <c r="I728" s="3">
        <f t="shared" si="1"/>
        <v>0</v>
      </c>
      <c r="J728" s="3">
        <f t="shared" si="2"/>
        <v>0</v>
      </c>
      <c r="K728" s="3">
        <f>IF(J728&gt;0,
        J728 * IF(G728&gt;0, G728/100,
            IFERROR( VLOOKUP(A728, Dividends!$A:$C, 3, FALSE) / VLOOKUP(A728, Prices!$A:$B, 2, FALSE), Inputs!$B$4)
        ) / 12,
        0)</f>
        <v>0</v>
      </c>
      <c r="L728" s="3">
        <f t="shared" si="3"/>
        <v>0</v>
      </c>
    </row>
    <row r="729" ht="15.75" customHeight="1">
      <c r="F729" s="3" t="str">
        <f>IFERROR(VLOOKUP(A729, Prices!A:B, 2, FALSE), )</f>
        <v/>
      </c>
      <c r="G729" s="3">
        <f>IFERROR(VLOOKUP(A729, Dividends!$A:$B, 2, FALSE),
       IFERROR( (VLOOKUP(A729, Dividends!$A:$C, 3, FALSE) / VLOOKUP(A729, Prices!$A:$B, 2, FALSE)) * 100,
                Inputs!$B$4*100 ))</f>
        <v>65</v>
      </c>
      <c r="H729" s="3">
        <f>IFERROR(SUMIF(Purchases!B:B, A729, Purchases!D:D), 0)</f>
        <v>0</v>
      </c>
      <c r="I729" s="3">
        <f t="shared" si="1"/>
        <v>0</v>
      </c>
      <c r="J729" s="3">
        <f t="shared" si="2"/>
        <v>0</v>
      </c>
      <c r="K729" s="3">
        <f>IF(J729&gt;0,
        J729 * IF(G729&gt;0, G729/100,
            IFERROR( VLOOKUP(A729, Dividends!$A:$C, 3, FALSE) / VLOOKUP(A729, Prices!$A:$B, 2, FALSE), Inputs!$B$4)
        ) / 12,
        0)</f>
        <v>0</v>
      </c>
      <c r="L729" s="3">
        <f t="shared" si="3"/>
        <v>0</v>
      </c>
    </row>
    <row r="730" ht="15.75" customHeight="1">
      <c r="F730" s="3" t="str">
        <f>IFERROR(VLOOKUP(A730, Prices!A:B, 2, FALSE), )</f>
        <v/>
      </c>
      <c r="G730" s="3">
        <f>IFERROR(VLOOKUP(A730, Dividends!$A:$B, 2, FALSE),
       IFERROR( (VLOOKUP(A730, Dividends!$A:$C, 3, FALSE) / VLOOKUP(A730, Prices!$A:$B, 2, FALSE)) * 100,
                Inputs!$B$4*100 ))</f>
        <v>65</v>
      </c>
      <c r="H730" s="3">
        <f>IFERROR(SUMIF(Purchases!B:B, A730, Purchases!D:D), 0)</f>
        <v>0</v>
      </c>
      <c r="I730" s="3">
        <f t="shared" si="1"/>
        <v>0</v>
      </c>
      <c r="J730" s="3">
        <f t="shared" si="2"/>
        <v>0</v>
      </c>
      <c r="K730" s="3">
        <f>IF(J730&gt;0,
        J730 * IF(G730&gt;0, G730/100,
            IFERROR( VLOOKUP(A730, Dividends!$A:$C, 3, FALSE) / VLOOKUP(A730, Prices!$A:$B, 2, FALSE), Inputs!$B$4)
        ) / 12,
        0)</f>
        <v>0</v>
      </c>
      <c r="L730" s="3">
        <f t="shared" si="3"/>
        <v>0</v>
      </c>
    </row>
    <row r="731" ht="15.75" customHeight="1">
      <c r="F731" s="3" t="str">
        <f>IFERROR(VLOOKUP(A731, Prices!A:B, 2, FALSE), )</f>
        <v/>
      </c>
      <c r="G731" s="3">
        <f>IFERROR(VLOOKUP(A731, Dividends!$A:$B, 2, FALSE),
       IFERROR( (VLOOKUP(A731, Dividends!$A:$C, 3, FALSE) / VLOOKUP(A731, Prices!$A:$B, 2, FALSE)) * 100,
                Inputs!$B$4*100 ))</f>
        <v>65</v>
      </c>
      <c r="H731" s="3">
        <f>IFERROR(SUMIF(Purchases!B:B, A731, Purchases!D:D), 0)</f>
        <v>0</v>
      </c>
      <c r="I731" s="3">
        <f t="shared" si="1"/>
        <v>0</v>
      </c>
      <c r="J731" s="3">
        <f t="shared" si="2"/>
        <v>0</v>
      </c>
      <c r="K731" s="3">
        <f>IF(J731&gt;0,
        J731 * IF(G731&gt;0, G731/100,
            IFERROR( VLOOKUP(A731, Dividends!$A:$C, 3, FALSE) / VLOOKUP(A731, Prices!$A:$B, 2, FALSE), Inputs!$B$4)
        ) / 12,
        0)</f>
        <v>0</v>
      </c>
      <c r="L731" s="3">
        <f t="shared" si="3"/>
        <v>0</v>
      </c>
    </row>
    <row r="732" ht="15.75" customHeight="1">
      <c r="F732" s="3" t="str">
        <f>IFERROR(VLOOKUP(A732, Prices!A:B, 2, FALSE), )</f>
        <v/>
      </c>
      <c r="G732" s="3">
        <f>IFERROR(VLOOKUP(A732, Dividends!$A:$B, 2, FALSE),
       IFERROR( (VLOOKUP(A732, Dividends!$A:$C, 3, FALSE) / VLOOKUP(A732, Prices!$A:$B, 2, FALSE)) * 100,
                Inputs!$B$4*100 ))</f>
        <v>65</v>
      </c>
      <c r="H732" s="3">
        <f>IFERROR(SUMIF(Purchases!B:B, A732, Purchases!D:D), 0)</f>
        <v>0</v>
      </c>
      <c r="I732" s="3">
        <f t="shared" si="1"/>
        <v>0</v>
      </c>
      <c r="J732" s="3">
        <f t="shared" si="2"/>
        <v>0</v>
      </c>
      <c r="K732" s="3">
        <f>IF(J732&gt;0,
        J732 * IF(G732&gt;0, G732/100,
            IFERROR( VLOOKUP(A732, Dividends!$A:$C, 3, FALSE) / VLOOKUP(A732, Prices!$A:$B, 2, FALSE), Inputs!$B$4)
        ) / 12,
        0)</f>
        <v>0</v>
      </c>
      <c r="L732" s="3">
        <f t="shared" si="3"/>
        <v>0</v>
      </c>
    </row>
    <row r="733" ht="15.75" customHeight="1">
      <c r="F733" s="3" t="str">
        <f>IFERROR(VLOOKUP(A733, Prices!A:B, 2, FALSE), )</f>
        <v/>
      </c>
      <c r="G733" s="3">
        <f>IFERROR(VLOOKUP(A733, Dividends!$A:$B, 2, FALSE),
       IFERROR( (VLOOKUP(A733, Dividends!$A:$C, 3, FALSE) / VLOOKUP(A733, Prices!$A:$B, 2, FALSE)) * 100,
                Inputs!$B$4*100 ))</f>
        <v>65</v>
      </c>
      <c r="H733" s="3">
        <f>IFERROR(SUMIF(Purchases!B:B, A733, Purchases!D:D), 0)</f>
        <v>0</v>
      </c>
      <c r="I733" s="3">
        <f t="shared" si="1"/>
        <v>0</v>
      </c>
      <c r="J733" s="3">
        <f t="shared" si="2"/>
        <v>0</v>
      </c>
      <c r="K733" s="3">
        <f>IF(J733&gt;0,
        J733 * IF(G733&gt;0, G733/100,
            IFERROR( VLOOKUP(A733, Dividends!$A:$C, 3, FALSE) / VLOOKUP(A733, Prices!$A:$B, 2, FALSE), Inputs!$B$4)
        ) / 12,
        0)</f>
        <v>0</v>
      </c>
      <c r="L733" s="3">
        <f t="shared" si="3"/>
        <v>0</v>
      </c>
    </row>
    <row r="734" ht="15.75" customHeight="1">
      <c r="F734" s="3" t="str">
        <f>IFERROR(VLOOKUP(A734, Prices!A:B, 2, FALSE), )</f>
        <v/>
      </c>
      <c r="G734" s="3">
        <f>IFERROR(VLOOKUP(A734, Dividends!$A:$B, 2, FALSE),
       IFERROR( (VLOOKUP(A734, Dividends!$A:$C, 3, FALSE) / VLOOKUP(A734, Prices!$A:$B, 2, FALSE)) * 100,
                Inputs!$B$4*100 ))</f>
        <v>65</v>
      </c>
      <c r="H734" s="3">
        <f>IFERROR(SUMIF(Purchases!B:B, A734, Purchases!D:D), 0)</f>
        <v>0</v>
      </c>
      <c r="I734" s="3">
        <f t="shared" si="1"/>
        <v>0</v>
      </c>
      <c r="J734" s="3">
        <f t="shared" si="2"/>
        <v>0</v>
      </c>
      <c r="K734" s="3">
        <f>IF(J734&gt;0,
        J734 * IF(G734&gt;0, G734/100,
            IFERROR( VLOOKUP(A734, Dividends!$A:$C, 3, FALSE) / VLOOKUP(A734, Prices!$A:$B, 2, FALSE), Inputs!$B$4)
        ) / 12,
        0)</f>
        <v>0</v>
      </c>
      <c r="L734" s="3">
        <f t="shared" si="3"/>
        <v>0</v>
      </c>
    </row>
    <row r="735" ht="15.75" customHeight="1">
      <c r="F735" s="3" t="str">
        <f>IFERROR(VLOOKUP(A735, Prices!A:B, 2, FALSE), )</f>
        <v/>
      </c>
      <c r="G735" s="3">
        <f>IFERROR(VLOOKUP(A735, Dividends!$A:$B, 2, FALSE),
       IFERROR( (VLOOKUP(A735, Dividends!$A:$C, 3, FALSE) / VLOOKUP(A735, Prices!$A:$B, 2, FALSE)) * 100,
                Inputs!$B$4*100 ))</f>
        <v>65</v>
      </c>
      <c r="H735" s="3">
        <f>IFERROR(SUMIF(Purchases!B:B, A735, Purchases!D:D), 0)</f>
        <v>0</v>
      </c>
      <c r="I735" s="3">
        <f t="shared" si="1"/>
        <v>0</v>
      </c>
      <c r="J735" s="3">
        <f t="shared" si="2"/>
        <v>0</v>
      </c>
      <c r="K735" s="3">
        <f>IF(J735&gt;0,
        J735 * IF(G735&gt;0, G735/100,
            IFERROR( VLOOKUP(A735, Dividends!$A:$C, 3, FALSE) / VLOOKUP(A735, Prices!$A:$B, 2, FALSE), Inputs!$B$4)
        ) / 12,
        0)</f>
        <v>0</v>
      </c>
      <c r="L735" s="3">
        <f t="shared" si="3"/>
        <v>0</v>
      </c>
    </row>
    <row r="736" ht="15.75" customHeight="1">
      <c r="F736" s="3" t="str">
        <f>IFERROR(VLOOKUP(A736, Prices!A:B, 2, FALSE), )</f>
        <v/>
      </c>
      <c r="G736" s="3">
        <f>IFERROR(VLOOKUP(A736, Dividends!$A:$B, 2, FALSE),
       IFERROR( (VLOOKUP(A736, Dividends!$A:$C, 3, FALSE) / VLOOKUP(A736, Prices!$A:$B, 2, FALSE)) * 100,
                Inputs!$B$4*100 ))</f>
        <v>65</v>
      </c>
      <c r="H736" s="3">
        <f>IFERROR(SUMIF(Purchases!B:B, A736, Purchases!D:D), 0)</f>
        <v>0</v>
      </c>
      <c r="I736" s="3">
        <f t="shared" si="1"/>
        <v>0</v>
      </c>
      <c r="J736" s="3">
        <f t="shared" si="2"/>
        <v>0</v>
      </c>
      <c r="K736" s="3">
        <f>IF(J736&gt;0,
        J736 * IF(G736&gt;0, G736/100,
            IFERROR( VLOOKUP(A736, Dividends!$A:$C, 3, FALSE) / VLOOKUP(A736, Prices!$A:$B, 2, FALSE), Inputs!$B$4)
        ) / 12,
        0)</f>
        <v>0</v>
      </c>
      <c r="L736" s="3">
        <f t="shared" si="3"/>
        <v>0</v>
      </c>
    </row>
    <row r="737" ht="15.75" customHeight="1">
      <c r="F737" s="3" t="str">
        <f>IFERROR(VLOOKUP(A737, Prices!A:B, 2, FALSE), )</f>
        <v/>
      </c>
      <c r="G737" s="3">
        <f>IFERROR(VLOOKUP(A737, Dividends!$A:$B, 2, FALSE),
       IFERROR( (VLOOKUP(A737, Dividends!$A:$C, 3, FALSE) / VLOOKUP(A737, Prices!$A:$B, 2, FALSE)) * 100,
                Inputs!$B$4*100 ))</f>
        <v>65</v>
      </c>
      <c r="H737" s="3">
        <f>IFERROR(SUMIF(Purchases!B:B, A737, Purchases!D:D), 0)</f>
        <v>0</v>
      </c>
      <c r="I737" s="3">
        <f t="shared" si="1"/>
        <v>0</v>
      </c>
      <c r="J737" s="3">
        <f t="shared" si="2"/>
        <v>0</v>
      </c>
      <c r="K737" s="3">
        <f>IF(J737&gt;0,
        J737 * IF(G737&gt;0, G737/100,
            IFERROR( VLOOKUP(A737, Dividends!$A:$C, 3, FALSE) / VLOOKUP(A737, Prices!$A:$B, 2, FALSE), Inputs!$B$4)
        ) / 12,
        0)</f>
        <v>0</v>
      </c>
      <c r="L737" s="3">
        <f t="shared" si="3"/>
        <v>0</v>
      </c>
    </row>
    <row r="738" ht="15.75" customHeight="1">
      <c r="F738" s="3" t="str">
        <f>IFERROR(VLOOKUP(A738, Prices!A:B, 2, FALSE), )</f>
        <v/>
      </c>
      <c r="G738" s="3">
        <f>IFERROR(VLOOKUP(A738, Dividends!$A:$B, 2, FALSE),
       IFERROR( (VLOOKUP(A738, Dividends!$A:$C, 3, FALSE) / VLOOKUP(A738, Prices!$A:$B, 2, FALSE)) * 100,
                Inputs!$B$4*100 ))</f>
        <v>65</v>
      </c>
      <c r="H738" s="3">
        <f>IFERROR(SUMIF(Purchases!B:B, A738, Purchases!D:D), 0)</f>
        <v>0</v>
      </c>
      <c r="I738" s="3">
        <f t="shared" si="1"/>
        <v>0</v>
      </c>
      <c r="J738" s="3">
        <f t="shared" si="2"/>
        <v>0</v>
      </c>
      <c r="K738" s="3">
        <f>IF(J738&gt;0,
        J738 * IF(G738&gt;0, G738/100,
            IFERROR( VLOOKUP(A738, Dividends!$A:$C, 3, FALSE) / VLOOKUP(A738, Prices!$A:$B, 2, FALSE), Inputs!$B$4)
        ) / 12,
        0)</f>
        <v>0</v>
      </c>
      <c r="L738" s="3">
        <f t="shared" si="3"/>
        <v>0</v>
      </c>
    </row>
    <row r="739" ht="15.75" customHeight="1">
      <c r="F739" s="3" t="str">
        <f>IFERROR(VLOOKUP(A739, Prices!A:B, 2, FALSE), )</f>
        <v/>
      </c>
      <c r="G739" s="3">
        <f>IFERROR(VLOOKUP(A739, Dividends!$A:$B, 2, FALSE),
       IFERROR( (VLOOKUP(A739, Dividends!$A:$C, 3, FALSE) / VLOOKUP(A739, Prices!$A:$B, 2, FALSE)) * 100,
                Inputs!$B$4*100 ))</f>
        <v>65</v>
      </c>
      <c r="H739" s="3">
        <f>IFERROR(SUMIF(Purchases!B:B, A739, Purchases!D:D), 0)</f>
        <v>0</v>
      </c>
      <c r="I739" s="3">
        <f t="shared" si="1"/>
        <v>0</v>
      </c>
      <c r="J739" s="3">
        <f t="shared" si="2"/>
        <v>0</v>
      </c>
      <c r="K739" s="3">
        <f>IF(J739&gt;0,
        J739 * IF(G739&gt;0, G739/100,
            IFERROR( VLOOKUP(A739, Dividends!$A:$C, 3, FALSE) / VLOOKUP(A739, Prices!$A:$B, 2, FALSE), Inputs!$B$4)
        ) / 12,
        0)</f>
        <v>0</v>
      </c>
      <c r="L739" s="3">
        <f t="shared" si="3"/>
        <v>0</v>
      </c>
    </row>
    <row r="740" ht="15.75" customHeight="1">
      <c r="F740" s="3" t="str">
        <f>IFERROR(VLOOKUP(A740, Prices!A:B, 2, FALSE), )</f>
        <v/>
      </c>
      <c r="G740" s="3">
        <f>IFERROR(VLOOKUP(A740, Dividends!$A:$B, 2, FALSE),
       IFERROR( (VLOOKUP(A740, Dividends!$A:$C, 3, FALSE) / VLOOKUP(A740, Prices!$A:$B, 2, FALSE)) * 100,
                Inputs!$B$4*100 ))</f>
        <v>65</v>
      </c>
      <c r="H740" s="3">
        <f>IFERROR(SUMIF(Purchases!B:B, A740, Purchases!D:D), 0)</f>
        <v>0</v>
      </c>
      <c r="I740" s="3">
        <f t="shared" si="1"/>
        <v>0</v>
      </c>
      <c r="J740" s="3">
        <f t="shared" si="2"/>
        <v>0</v>
      </c>
      <c r="K740" s="3">
        <f>IF(J740&gt;0,
        J740 * IF(G740&gt;0, G740/100,
            IFERROR( VLOOKUP(A740, Dividends!$A:$C, 3, FALSE) / VLOOKUP(A740, Prices!$A:$B, 2, FALSE), Inputs!$B$4)
        ) / 12,
        0)</f>
        <v>0</v>
      </c>
      <c r="L740" s="3">
        <f t="shared" si="3"/>
        <v>0</v>
      </c>
    </row>
    <row r="741" ht="15.75" customHeight="1">
      <c r="F741" s="3" t="str">
        <f>IFERROR(VLOOKUP(A741, Prices!A:B, 2, FALSE), )</f>
        <v/>
      </c>
      <c r="G741" s="3">
        <f>IFERROR(VLOOKUP(A741, Dividends!$A:$B, 2, FALSE),
       IFERROR( (VLOOKUP(A741, Dividends!$A:$C, 3, FALSE) / VLOOKUP(A741, Prices!$A:$B, 2, FALSE)) * 100,
                Inputs!$B$4*100 ))</f>
        <v>65</v>
      </c>
      <c r="H741" s="3">
        <f>IFERROR(SUMIF(Purchases!B:B, A741, Purchases!D:D), 0)</f>
        <v>0</v>
      </c>
      <c r="I741" s="3">
        <f t="shared" si="1"/>
        <v>0</v>
      </c>
      <c r="J741" s="3">
        <f t="shared" si="2"/>
        <v>0</v>
      </c>
      <c r="K741" s="3">
        <f>IF(J741&gt;0,
        J741 * IF(G741&gt;0, G741/100,
            IFERROR( VLOOKUP(A741, Dividends!$A:$C, 3, FALSE) / VLOOKUP(A741, Prices!$A:$B, 2, FALSE), Inputs!$B$4)
        ) / 12,
        0)</f>
        <v>0</v>
      </c>
      <c r="L741" s="3">
        <f t="shared" si="3"/>
        <v>0</v>
      </c>
    </row>
    <row r="742" ht="15.75" customHeight="1">
      <c r="F742" s="3" t="str">
        <f>IFERROR(VLOOKUP(A742, Prices!A:B, 2, FALSE), )</f>
        <v/>
      </c>
      <c r="G742" s="3">
        <f>IFERROR(VLOOKUP(A742, Dividends!$A:$B, 2, FALSE),
       IFERROR( (VLOOKUP(A742, Dividends!$A:$C, 3, FALSE) / VLOOKUP(A742, Prices!$A:$B, 2, FALSE)) * 100,
                Inputs!$B$4*100 ))</f>
        <v>65</v>
      </c>
      <c r="H742" s="3">
        <f>IFERROR(SUMIF(Purchases!B:B, A742, Purchases!D:D), 0)</f>
        <v>0</v>
      </c>
      <c r="I742" s="3">
        <f t="shared" si="1"/>
        <v>0</v>
      </c>
      <c r="J742" s="3">
        <f t="shared" si="2"/>
        <v>0</v>
      </c>
      <c r="K742" s="3">
        <f>IF(J742&gt;0,
        J742 * IF(G742&gt;0, G742/100,
            IFERROR( VLOOKUP(A742, Dividends!$A:$C, 3, FALSE) / VLOOKUP(A742, Prices!$A:$B, 2, FALSE), Inputs!$B$4)
        ) / 12,
        0)</f>
        <v>0</v>
      </c>
      <c r="L742" s="3">
        <f t="shared" si="3"/>
        <v>0</v>
      </c>
    </row>
    <row r="743" ht="15.75" customHeight="1">
      <c r="F743" s="3" t="str">
        <f>IFERROR(VLOOKUP(A743, Prices!A:B, 2, FALSE), )</f>
        <v/>
      </c>
      <c r="G743" s="3">
        <f>IFERROR(VLOOKUP(A743, Dividends!$A:$B, 2, FALSE),
       IFERROR( (VLOOKUP(A743, Dividends!$A:$C, 3, FALSE) / VLOOKUP(A743, Prices!$A:$B, 2, FALSE)) * 100,
                Inputs!$B$4*100 ))</f>
        <v>65</v>
      </c>
      <c r="H743" s="3">
        <f>IFERROR(SUMIF(Purchases!B:B, A743, Purchases!D:D), 0)</f>
        <v>0</v>
      </c>
      <c r="I743" s="3">
        <f t="shared" si="1"/>
        <v>0</v>
      </c>
      <c r="J743" s="3">
        <f t="shared" si="2"/>
        <v>0</v>
      </c>
      <c r="K743" s="3">
        <f>IF(J743&gt;0,
        J743 * IF(G743&gt;0, G743/100,
            IFERROR( VLOOKUP(A743, Dividends!$A:$C, 3, FALSE) / VLOOKUP(A743, Prices!$A:$B, 2, FALSE), Inputs!$B$4)
        ) / 12,
        0)</f>
        <v>0</v>
      </c>
      <c r="L743" s="3">
        <f t="shared" si="3"/>
        <v>0</v>
      </c>
    </row>
    <row r="744" ht="15.75" customHeight="1">
      <c r="F744" s="3" t="str">
        <f>IFERROR(VLOOKUP(A744, Prices!A:B, 2, FALSE), )</f>
        <v/>
      </c>
      <c r="G744" s="3">
        <f>IFERROR(VLOOKUP(A744, Dividends!$A:$B, 2, FALSE),
       IFERROR( (VLOOKUP(A744, Dividends!$A:$C, 3, FALSE) / VLOOKUP(A744, Prices!$A:$B, 2, FALSE)) * 100,
                Inputs!$B$4*100 ))</f>
        <v>65</v>
      </c>
      <c r="H744" s="3">
        <f>IFERROR(SUMIF(Purchases!B:B, A744, Purchases!D:D), 0)</f>
        <v>0</v>
      </c>
      <c r="I744" s="3">
        <f t="shared" si="1"/>
        <v>0</v>
      </c>
      <c r="J744" s="3">
        <f t="shared" si="2"/>
        <v>0</v>
      </c>
      <c r="K744" s="3">
        <f>IF(J744&gt;0,
        J744 * IF(G744&gt;0, G744/100,
            IFERROR( VLOOKUP(A744, Dividends!$A:$C, 3, FALSE) / VLOOKUP(A744, Prices!$A:$B, 2, FALSE), Inputs!$B$4)
        ) / 12,
        0)</f>
        <v>0</v>
      </c>
      <c r="L744" s="3">
        <f t="shared" si="3"/>
        <v>0</v>
      </c>
    </row>
    <row r="745" ht="15.75" customHeight="1">
      <c r="F745" s="3" t="str">
        <f>IFERROR(VLOOKUP(A745, Prices!A:B, 2, FALSE), )</f>
        <v/>
      </c>
      <c r="G745" s="3">
        <f>IFERROR(VLOOKUP(A745, Dividends!$A:$B, 2, FALSE),
       IFERROR( (VLOOKUP(A745, Dividends!$A:$C, 3, FALSE) / VLOOKUP(A745, Prices!$A:$B, 2, FALSE)) * 100,
                Inputs!$B$4*100 ))</f>
        <v>65</v>
      </c>
      <c r="H745" s="3">
        <f>IFERROR(SUMIF(Purchases!B:B, A745, Purchases!D:D), 0)</f>
        <v>0</v>
      </c>
      <c r="I745" s="3">
        <f t="shared" si="1"/>
        <v>0</v>
      </c>
      <c r="J745" s="3">
        <f t="shared" si="2"/>
        <v>0</v>
      </c>
      <c r="K745" s="3">
        <f>IF(J745&gt;0,
        J745 * IF(G745&gt;0, G745/100,
            IFERROR( VLOOKUP(A745, Dividends!$A:$C, 3, FALSE) / VLOOKUP(A745, Prices!$A:$B, 2, FALSE), Inputs!$B$4)
        ) / 12,
        0)</f>
        <v>0</v>
      </c>
      <c r="L745" s="3">
        <f t="shared" si="3"/>
        <v>0</v>
      </c>
    </row>
    <row r="746" ht="15.75" customHeight="1">
      <c r="F746" s="3" t="str">
        <f>IFERROR(VLOOKUP(A746, Prices!A:B, 2, FALSE), )</f>
        <v/>
      </c>
      <c r="G746" s="3">
        <f>IFERROR(VLOOKUP(A746, Dividends!$A:$B, 2, FALSE),
       IFERROR( (VLOOKUP(A746, Dividends!$A:$C, 3, FALSE) / VLOOKUP(A746, Prices!$A:$B, 2, FALSE)) * 100,
                Inputs!$B$4*100 ))</f>
        <v>65</v>
      </c>
      <c r="H746" s="3">
        <f>IFERROR(SUMIF(Purchases!B:B, A746, Purchases!D:D), 0)</f>
        <v>0</v>
      </c>
      <c r="I746" s="3">
        <f t="shared" si="1"/>
        <v>0</v>
      </c>
      <c r="J746" s="3">
        <f t="shared" si="2"/>
        <v>0</v>
      </c>
      <c r="K746" s="3">
        <f>IF(J746&gt;0,
        J746 * IF(G746&gt;0, G746/100,
            IFERROR( VLOOKUP(A746, Dividends!$A:$C, 3, FALSE) / VLOOKUP(A746, Prices!$A:$B, 2, FALSE), Inputs!$B$4)
        ) / 12,
        0)</f>
        <v>0</v>
      </c>
      <c r="L746" s="3">
        <f t="shared" si="3"/>
        <v>0</v>
      </c>
    </row>
    <row r="747" ht="15.75" customHeight="1">
      <c r="F747" s="3" t="str">
        <f>IFERROR(VLOOKUP(A747, Prices!A:B, 2, FALSE), )</f>
        <v/>
      </c>
      <c r="G747" s="3">
        <f>IFERROR(VLOOKUP(A747, Dividends!$A:$B, 2, FALSE),
       IFERROR( (VLOOKUP(A747, Dividends!$A:$C, 3, FALSE) / VLOOKUP(A747, Prices!$A:$B, 2, FALSE)) * 100,
                Inputs!$B$4*100 ))</f>
        <v>65</v>
      </c>
      <c r="H747" s="3">
        <f>IFERROR(SUMIF(Purchases!B:B, A747, Purchases!D:D), 0)</f>
        <v>0</v>
      </c>
      <c r="I747" s="3">
        <f t="shared" si="1"/>
        <v>0</v>
      </c>
      <c r="J747" s="3">
        <f t="shared" si="2"/>
        <v>0</v>
      </c>
      <c r="K747" s="3">
        <f>IF(J747&gt;0,
        J747 * IF(G747&gt;0, G747/100,
            IFERROR( VLOOKUP(A747, Dividends!$A:$C, 3, FALSE) / VLOOKUP(A747, Prices!$A:$B, 2, FALSE), Inputs!$B$4)
        ) / 12,
        0)</f>
        <v>0</v>
      </c>
      <c r="L747" s="3">
        <f t="shared" si="3"/>
        <v>0</v>
      </c>
    </row>
    <row r="748" ht="15.75" customHeight="1">
      <c r="F748" s="3" t="str">
        <f>IFERROR(VLOOKUP(A748, Prices!A:B, 2, FALSE), )</f>
        <v/>
      </c>
      <c r="G748" s="3">
        <f>IFERROR(VLOOKUP(A748, Dividends!$A:$B, 2, FALSE),
       IFERROR( (VLOOKUP(A748, Dividends!$A:$C, 3, FALSE) / VLOOKUP(A748, Prices!$A:$B, 2, FALSE)) * 100,
                Inputs!$B$4*100 ))</f>
        <v>65</v>
      </c>
      <c r="H748" s="3">
        <f>IFERROR(SUMIF(Purchases!B:B, A748, Purchases!D:D), 0)</f>
        <v>0</v>
      </c>
      <c r="I748" s="3">
        <f t="shared" si="1"/>
        <v>0</v>
      </c>
      <c r="J748" s="3">
        <f t="shared" si="2"/>
        <v>0</v>
      </c>
      <c r="K748" s="3">
        <f>IF(J748&gt;0,
        J748 * IF(G748&gt;0, G748/100,
            IFERROR( VLOOKUP(A748, Dividends!$A:$C, 3, FALSE) / VLOOKUP(A748, Prices!$A:$B, 2, FALSE), Inputs!$B$4)
        ) / 12,
        0)</f>
        <v>0</v>
      </c>
      <c r="L748" s="3">
        <f t="shared" si="3"/>
        <v>0</v>
      </c>
    </row>
    <row r="749" ht="15.75" customHeight="1">
      <c r="F749" s="3" t="str">
        <f>IFERROR(VLOOKUP(A749, Prices!A:B, 2, FALSE), )</f>
        <v/>
      </c>
      <c r="G749" s="3">
        <f>IFERROR(VLOOKUP(A749, Dividends!$A:$B, 2, FALSE),
       IFERROR( (VLOOKUP(A749, Dividends!$A:$C, 3, FALSE) / VLOOKUP(A749, Prices!$A:$B, 2, FALSE)) * 100,
                Inputs!$B$4*100 ))</f>
        <v>65</v>
      </c>
      <c r="H749" s="3">
        <f>IFERROR(SUMIF(Purchases!B:B, A749, Purchases!D:D), 0)</f>
        <v>0</v>
      </c>
      <c r="I749" s="3">
        <f t="shared" si="1"/>
        <v>0</v>
      </c>
      <c r="J749" s="3">
        <f t="shared" si="2"/>
        <v>0</v>
      </c>
      <c r="K749" s="3">
        <f>IF(J749&gt;0,
        J749 * IF(G749&gt;0, G749/100,
            IFERROR( VLOOKUP(A749, Dividends!$A:$C, 3, FALSE) / VLOOKUP(A749, Prices!$A:$B, 2, FALSE), Inputs!$B$4)
        ) / 12,
        0)</f>
        <v>0</v>
      </c>
      <c r="L749" s="3">
        <f t="shared" si="3"/>
        <v>0</v>
      </c>
    </row>
    <row r="750" ht="15.75" customHeight="1">
      <c r="F750" s="3" t="str">
        <f>IFERROR(VLOOKUP(A750, Prices!A:B, 2, FALSE), )</f>
        <v/>
      </c>
      <c r="G750" s="3">
        <f>IFERROR(VLOOKUP(A750, Dividends!$A:$B, 2, FALSE),
       IFERROR( (VLOOKUP(A750, Dividends!$A:$C, 3, FALSE) / VLOOKUP(A750, Prices!$A:$B, 2, FALSE)) * 100,
                Inputs!$B$4*100 ))</f>
        <v>65</v>
      </c>
      <c r="H750" s="3">
        <f>IFERROR(SUMIF(Purchases!B:B, A750, Purchases!D:D), 0)</f>
        <v>0</v>
      </c>
      <c r="I750" s="3">
        <f t="shared" si="1"/>
        <v>0</v>
      </c>
      <c r="J750" s="3">
        <f t="shared" si="2"/>
        <v>0</v>
      </c>
      <c r="K750" s="3">
        <f>IF(J750&gt;0,
        J750 * IF(G750&gt;0, G750/100,
            IFERROR( VLOOKUP(A750, Dividends!$A:$C, 3, FALSE) / VLOOKUP(A750, Prices!$A:$B, 2, FALSE), Inputs!$B$4)
        ) / 12,
        0)</f>
        <v>0</v>
      </c>
      <c r="L750" s="3">
        <f t="shared" si="3"/>
        <v>0</v>
      </c>
    </row>
    <row r="751" ht="15.75" customHeight="1">
      <c r="F751" s="3" t="str">
        <f>IFERROR(VLOOKUP(A751, Prices!A:B, 2, FALSE), )</f>
        <v/>
      </c>
      <c r="G751" s="3">
        <f>IFERROR(VLOOKUP(A751, Dividends!$A:$B, 2, FALSE),
       IFERROR( (VLOOKUP(A751, Dividends!$A:$C, 3, FALSE) / VLOOKUP(A751, Prices!$A:$B, 2, FALSE)) * 100,
                Inputs!$B$4*100 ))</f>
        <v>65</v>
      </c>
      <c r="H751" s="3">
        <f>IFERROR(SUMIF(Purchases!B:B, A751, Purchases!D:D), 0)</f>
        <v>0</v>
      </c>
      <c r="I751" s="3">
        <f t="shared" si="1"/>
        <v>0</v>
      </c>
      <c r="J751" s="3">
        <f t="shared" si="2"/>
        <v>0</v>
      </c>
      <c r="K751" s="3">
        <f>IF(J751&gt;0,
        J751 * IF(G751&gt;0, G751/100,
            IFERROR( VLOOKUP(A751, Dividends!$A:$C, 3, FALSE) / VLOOKUP(A751, Prices!$A:$B, 2, FALSE), Inputs!$B$4)
        ) / 12,
        0)</f>
        <v>0</v>
      </c>
      <c r="L751" s="3">
        <f t="shared" si="3"/>
        <v>0</v>
      </c>
    </row>
    <row r="752" ht="15.75" customHeight="1">
      <c r="F752" s="3" t="str">
        <f>IFERROR(VLOOKUP(A752, Prices!A:B, 2, FALSE), )</f>
        <v/>
      </c>
      <c r="G752" s="3">
        <f>IFERROR(VLOOKUP(A752, Dividends!$A:$B, 2, FALSE),
       IFERROR( (VLOOKUP(A752, Dividends!$A:$C, 3, FALSE) / VLOOKUP(A752, Prices!$A:$B, 2, FALSE)) * 100,
                Inputs!$B$4*100 ))</f>
        <v>65</v>
      </c>
      <c r="H752" s="3">
        <f>IFERROR(SUMIF(Purchases!B:B, A752, Purchases!D:D), 0)</f>
        <v>0</v>
      </c>
      <c r="I752" s="3">
        <f t="shared" si="1"/>
        <v>0</v>
      </c>
      <c r="J752" s="3">
        <f t="shared" si="2"/>
        <v>0</v>
      </c>
      <c r="K752" s="3">
        <f>IF(J752&gt;0,
        J752 * IF(G752&gt;0, G752/100,
            IFERROR( VLOOKUP(A752, Dividends!$A:$C, 3, FALSE) / VLOOKUP(A752, Prices!$A:$B, 2, FALSE), Inputs!$B$4)
        ) / 12,
        0)</f>
        <v>0</v>
      </c>
      <c r="L752" s="3">
        <f t="shared" si="3"/>
        <v>0</v>
      </c>
    </row>
    <row r="753" ht="15.75" customHeight="1">
      <c r="F753" s="3" t="str">
        <f>IFERROR(VLOOKUP(A753, Prices!A:B, 2, FALSE), )</f>
        <v/>
      </c>
      <c r="G753" s="3">
        <f>IFERROR(VLOOKUP(A753, Dividends!$A:$B, 2, FALSE),
       IFERROR( (VLOOKUP(A753, Dividends!$A:$C, 3, FALSE) / VLOOKUP(A753, Prices!$A:$B, 2, FALSE)) * 100,
                Inputs!$B$4*100 ))</f>
        <v>65</v>
      </c>
      <c r="H753" s="3">
        <f>IFERROR(SUMIF(Purchases!B:B, A753, Purchases!D:D), 0)</f>
        <v>0</v>
      </c>
      <c r="I753" s="3">
        <f t="shared" si="1"/>
        <v>0</v>
      </c>
      <c r="J753" s="3">
        <f t="shared" si="2"/>
        <v>0</v>
      </c>
      <c r="K753" s="3">
        <f>IF(J753&gt;0,
        J753 * IF(G753&gt;0, G753/100,
            IFERROR( VLOOKUP(A753, Dividends!$A:$C, 3, FALSE) / VLOOKUP(A753, Prices!$A:$B, 2, FALSE), Inputs!$B$4)
        ) / 12,
        0)</f>
        <v>0</v>
      </c>
      <c r="L753" s="3">
        <f t="shared" si="3"/>
        <v>0</v>
      </c>
    </row>
    <row r="754" ht="15.75" customHeight="1">
      <c r="F754" s="3" t="str">
        <f>IFERROR(VLOOKUP(A754, Prices!A:B, 2, FALSE), )</f>
        <v/>
      </c>
      <c r="G754" s="3">
        <f>IFERROR(VLOOKUP(A754, Dividends!$A:$B, 2, FALSE),
       IFERROR( (VLOOKUP(A754, Dividends!$A:$C, 3, FALSE) / VLOOKUP(A754, Prices!$A:$B, 2, FALSE)) * 100,
                Inputs!$B$4*100 ))</f>
        <v>65</v>
      </c>
      <c r="H754" s="3">
        <f>IFERROR(SUMIF(Purchases!B:B, A754, Purchases!D:D), 0)</f>
        <v>0</v>
      </c>
      <c r="I754" s="3">
        <f t="shared" si="1"/>
        <v>0</v>
      </c>
      <c r="J754" s="3">
        <f t="shared" si="2"/>
        <v>0</v>
      </c>
      <c r="K754" s="3">
        <f>IF(J754&gt;0,
        J754 * IF(G754&gt;0, G754/100,
            IFERROR( VLOOKUP(A754, Dividends!$A:$C, 3, FALSE) / VLOOKUP(A754, Prices!$A:$B, 2, FALSE), Inputs!$B$4)
        ) / 12,
        0)</f>
        <v>0</v>
      </c>
      <c r="L754" s="3">
        <f t="shared" si="3"/>
        <v>0</v>
      </c>
    </row>
    <row r="755" ht="15.75" customHeight="1">
      <c r="F755" s="3" t="str">
        <f>IFERROR(VLOOKUP(A755, Prices!A:B, 2, FALSE), )</f>
        <v/>
      </c>
      <c r="G755" s="3">
        <f>IFERROR(VLOOKUP(A755, Dividends!$A:$B, 2, FALSE),
       IFERROR( (VLOOKUP(A755, Dividends!$A:$C, 3, FALSE) / VLOOKUP(A755, Prices!$A:$B, 2, FALSE)) * 100,
                Inputs!$B$4*100 ))</f>
        <v>65</v>
      </c>
      <c r="H755" s="3">
        <f>IFERROR(SUMIF(Purchases!B:B, A755, Purchases!D:D), 0)</f>
        <v>0</v>
      </c>
      <c r="I755" s="3">
        <f t="shared" si="1"/>
        <v>0</v>
      </c>
      <c r="J755" s="3">
        <f t="shared" si="2"/>
        <v>0</v>
      </c>
      <c r="K755" s="3">
        <f>IF(J755&gt;0,
        J755 * IF(G755&gt;0, G755/100,
            IFERROR( VLOOKUP(A755, Dividends!$A:$C, 3, FALSE) / VLOOKUP(A755, Prices!$A:$B, 2, FALSE), Inputs!$B$4)
        ) / 12,
        0)</f>
        <v>0</v>
      </c>
      <c r="L755" s="3">
        <f t="shared" si="3"/>
        <v>0</v>
      </c>
    </row>
    <row r="756" ht="15.75" customHeight="1">
      <c r="F756" s="3" t="str">
        <f>IFERROR(VLOOKUP(A756, Prices!A:B, 2, FALSE), )</f>
        <v/>
      </c>
      <c r="G756" s="3">
        <f>IFERROR(VLOOKUP(A756, Dividends!$A:$B, 2, FALSE),
       IFERROR( (VLOOKUP(A756, Dividends!$A:$C, 3, FALSE) / VLOOKUP(A756, Prices!$A:$B, 2, FALSE)) * 100,
                Inputs!$B$4*100 ))</f>
        <v>65</v>
      </c>
      <c r="H756" s="3">
        <f>IFERROR(SUMIF(Purchases!B:B, A756, Purchases!D:D), 0)</f>
        <v>0</v>
      </c>
      <c r="I756" s="3">
        <f t="shared" si="1"/>
        <v>0</v>
      </c>
      <c r="J756" s="3">
        <f t="shared" si="2"/>
        <v>0</v>
      </c>
      <c r="K756" s="3">
        <f>IF(J756&gt;0,
        J756 * IF(G756&gt;0, G756/100,
            IFERROR( VLOOKUP(A756, Dividends!$A:$C, 3, FALSE) / VLOOKUP(A756, Prices!$A:$B, 2, FALSE), Inputs!$B$4)
        ) / 12,
        0)</f>
        <v>0</v>
      </c>
      <c r="L756" s="3">
        <f t="shared" si="3"/>
        <v>0</v>
      </c>
    </row>
    <row r="757" ht="15.75" customHeight="1">
      <c r="F757" s="3" t="str">
        <f>IFERROR(VLOOKUP(A757, Prices!A:B, 2, FALSE), )</f>
        <v/>
      </c>
      <c r="G757" s="3">
        <f>IFERROR(VLOOKUP(A757, Dividends!$A:$B, 2, FALSE),
       IFERROR( (VLOOKUP(A757, Dividends!$A:$C, 3, FALSE) / VLOOKUP(A757, Prices!$A:$B, 2, FALSE)) * 100,
                Inputs!$B$4*100 ))</f>
        <v>65</v>
      </c>
      <c r="H757" s="3">
        <f>IFERROR(SUMIF(Purchases!B:B, A757, Purchases!D:D), 0)</f>
        <v>0</v>
      </c>
      <c r="I757" s="3">
        <f t="shared" si="1"/>
        <v>0</v>
      </c>
      <c r="J757" s="3">
        <f t="shared" si="2"/>
        <v>0</v>
      </c>
      <c r="K757" s="3">
        <f>IF(J757&gt;0,
        J757 * IF(G757&gt;0, G757/100,
            IFERROR( VLOOKUP(A757, Dividends!$A:$C, 3, FALSE) / VLOOKUP(A757, Prices!$A:$B, 2, FALSE), Inputs!$B$4)
        ) / 12,
        0)</f>
        <v>0</v>
      </c>
      <c r="L757" s="3">
        <f t="shared" si="3"/>
        <v>0</v>
      </c>
    </row>
    <row r="758" ht="15.75" customHeight="1">
      <c r="F758" s="3" t="str">
        <f>IFERROR(VLOOKUP(A758, Prices!A:B, 2, FALSE), )</f>
        <v/>
      </c>
      <c r="G758" s="3">
        <f>IFERROR(VLOOKUP(A758, Dividends!$A:$B, 2, FALSE),
       IFERROR( (VLOOKUP(A758, Dividends!$A:$C, 3, FALSE) / VLOOKUP(A758, Prices!$A:$B, 2, FALSE)) * 100,
                Inputs!$B$4*100 ))</f>
        <v>65</v>
      </c>
      <c r="H758" s="3">
        <f>IFERROR(SUMIF(Purchases!B:B, A758, Purchases!D:D), 0)</f>
        <v>0</v>
      </c>
      <c r="I758" s="3">
        <f t="shared" si="1"/>
        <v>0</v>
      </c>
      <c r="J758" s="3">
        <f t="shared" si="2"/>
        <v>0</v>
      </c>
      <c r="K758" s="3">
        <f>IF(J758&gt;0,
        J758 * IF(G758&gt;0, G758/100,
            IFERROR( VLOOKUP(A758, Dividends!$A:$C, 3, FALSE) / VLOOKUP(A758, Prices!$A:$B, 2, FALSE), Inputs!$B$4)
        ) / 12,
        0)</f>
        <v>0</v>
      </c>
      <c r="L758" s="3">
        <f t="shared" si="3"/>
        <v>0</v>
      </c>
    </row>
    <row r="759" ht="15.75" customHeight="1">
      <c r="F759" s="3" t="str">
        <f>IFERROR(VLOOKUP(A759, Prices!A:B, 2, FALSE), )</f>
        <v/>
      </c>
      <c r="G759" s="3">
        <f>IFERROR(VLOOKUP(A759, Dividends!$A:$B, 2, FALSE),
       IFERROR( (VLOOKUP(A759, Dividends!$A:$C, 3, FALSE) / VLOOKUP(A759, Prices!$A:$B, 2, FALSE)) * 100,
                Inputs!$B$4*100 ))</f>
        <v>65</v>
      </c>
      <c r="H759" s="3">
        <f>IFERROR(SUMIF(Purchases!B:B, A759, Purchases!D:D), 0)</f>
        <v>0</v>
      </c>
      <c r="I759" s="3">
        <f t="shared" si="1"/>
        <v>0</v>
      </c>
      <c r="J759" s="3">
        <f t="shared" si="2"/>
        <v>0</v>
      </c>
      <c r="K759" s="3">
        <f>IF(J759&gt;0,
        J759 * IF(G759&gt;0, G759/100,
            IFERROR( VLOOKUP(A759, Dividends!$A:$C, 3, FALSE) / VLOOKUP(A759, Prices!$A:$B, 2, FALSE), Inputs!$B$4)
        ) / 12,
        0)</f>
        <v>0</v>
      </c>
      <c r="L759" s="3">
        <f t="shared" si="3"/>
        <v>0</v>
      </c>
    </row>
    <row r="760" ht="15.75" customHeight="1">
      <c r="F760" s="3" t="str">
        <f>IFERROR(VLOOKUP(A760, Prices!A:B, 2, FALSE), )</f>
        <v/>
      </c>
      <c r="G760" s="3">
        <f>IFERROR(VLOOKUP(A760, Dividends!$A:$B, 2, FALSE),
       IFERROR( (VLOOKUP(A760, Dividends!$A:$C, 3, FALSE) / VLOOKUP(A760, Prices!$A:$B, 2, FALSE)) * 100,
                Inputs!$B$4*100 ))</f>
        <v>65</v>
      </c>
      <c r="H760" s="3">
        <f>IFERROR(SUMIF(Purchases!B:B, A760, Purchases!D:D), 0)</f>
        <v>0</v>
      </c>
      <c r="I760" s="3">
        <f t="shared" si="1"/>
        <v>0</v>
      </c>
      <c r="J760" s="3">
        <f t="shared" si="2"/>
        <v>0</v>
      </c>
      <c r="K760" s="3">
        <f>IF(J760&gt;0,
        J760 * IF(G760&gt;0, G760/100,
            IFERROR( VLOOKUP(A760, Dividends!$A:$C, 3, FALSE) / VLOOKUP(A760, Prices!$A:$B, 2, FALSE), Inputs!$B$4)
        ) / 12,
        0)</f>
        <v>0</v>
      </c>
      <c r="L760" s="3">
        <f t="shared" si="3"/>
        <v>0</v>
      </c>
    </row>
    <row r="761" ht="15.75" customHeight="1">
      <c r="F761" s="3" t="str">
        <f>IFERROR(VLOOKUP(A761, Prices!A:B, 2, FALSE), )</f>
        <v/>
      </c>
      <c r="G761" s="3">
        <f>IFERROR(VLOOKUP(A761, Dividends!$A:$B, 2, FALSE),
       IFERROR( (VLOOKUP(A761, Dividends!$A:$C, 3, FALSE) / VLOOKUP(A761, Prices!$A:$B, 2, FALSE)) * 100,
                Inputs!$B$4*100 ))</f>
        <v>65</v>
      </c>
      <c r="H761" s="3">
        <f>IFERROR(SUMIF(Purchases!B:B, A761, Purchases!D:D), 0)</f>
        <v>0</v>
      </c>
      <c r="I761" s="3">
        <f t="shared" si="1"/>
        <v>0</v>
      </c>
      <c r="J761" s="3">
        <f t="shared" si="2"/>
        <v>0</v>
      </c>
      <c r="K761" s="3">
        <f>IF(J761&gt;0,
        J761 * IF(G761&gt;0, G761/100,
            IFERROR( VLOOKUP(A761, Dividends!$A:$C, 3, FALSE) / VLOOKUP(A761, Prices!$A:$B, 2, FALSE), Inputs!$B$4)
        ) / 12,
        0)</f>
        <v>0</v>
      </c>
      <c r="L761" s="3">
        <f t="shared" si="3"/>
        <v>0</v>
      </c>
    </row>
    <row r="762" ht="15.75" customHeight="1">
      <c r="F762" s="3" t="str">
        <f>IFERROR(VLOOKUP(A762, Prices!A:B, 2, FALSE), )</f>
        <v/>
      </c>
      <c r="G762" s="3">
        <f>IFERROR(VLOOKUP(A762, Dividends!$A:$B, 2, FALSE),
       IFERROR( (VLOOKUP(A762, Dividends!$A:$C, 3, FALSE) / VLOOKUP(A762, Prices!$A:$B, 2, FALSE)) * 100,
                Inputs!$B$4*100 ))</f>
        <v>65</v>
      </c>
      <c r="H762" s="3">
        <f>IFERROR(SUMIF(Purchases!B:B, A762, Purchases!D:D), 0)</f>
        <v>0</v>
      </c>
      <c r="I762" s="3">
        <f t="shared" si="1"/>
        <v>0</v>
      </c>
      <c r="J762" s="3">
        <f t="shared" si="2"/>
        <v>0</v>
      </c>
      <c r="K762" s="3">
        <f>IF(J762&gt;0,
        J762 * IF(G762&gt;0, G762/100,
            IFERROR( VLOOKUP(A762, Dividends!$A:$C, 3, FALSE) / VLOOKUP(A762, Prices!$A:$B, 2, FALSE), Inputs!$B$4)
        ) / 12,
        0)</f>
        <v>0</v>
      </c>
      <c r="L762" s="3">
        <f t="shared" si="3"/>
        <v>0</v>
      </c>
    </row>
    <row r="763" ht="15.75" customHeight="1">
      <c r="F763" s="3" t="str">
        <f>IFERROR(VLOOKUP(A763, Prices!A:B, 2, FALSE), )</f>
        <v/>
      </c>
      <c r="G763" s="3">
        <f>IFERROR(VLOOKUP(A763, Dividends!$A:$B, 2, FALSE),
       IFERROR( (VLOOKUP(A763, Dividends!$A:$C, 3, FALSE) / VLOOKUP(A763, Prices!$A:$B, 2, FALSE)) * 100,
                Inputs!$B$4*100 ))</f>
        <v>65</v>
      </c>
      <c r="H763" s="3">
        <f>IFERROR(SUMIF(Purchases!B:B, A763, Purchases!D:D), 0)</f>
        <v>0</v>
      </c>
      <c r="I763" s="3">
        <f t="shared" si="1"/>
        <v>0</v>
      </c>
      <c r="J763" s="3">
        <f t="shared" si="2"/>
        <v>0</v>
      </c>
      <c r="K763" s="3">
        <f>IF(J763&gt;0,
        J763 * IF(G763&gt;0, G763/100,
            IFERROR( VLOOKUP(A763, Dividends!$A:$C, 3, FALSE) / VLOOKUP(A763, Prices!$A:$B, 2, FALSE), Inputs!$B$4)
        ) / 12,
        0)</f>
        <v>0</v>
      </c>
      <c r="L763" s="3">
        <f t="shared" si="3"/>
        <v>0</v>
      </c>
    </row>
    <row r="764" ht="15.75" customHeight="1">
      <c r="F764" s="3" t="str">
        <f>IFERROR(VLOOKUP(A764, Prices!A:B, 2, FALSE), )</f>
        <v/>
      </c>
      <c r="G764" s="3">
        <f>IFERROR(VLOOKUP(A764, Dividends!$A:$B, 2, FALSE),
       IFERROR( (VLOOKUP(A764, Dividends!$A:$C, 3, FALSE) / VLOOKUP(A764, Prices!$A:$B, 2, FALSE)) * 100,
                Inputs!$B$4*100 ))</f>
        <v>65</v>
      </c>
      <c r="H764" s="3">
        <f>IFERROR(SUMIF(Purchases!B:B, A764, Purchases!D:D), 0)</f>
        <v>0</v>
      </c>
      <c r="I764" s="3">
        <f t="shared" si="1"/>
        <v>0</v>
      </c>
      <c r="J764" s="3">
        <f t="shared" si="2"/>
        <v>0</v>
      </c>
      <c r="K764" s="3">
        <f>IF(J764&gt;0,
        J764 * IF(G764&gt;0, G764/100,
            IFERROR( VLOOKUP(A764, Dividends!$A:$C, 3, FALSE) / VLOOKUP(A764, Prices!$A:$B, 2, FALSE), Inputs!$B$4)
        ) / 12,
        0)</f>
        <v>0</v>
      </c>
      <c r="L764" s="3">
        <f t="shared" si="3"/>
        <v>0</v>
      </c>
    </row>
    <row r="765" ht="15.75" customHeight="1">
      <c r="F765" s="3" t="str">
        <f>IFERROR(VLOOKUP(A765, Prices!A:B, 2, FALSE), )</f>
        <v/>
      </c>
      <c r="G765" s="3">
        <f>IFERROR(VLOOKUP(A765, Dividends!$A:$B, 2, FALSE),
       IFERROR( (VLOOKUP(A765, Dividends!$A:$C, 3, FALSE) / VLOOKUP(A765, Prices!$A:$B, 2, FALSE)) * 100,
                Inputs!$B$4*100 ))</f>
        <v>65</v>
      </c>
      <c r="H765" s="3">
        <f>IFERROR(SUMIF(Purchases!B:B, A765, Purchases!D:D), 0)</f>
        <v>0</v>
      </c>
      <c r="I765" s="3">
        <f t="shared" si="1"/>
        <v>0</v>
      </c>
      <c r="J765" s="3">
        <f t="shared" si="2"/>
        <v>0</v>
      </c>
      <c r="K765" s="3">
        <f>IF(J765&gt;0,
        J765 * IF(G765&gt;0, G765/100,
            IFERROR( VLOOKUP(A765, Dividends!$A:$C, 3, FALSE) / VLOOKUP(A765, Prices!$A:$B, 2, FALSE), Inputs!$B$4)
        ) / 12,
        0)</f>
        <v>0</v>
      </c>
      <c r="L765" s="3">
        <f t="shared" si="3"/>
        <v>0</v>
      </c>
    </row>
    <row r="766" ht="15.75" customHeight="1">
      <c r="F766" s="3" t="str">
        <f>IFERROR(VLOOKUP(A766, Prices!A:B, 2, FALSE), )</f>
        <v/>
      </c>
      <c r="G766" s="3">
        <f>IFERROR(VLOOKUP(A766, Dividends!$A:$B, 2, FALSE),
       IFERROR( (VLOOKUP(A766, Dividends!$A:$C, 3, FALSE) / VLOOKUP(A766, Prices!$A:$B, 2, FALSE)) * 100,
                Inputs!$B$4*100 ))</f>
        <v>65</v>
      </c>
      <c r="H766" s="3">
        <f>IFERROR(SUMIF(Purchases!B:B, A766, Purchases!D:D), 0)</f>
        <v>0</v>
      </c>
      <c r="I766" s="3">
        <f t="shared" si="1"/>
        <v>0</v>
      </c>
      <c r="J766" s="3">
        <f t="shared" si="2"/>
        <v>0</v>
      </c>
      <c r="K766" s="3">
        <f>IF(J766&gt;0,
        J766 * IF(G766&gt;0, G766/100,
            IFERROR( VLOOKUP(A766, Dividends!$A:$C, 3, FALSE) / VLOOKUP(A766, Prices!$A:$B, 2, FALSE), Inputs!$B$4)
        ) / 12,
        0)</f>
        <v>0</v>
      </c>
      <c r="L766" s="3">
        <f t="shared" si="3"/>
        <v>0</v>
      </c>
    </row>
    <row r="767" ht="15.75" customHeight="1">
      <c r="F767" s="3" t="str">
        <f>IFERROR(VLOOKUP(A767, Prices!A:B, 2, FALSE), )</f>
        <v/>
      </c>
      <c r="G767" s="3">
        <f>IFERROR(VLOOKUP(A767, Dividends!$A:$B, 2, FALSE),
       IFERROR( (VLOOKUP(A767, Dividends!$A:$C, 3, FALSE) / VLOOKUP(A767, Prices!$A:$B, 2, FALSE)) * 100,
                Inputs!$B$4*100 ))</f>
        <v>65</v>
      </c>
      <c r="H767" s="3">
        <f>IFERROR(SUMIF(Purchases!B:B, A767, Purchases!D:D), 0)</f>
        <v>0</v>
      </c>
      <c r="I767" s="3">
        <f t="shared" si="1"/>
        <v>0</v>
      </c>
      <c r="J767" s="3">
        <f t="shared" si="2"/>
        <v>0</v>
      </c>
      <c r="K767" s="3">
        <f>IF(J767&gt;0,
        J767 * IF(G767&gt;0, G767/100,
            IFERROR( VLOOKUP(A767, Dividends!$A:$C, 3, FALSE) / VLOOKUP(A767, Prices!$A:$B, 2, FALSE), Inputs!$B$4)
        ) / 12,
        0)</f>
        <v>0</v>
      </c>
      <c r="L767" s="3">
        <f t="shared" si="3"/>
        <v>0</v>
      </c>
    </row>
    <row r="768" ht="15.75" customHeight="1">
      <c r="F768" s="3" t="str">
        <f>IFERROR(VLOOKUP(A768, Prices!A:B, 2, FALSE), )</f>
        <v/>
      </c>
      <c r="G768" s="3">
        <f>IFERROR(VLOOKUP(A768, Dividends!$A:$B, 2, FALSE),
       IFERROR( (VLOOKUP(A768, Dividends!$A:$C, 3, FALSE) / VLOOKUP(A768, Prices!$A:$B, 2, FALSE)) * 100,
                Inputs!$B$4*100 ))</f>
        <v>65</v>
      </c>
      <c r="H768" s="3">
        <f>IFERROR(SUMIF(Purchases!B:B, A768, Purchases!D:D), 0)</f>
        <v>0</v>
      </c>
      <c r="I768" s="3">
        <f t="shared" si="1"/>
        <v>0</v>
      </c>
      <c r="J768" s="3">
        <f t="shared" si="2"/>
        <v>0</v>
      </c>
      <c r="K768" s="3">
        <f>IF(J768&gt;0,
        J768 * IF(G768&gt;0, G768/100,
            IFERROR( VLOOKUP(A768, Dividends!$A:$C, 3, FALSE) / VLOOKUP(A768, Prices!$A:$B, 2, FALSE), Inputs!$B$4)
        ) / 12,
        0)</f>
        <v>0</v>
      </c>
      <c r="L768" s="3">
        <f t="shared" si="3"/>
        <v>0</v>
      </c>
    </row>
    <row r="769" ht="15.75" customHeight="1">
      <c r="F769" s="3" t="str">
        <f>IFERROR(VLOOKUP(A769, Prices!A:B, 2, FALSE), )</f>
        <v/>
      </c>
      <c r="G769" s="3">
        <f>IFERROR(VLOOKUP(A769, Dividends!$A:$B, 2, FALSE),
       IFERROR( (VLOOKUP(A769, Dividends!$A:$C, 3, FALSE) / VLOOKUP(A769, Prices!$A:$B, 2, FALSE)) * 100,
                Inputs!$B$4*100 ))</f>
        <v>65</v>
      </c>
      <c r="H769" s="3">
        <f>IFERROR(SUMIF(Purchases!B:B, A769, Purchases!D:D), 0)</f>
        <v>0</v>
      </c>
      <c r="I769" s="3">
        <f t="shared" si="1"/>
        <v>0</v>
      </c>
      <c r="J769" s="3">
        <f t="shared" si="2"/>
        <v>0</v>
      </c>
      <c r="K769" s="3">
        <f>IF(J769&gt;0,
        J769 * IF(G769&gt;0, G769/100,
            IFERROR( VLOOKUP(A769, Dividends!$A:$C, 3, FALSE) / VLOOKUP(A769, Prices!$A:$B, 2, FALSE), Inputs!$B$4)
        ) / 12,
        0)</f>
        <v>0</v>
      </c>
      <c r="L769" s="3">
        <f t="shared" si="3"/>
        <v>0</v>
      </c>
    </row>
    <row r="770" ht="15.75" customHeight="1">
      <c r="F770" s="3" t="str">
        <f>IFERROR(VLOOKUP(A770, Prices!A:B, 2, FALSE), )</f>
        <v/>
      </c>
      <c r="G770" s="3">
        <f>IFERROR(VLOOKUP(A770, Dividends!$A:$B, 2, FALSE),
       IFERROR( (VLOOKUP(A770, Dividends!$A:$C, 3, FALSE) / VLOOKUP(A770, Prices!$A:$B, 2, FALSE)) * 100,
                Inputs!$B$4*100 ))</f>
        <v>65</v>
      </c>
      <c r="H770" s="3">
        <f>IFERROR(SUMIF(Purchases!B:B, A770, Purchases!D:D), 0)</f>
        <v>0</v>
      </c>
      <c r="I770" s="3">
        <f t="shared" si="1"/>
        <v>0</v>
      </c>
      <c r="J770" s="3">
        <f t="shared" si="2"/>
        <v>0</v>
      </c>
      <c r="K770" s="3">
        <f>IF(J770&gt;0,
        J770 * IF(G770&gt;0, G770/100,
            IFERROR( VLOOKUP(A770, Dividends!$A:$C, 3, FALSE) / VLOOKUP(A770, Prices!$A:$B, 2, FALSE), Inputs!$B$4)
        ) / 12,
        0)</f>
        <v>0</v>
      </c>
      <c r="L770" s="3">
        <f t="shared" si="3"/>
        <v>0</v>
      </c>
    </row>
    <row r="771" ht="15.75" customHeight="1">
      <c r="F771" s="3" t="str">
        <f>IFERROR(VLOOKUP(A771, Prices!A:B, 2, FALSE), )</f>
        <v/>
      </c>
      <c r="G771" s="3">
        <f>IFERROR(VLOOKUP(A771, Dividends!$A:$B, 2, FALSE),
       IFERROR( (VLOOKUP(A771, Dividends!$A:$C, 3, FALSE) / VLOOKUP(A771, Prices!$A:$B, 2, FALSE)) * 100,
                Inputs!$B$4*100 ))</f>
        <v>65</v>
      </c>
      <c r="H771" s="3">
        <f>IFERROR(SUMIF(Purchases!B:B, A771, Purchases!D:D), 0)</f>
        <v>0</v>
      </c>
      <c r="I771" s="3">
        <f t="shared" si="1"/>
        <v>0</v>
      </c>
      <c r="J771" s="3">
        <f t="shared" si="2"/>
        <v>0</v>
      </c>
      <c r="K771" s="3">
        <f>IF(J771&gt;0,
        J771 * IF(G771&gt;0, G771/100,
            IFERROR( VLOOKUP(A771, Dividends!$A:$C, 3, FALSE) / VLOOKUP(A771, Prices!$A:$B, 2, FALSE), Inputs!$B$4)
        ) / 12,
        0)</f>
        <v>0</v>
      </c>
      <c r="L771" s="3">
        <f t="shared" si="3"/>
        <v>0</v>
      </c>
    </row>
    <row r="772" ht="15.75" customHeight="1">
      <c r="F772" s="3" t="str">
        <f>IFERROR(VLOOKUP(A772, Prices!A:B, 2, FALSE), )</f>
        <v/>
      </c>
      <c r="G772" s="3">
        <f>IFERROR(VLOOKUP(A772, Dividends!$A:$B, 2, FALSE),
       IFERROR( (VLOOKUP(A772, Dividends!$A:$C, 3, FALSE) / VLOOKUP(A772, Prices!$A:$B, 2, FALSE)) * 100,
                Inputs!$B$4*100 ))</f>
        <v>65</v>
      </c>
      <c r="H772" s="3">
        <f>IFERROR(SUMIF(Purchases!B:B, A772, Purchases!D:D), 0)</f>
        <v>0</v>
      </c>
      <c r="I772" s="3">
        <f t="shared" si="1"/>
        <v>0</v>
      </c>
      <c r="J772" s="3">
        <f t="shared" si="2"/>
        <v>0</v>
      </c>
      <c r="K772" s="3">
        <f>IF(J772&gt;0,
        J772 * IF(G772&gt;0, G772/100,
            IFERROR( VLOOKUP(A772, Dividends!$A:$C, 3, FALSE) / VLOOKUP(A772, Prices!$A:$B, 2, FALSE), Inputs!$B$4)
        ) / 12,
        0)</f>
        <v>0</v>
      </c>
      <c r="L772" s="3">
        <f t="shared" si="3"/>
        <v>0</v>
      </c>
    </row>
    <row r="773" ht="15.75" customHeight="1">
      <c r="F773" s="3" t="str">
        <f>IFERROR(VLOOKUP(A773, Prices!A:B, 2, FALSE), )</f>
        <v/>
      </c>
      <c r="G773" s="3">
        <f>IFERROR(VLOOKUP(A773, Dividends!$A:$B, 2, FALSE),
       IFERROR( (VLOOKUP(A773, Dividends!$A:$C, 3, FALSE) / VLOOKUP(A773, Prices!$A:$B, 2, FALSE)) * 100,
                Inputs!$B$4*100 ))</f>
        <v>65</v>
      </c>
      <c r="H773" s="3">
        <f>IFERROR(SUMIF(Purchases!B:B, A773, Purchases!D:D), 0)</f>
        <v>0</v>
      </c>
      <c r="I773" s="3">
        <f t="shared" si="1"/>
        <v>0</v>
      </c>
      <c r="J773" s="3">
        <f t="shared" si="2"/>
        <v>0</v>
      </c>
      <c r="K773" s="3">
        <f>IF(J773&gt;0,
        J773 * IF(G773&gt;0, G773/100,
            IFERROR( VLOOKUP(A773, Dividends!$A:$C, 3, FALSE) / VLOOKUP(A773, Prices!$A:$B, 2, FALSE), Inputs!$B$4)
        ) / 12,
        0)</f>
        <v>0</v>
      </c>
      <c r="L773" s="3">
        <f t="shared" si="3"/>
        <v>0</v>
      </c>
    </row>
    <row r="774" ht="15.75" customHeight="1">
      <c r="F774" s="3" t="str">
        <f>IFERROR(VLOOKUP(A774, Prices!A:B, 2, FALSE), )</f>
        <v/>
      </c>
      <c r="G774" s="3">
        <f>IFERROR(VLOOKUP(A774, Dividends!$A:$B, 2, FALSE),
       IFERROR( (VLOOKUP(A774, Dividends!$A:$C, 3, FALSE) / VLOOKUP(A774, Prices!$A:$B, 2, FALSE)) * 100,
                Inputs!$B$4*100 ))</f>
        <v>65</v>
      </c>
      <c r="H774" s="3">
        <f>IFERROR(SUMIF(Purchases!B:B, A774, Purchases!D:D), 0)</f>
        <v>0</v>
      </c>
      <c r="I774" s="3">
        <f t="shared" si="1"/>
        <v>0</v>
      </c>
      <c r="J774" s="3">
        <f t="shared" si="2"/>
        <v>0</v>
      </c>
      <c r="K774" s="3">
        <f>IF(J774&gt;0,
        J774 * IF(G774&gt;0, G774/100,
            IFERROR( VLOOKUP(A774, Dividends!$A:$C, 3, FALSE) / VLOOKUP(A774, Prices!$A:$B, 2, FALSE), Inputs!$B$4)
        ) / 12,
        0)</f>
        <v>0</v>
      </c>
      <c r="L774" s="3">
        <f t="shared" si="3"/>
        <v>0</v>
      </c>
    </row>
    <row r="775" ht="15.75" customHeight="1">
      <c r="F775" s="3" t="str">
        <f>IFERROR(VLOOKUP(A775, Prices!A:B, 2, FALSE), )</f>
        <v/>
      </c>
      <c r="G775" s="3">
        <f>IFERROR(VLOOKUP(A775, Dividends!$A:$B, 2, FALSE),
       IFERROR( (VLOOKUP(A775, Dividends!$A:$C, 3, FALSE) / VLOOKUP(A775, Prices!$A:$B, 2, FALSE)) * 100,
                Inputs!$B$4*100 ))</f>
        <v>65</v>
      </c>
      <c r="H775" s="3">
        <f>IFERROR(SUMIF(Purchases!B:B, A775, Purchases!D:D), 0)</f>
        <v>0</v>
      </c>
      <c r="I775" s="3">
        <f t="shared" si="1"/>
        <v>0</v>
      </c>
      <c r="J775" s="3">
        <f t="shared" si="2"/>
        <v>0</v>
      </c>
      <c r="K775" s="3">
        <f>IF(J775&gt;0,
        J775 * IF(G775&gt;0, G775/100,
            IFERROR( VLOOKUP(A775, Dividends!$A:$C, 3, FALSE) / VLOOKUP(A775, Prices!$A:$B, 2, FALSE), Inputs!$B$4)
        ) / 12,
        0)</f>
        <v>0</v>
      </c>
      <c r="L775" s="3">
        <f t="shared" si="3"/>
        <v>0</v>
      </c>
    </row>
    <row r="776" ht="15.75" customHeight="1">
      <c r="F776" s="3" t="str">
        <f>IFERROR(VLOOKUP(A776, Prices!A:B, 2, FALSE), )</f>
        <v/>
      </c>
      <c r="G776" s="3">
        <f>IFERROR(VLOOKUP(A776, Dividends!$A:$B, 2, FALSE),
       IFERROR( (VLOOKUP(A776, Dividends!$A:$C, 3, FALSE) / VLOOKUP(A776, Prices!$A:$B, 2, FALSE)) * 100,
                Inputs!$B$4*100 ))</f>
        <v>65</v>
      </c>
      <c r="H776" s="3">
        <f>IFERROR(SUMIF(Purchases!B:B, A776, Purchases!D:D), 0)</f>
        <v>0</v>
      </c>
      <c r="I776" s="3">
        <f t="shared" si="1"/>
        <v>0</v>
      </c>
      <c r="J776" s="3">
        <f t="shared" si="2"/>
        <v>0</v>
      </c>
      <c r="K776" s="3">
        <f>IF(J776&gt;0,
        J776 * IF(G776&gt;0, G776/100,
            IFERROR( VLOOKUP(A776, Dividends!$A:$C, 3, FALSE) / VLOOKUP(A776, Prices!$A:$B, 2, FALSE), Inputs!$B$4)
        ) / 12,
        0)</f>
        <v>0</v>
      </c>
      <c r="L776" s="3">
        <f t="shared" si="3"/>
        <v>0</v>
      </c>
    </row>
    <row r="777" ht="15.75" customHeight="1">
      <c r="F777" s="3" t="str">
        <f>IFERROR(VLOOKUP(A777, Prices!A:B, 2, FALSE), )</f>
        <v/>
      </c>
      <c r="G777" s="3">
        <f>IFERROR(VLOOKUP(A777, Dividends!$A:$B, 2, FALSE),
       IFERROR( (VLOOKUP(A777, Dividends!$A:$C, 3, FALSE) / VLOOKUP(A777, Prices!$A:$B, 2, FALSE)) * 100,
                Inputs!$B$4*100 ))</f>
        <v>65</v>
      </c>
      <c r="H777" s="3">
        <f>IFERROR(SUMIF(Purchases!B:B, A777, Purchases!D:D), 0)</f>
        <v>0</v>
      </c>
      <c r="I777" s="3">
        <f t="shared" si="1"/>
        <v>0</v>
      </c>
      <c r="J777" s="3">
        <f t="shared" si="2"/>
        <v>0</v>
      </c>
      <c r="K777" s="3">
        <f>IF(J777&gt;0,
        J777 * IF(G777&gt;0, G777/100,
            IFERROR( VLOOKUP(A777, Dividends!$A:$C, 3, FALSE) / VLOOKUP(A777, Prices!$A:$B, 2, FALSE), Inputs!$B$4)
        ) / 12,
        0)</f>
        <v>0</v>
      </c>
      <c r="L777" s="3">
        <f t="shared" si="3"/>
        <v>0</v>
      </c>
    </row>
    <row r="778" ht="15.75" customHeight="1">
      <c r="F778" s="3" t="str">
        <f>IFERROR(VLOOKUP(A778, Prices!A:B, 2, FALSE), )</f>
        <v/>
      </c>
      <c r="G778" s="3">
        <f>IFERROR(VLOOKUP(A778, Dividends!$A:$B, 2, FALSE),
       IFERROR( (VLOOKUP(A778, Dividends!$A:$C, 3, FALSE) / VLOOKUP(A778, Prices!$A:$B, 2, FALSE)) * 100,
                Inputs!$B$4*100 ))</f>
        <v>65</v>
      </c>
      <c r="H778" s="3">
        <f>IFERROR(SUMIF(Purchases!B:B, A778, Purchases!D:D), 0)</f>
        <v>0</v>
      </c>
      <c r="I778" s="3">
        <f t="shared" si="1"/>
        <v>0</v>
      </c>
      <c r="J778" s="3">
        <f t="shared" si="2"/>
        <v>0</v>
      </c>
      <c r="K778" s="3">
        <f>IF(J778&gt;0,
        J778 * IF(G778&gt;0, G778/100,
            IFERROR( VLOOKUP(A778, Dividends!$A:$C, 3, FALSE) / VLOOKUP(A778, Prices!$A:$B, 2, FALSE), Inputs!$B$4)
        ) / 12,
        0)</f>
        <v>0</v>
      </c>
      <c r="L778" s="3">
        <f t="shared" si="3"/>
        <v>0</v>
      </c>
    </row>
    <row r="779" ht="15.75" customHeight="1">
      <c r="F779" s="3" t="str">
        <f>IFERROR(VLOOKUP(A779, Prices!A:B, 2, FALSE), )</f>
        <v/>
      </c>
      <c r="G779" s="3">
        <f>IFERROR(VLOOKUP(A779, Dividends!$A:$B, 2, FALSE),
       IFERROR( (VLOOKUP(A779, Dividends!$A:$C, 3, FALSE) / VLOOKUP(A779, Prices!$A:$B, 2, FALSE)) * 100,
                Inputs!$B$4*100 ))</f>
        <v>65</v>
      </c>
      <c r="H779" s="3">
        <f>IFERROR(SUMIF(Purchases!B:B, A779, Purchases!D:D), 0)</f>
        <v>0</v>
      </c>
      <c r="I779" s="3">
        <f t="shared" si="1"/>
        <v>0</v>
      </c>
      <c r="J779" s="3">
        <f t="shared" si="2"/>
        <v>0</v>
      </c>
      <c r="K779" s="3">
        <f>IF(J779&gt;0,
        J779 * IF(G779&gt;0, G779/100,
            IFERROR( VLOOKUP(A779, Dividends!$A:$C, 3, FALSE) / VLOOKUP(A779, Prices!$A:$B, 2, FALSE), Inputs!$B$4)
        ) / 12,
        0)</f>
        <v>0</v>
      </c>
      <c r="L779" s="3">
        <f t="shared" si="3"/>
        <v>0</v>
      </c>
    </row>
    <row r="780" ht="15.75" customHeight="1">
      <c r="F780" s="3" t="str">
        <f>IFERROR(VLOOKUP(A780, Prices!A:B, 2, FALSE), )</f>
        <v/>
      </c>
      <c r="G780" s="3">
        <f>IFERROR(VLOOKUP(A780, Dividends!$A:$B, 2, FALSE),
       IFERROR( (VLOOKUP(A780, Dividends!$A:$C, 3, FALSE) / VLOOKUP(A780, Prices!$A:$B, 2, FALSE)) * 100,
                Inputs!$B$4*100 ))</f>
        <v>65</v>
      </c>
      <c r="H780" s="3">
        <f>IFERROR(SUMIF(Purchases!B:B, A780, Purchases!D:D), 0)</f>
        <v>0</v>
      </c>
      <c r="I780" s="3">
        <f t="shared" si="1"/>
        <v>0</v>
      </c>
      <c r="J780" s="3">
        <f t="shared" si="2"/>
        <v>0</v>
      </c>
      <c r="K780" s="3">
        <f>IF(J780&gt;0,
        J780 * IF(G780&gt;0, G780/100,
            IFERROR( VLOOKUP(A780, Dividends!$A:$C, 3, FALSE) / VLOOKUP(A780, Prices!$A:$B, 2, FALSE), Inputs!$B$4)
        ) / 12,
        0)</f>
        <v>0</v>
      </c>
      <c r="L780" s="3">
        <f t="shared" si="3"/>
        <v>0</v>
      </c>
    </row>
    <row r="781" ht="15.75" customHeight="1">
      <c r="F781" s="3" t="str">
        <f>IFERROR(VLOOKUP(A781, Prices!A:B, 2, FALSE), )</f>
        <v/>
      </c>
      <c r="G781" s="3">
        <f>IFERROR(VLOOKUP(A781, Dividends!$A:$B, 2, FALSE),
       IFERROR( (VLOOKUP(A781, Dividends!$A:$C, 3, FALSE) / VLOOKUP(A781, Prices!$A:$B, 2, FALSE)) * 100,
                Inputs!$B$4*100 ))</f>
        <v>65</v>
      </c>
      <c r="H781" s="3">
        <f>IFERROR(SUMIF(Purchases!B:B, A781, Purchases!D:D), 0)</f>
        <v>0</v>
      </c>
      <c r="I781" s="3">
        <f t="shared" si="1"/>
        <v>0</v>
      </c>
      <c r="J781" s="3">
        <f t="shared" si="2"/>
        <v>0</v>
      </c>
      <c r="K781" s="3">
        <f>IF(J781&gt;0,
        J781 * IF(G781&gt;0, G781/100,
            IFERROR( VLOOKUP(A781, Dividends!$A:$C, 3, FALSE) / VLOOKUP(A781, Prices!$A:$B, 2, FALSE), Inputs!$B$4)
        ) / 12,
        0)</f>
        <v>0</v>
      </c>
      <c r="L781" s="3">
        <f t="shared" si="3"/>
        <v>0</v>
      </c>
    </row>
    <row r="782" ht="15.75" customHeight="1">
      <c r="F782" s="3" t="str">
        <f>IFERROR(VLOOKUP(A782, Prices!A:B, 2, FALSE), )</f>
        <v/>
      </c>
      <c r="G782" s="3">
        <f>IFERROR(VLOOKUP(A782, Dividends!$A:$B, 2, FALSE),
       IFERROR( (VLOOKUP(A782, Dividends!$A:$C, 3, FALSE) / VLOOKUP(A782, Prices!$A:$B, 2, FALSE)) * 100,
                Inputs!$B$4*100 ))</f>
        <v>65</v>
      </c>
      <c r="H782" s="3">
        <f>IFERROR(SUMIF(Purchases!B:B, A782, Purchases!D:D), 0)</f>
        <v>0</v>
      </c>
      <c r="I782" s="3">
        <f t="shared" si="1"/>
        <v>0</v>
      </c>
      <c r="J782" s="3">
        <f t="shared" si="2"/>
        <v>0</v>
      </c>
      <c r="K782" s="3">
        <f>IF(J782&gt;0,
        J782 * IF(G782&gt;0, G782/100,
            IFERROR( VLOOKUP(A782, Dividends!$A:$C, 3, FALSE) / VLOOKUP(A782, Prices!$A:$B, 2, FALSE), Inputs!$B$4)
        ) / 12,
        0)</f>
        <v>0</v>
      </c>
      <c r="L782" s="3">
        <f t="shared" si="3"/>
        <v>0</v>
      </c>
    </row>
    <row r="783" ht="15.75" customHeight="1">
      <c r="F783" s="3" t="str">
        <f>IFERROR(VLOOKUP(A783, Prices!A:B, 2, FALSE), )</f>
        <v/>
      </c>
      <c r="G783" s="3">
        <f>IFERROR(VLOOKUP(A783, Dividends!$A:$B, 2, FALSE),
       IFERROR( (VLOOKUP(A783, Dividends!$A:$C, 3, FALSE) / VLOOKUP(A783, Prices!$A:$B, 2, FALSE)) * 100,
                Inputs!$B$4*100 ))</f>
        <v>65</v>
      </c>
      <c r="H783" s="3">
        <f>IFERROR(SUMIF(Purchases!B:B, A783, Purchases!D:D), 0)</f>
        <v>0</v>
      </c>
      <c r="I783" s="3">
        <f t="shared" si="1"/>
        <v>0</v>
      </c>
      <c r="J783" s="3">
        <f t="shared" si="2"/>
        <v>0</v>
      </c>
      <c r="K783" s="3">
        <f>IF(J783&gt;0,
        J783 * IF(G783&gt;0, G783/100,
            IFERROR( VLOOKUP(A783, Dividends!$A:$C, 3, FALSE) / VLOOKUP(A783, Prices!$A:$B, 2, FALSE), Inputs!$B$4)
        ) / 12,
        0)</f>
        <v>0</v>
      </c>
      <c r="L783" s="3">
        <f t="shared" si="3"/>
        <v>0</v>
      </c>
    </row>
    <row r="784" ht="15.75" customHeight="1">
      <c r="F784" s="3" t="str">
        <f>IFERROR(VLOOKUP(A784, Prices!A:B, 2, FALSE), )</f>
        <v/>
      </c>
      <c r="G784" s="3">
        <f>IFERROR(VLOOKUP(A784, Dividends!$A:$B, 2, FALSE),
       IFERROR( (VLOOKUP(A784, Dividends!$A:$C, 3, FALSE) / VLOOKUP(A784, Prices!$A:$B, 2, FALSE)) * 100,
                Inputs!$B$4*100 ))</f>
        <v>65</v>
      </c>
      <c r="H784" s="3">
        <f>IFERROR(SUMIF(Purchases!B:B, A784, Purchases!D:D), 0)</f>
        <v>0</v>
      </c>
      <c r="I784" s="3">
        <f t="shared" si="1"/>
        <v>0</v>
      </c>
      <c r="J784" s="3">
        <f t="shared" si="2"/>
        <v>0</v>
      </c>
      <c r="K784" s="3">
        <f>IF(J784&gt;0,
        J784 * IF(G784&gt;0, G784/100,
            IFERROR( VLOOKUP(A784, Dividends!$A:$C, 3, FALSE) / VLOOKUP(A784, Prices!$A:$B, 2, FALSE), Inputs!$B$4)
        ) / 12,
        0)</f>
        <v>0</v>
      </c>
      <c r="L784" s="3">
        <f t="shared" si="3"/>
        <v>0</v>
      </c>
    </row>
    <row r="785" ht="15.75" customHeight="1">
      <c r="F785" s="3" t="str">
        <f>IFERROR(VLOOKUP(A785, Prices!A:B, 2, FALSE), )</f>
        <v/>
      </c>
      <c r="G785" s="3">
        <f>IFERROR(VLOOKUP(A785, Dividends!$A:$B, 2, FALSE),
       IFERROR( (VLOOKUP(A785, Dividends!$A:$C, 3, FALSE) / VLOOKUP(A785, Prices!$A:$B, 2, FALSE)) * 100,
                Inputs!$B$4*100 ))</f>
        <v>65</v>
      </c>
      <c r="H785" s="3">
        <f>IFERROR(SUMIF(Purchases!B:B, A785, Purchases!D:D), 0)</f>
        <v>0</v>
      </c>
      <c r="I785" s="3">
        <f t="shared" si="1"/>
        <v>0</v>
      </c>
      <c r="J785" s="3">
        <f t="shared" si="2"/>
        <v>0</v>
      </c>
      <c r="K785" s="3">
        <f>IF(J785&gt;0,
        J785 * IF(G785&gt;0, G785/100,
            IFERROR( VLOOKUP(A785, Dividends!$A:$C, 3, FALSE) / VLOOKUP(A785, Prices!$A:$B, 2, FALSE), Inputs!$B$4)
        ) / 12,
        0)</f>
        <v>0</v>
      </c>
      <c r="L785" s="3">
        <f t="shared" si="3"/>
        <v>0</v>
      </c>
    </row>
    <row r="786" ht="15.75" customHeight="1">
      <c r="F786" s="3" t="str">
        <f>IFERROR(VLOOKUP(A786, Prices!A:B, 2, FALSE), )</f>
        <v/>
      </c>
      <c r="G786" s="3">
        <f>IFERROR(VLOOKUP(A786, Dividends!$A:$B, 2, FALSE),
       IFERROR( (VLOOKUP(A786, Dividends!$A:$C, 3, FALSE) / VLOOKUP(A786, Prices!$A:$B, 2, FALSE)) * 100,
                Inputs!$B$4*100 ))</f>
        <v>65</v>
      </c>
      <c r="H786" s="3">
        <f>IFERROR(SUMIF(Purchases!B:B, A786, Purchases!D:D), 0)</f>
        <v>0</v>
      </c>
      <c r="I786" s="3">
        <f t="shared" si="1"/>
        <v>0</v>
      </c>
      <c r="J786" s="3">
        <f t="shared" si="2"/>
        <v>0</v>
      </c>
      <c r="K786" s="3">
        <f>IF(J786&gt;0,
        J786 * IF(G786&gt;0, G786/100,
            IFERROR( VLOOKUP(A786, Dividends!$A:$C, 3, FALSE) / VLOOKUP(A786, Prices!$A:$B, 2, FALSE), Inputs!$B$4)
        ) / 12,
        0)</f>
        <v>0</v>
      </c>
      <c r="L786" s="3">
        <f t="shared" si="3"/>
        <v>0</v>
      </c>
    </row>
    <row r="787" ht="15.75" customHeight="1">
      <c r="F787" s="3" t="str">
        <f>IFERROR(VLOOKUP(A787, Prices!A:B, 2, FALSE), )</f>
        <v/>
      </c>
      <c r="G787" s="3">
        <f>IFERROR(VLOOKUP(A787, Dividends!$A:$B, 2, FALSE),
       IFERROR( (VLOOKUP(A787, Dividends!$A:$C, 3, FALSE) / VLOOKUP(A787, Prices!$A:$B, 2, FALSE)) * 100,
                Inputs!$B$4*100 ))</f>
        <v>65</v>
      </c>
      <c r="H787" s="3">
        <f>IFERROR(SUMIF(Purchases!B:B, A787, Purchases!D:D), 0)</f>
        <v>0</v>
      </c>
      <c r="I787" s="3">
        <f t="shared" si="1"/>
        <v>0</v>
      </c>
      <c r="J787" s="3">
        <f t="shared" si="2"/>
        <v>0</v>
      </c>
      <c r="K787" s="3">
        <f>IF(J787&gt;0,
        J787 * IF(G787&gt;0, G787/100,
            IFERROR( VLOOKUP(A787, Dividends!$A:$C, 3, FALSE) / VLOOKUP(A787, Prices!$A:$B, 2, FALSE), Inputs!$B$4)
        ) / 12,
        0)</f>
        <v>0</v>
      </c>
      <c r="L787" s="3">
        <f t="shared" si="3"/>
        <v>0</v>
      </c>
    </row>
    <row r="788" ht="15.75" customHeight="1">
      <c r="F788" s="3" t="str">
        <f>IFERROR(VLOOKUP(A788, Prices!A:B, 2, FALSE), )</f>
        <v/>
      </c>
      <c r="G788" s="3">
        <f>IFERROR(VLOOKUP(A788, Dividends!$A:$B, 2, FALSE),
       IFERROR( (VLOOKUP(A788, Dividends!$A:$C, 3, FALSE) / VLOOKUP(A788, Prices!$A:$B, 2, FALSE)) * 100,
                Inputs!$B$4*100 ))</f>
        <v>65</v>
      </c>
      <c r="H788" s="3">
        <f>IFERROR(SUMIF(Purchases!B:B, A788, Purchases!D:D), 0)</f>
        <v>0</v>
      </c>
      <c r="I788" s="3">
        <f t="shared" si="1"/>
        <v>0</v>
      </c>
      <c r="J788" s="3">
        <f t="shared" si="2"/>
        <v>0</v>
      </c>
      <c r="K788" s="3">
        <f>IF(J788&gt;0,
        J788 * IF(G788&gt;0, G788/100,
            IFERROR( VLOOKUP(A788, Dividends!$A:$C, 3, FALSE) / VLOOKUP(A788, Prices!$A:$B, 2, FALSE), Inputs!$B$4)
        ) / 12,
        0)</f>
        <v>0</v>
      </c>
      <c r="L788" s="3">
        <f t="shared" si="3"/>
        <v>0</v>
      </c>
    </row>
    <row r="789" ht="15.75" customHeight="1">
      <c r="F789" s="3" t="str">
        <f>IFERROR(VLOOKUP(A789, Prices!A:B, 2, FALSE), )</f>
        <v/>
      </c>
      <c r="G789" s="3">
        <f>IFERROR(VLOOKUP(A789, Dividends!$A:$B, 2, FALSE),
       IFERROR( (VLOOKUP(A789, Dividends!$A:$C, 3, FALSE) / VLOOKUP(A789, Prices!$A:$B, 2, FALSE)) * 100,
                Inputs!$B$4*100 ))</f>
        <v>65</v>
      </c>
      <c r="H789" s="3">
        <f>IFERROR(SUMIF(Purchases!B:B, A789, Purchases!D:D), 0)</f>
        <v>0</v>
      </c>
      <c r="I789" s="3">
        <f t="shared" si="1"/>
        <v>0</v>
      </c>
      <c r="J789" s="3">
        <f t="shared" si="2"/>
        <v>0</v>
      </c>
      <c r="K789" s="3">
        <f>IF(J789&gt;0,
        J789 * IF(G789&gt;0, G789/100,
            IFERROR( VLOOKUP(A789, Dividends!$A:$C, 3, FALSE) / VLOOKUP(A789, Prices!$A:$B, 2, FALSE), Inputs!$B$4)
        ) / 12,
        0)</f>
        <v>0</v>
      </c>
      <c r="L789" s="3">
        <f t="shared" si="3"/>
        <v>0</v>
      </c>
    </row>
    <row r="790" ht="15.75" customHeight="1">
      <c r="F790" s="3" t="str">
        <f>IFERROR(VLOOKUP(A790, Prices!A:B, 2, FALSE), )</f>
        <v/>
      </c>
      <c r="G790" s="3">
        <f>IFERROR(VLOOKUP(A790, Dividends!$A:$B, 2, FALSE),
       IFERROR( (VLOOKUP(A790, Dividends!$A:$C, 3, FALSE) / VLOOKUP(A790, Prices!$A:$B, 2, FALSE)) * 100,
                Inputs!$B$4*100 ))</f>
        <v>65</v>
      </c>
      <c r="H790" s="3">
        <f>IFERROR(SUMIF(Purchases!B:B, A790, Purchases!D:D), 0)</f>
        <v>0</v>
      </c>
      <c r="I790" s="3">
        <f t="shared" si="1"/>
        <v>0</v>
      </c>
      <c r="J790" s="3">
        <f t="shared" si="2"/>
        <v>0</v>
      </c>
      <c r="K790" s="3">
        <f>IF(J790&gt;0,
        J790 * IF(G790&gt;0, G790/100,
            IFERROR( VLOOKUP(A790, Dividends!$A:$C, 3, FALSE) / VLOOKUP(A790, Prices!$A:$B, 2, FALSE), Inputs!$B$4)
        ) / 12,
        0)</f>
        <v>0</v>
      </c>
      <c r="L790" s="3">
        <f t="shared" si="3"/>
        <v>0</v>
      </c>
    </row>
    <row r="791" ht="15.75" customHeight="1">
      <c r="F791" s="3" t="str">
        <f>IFERROR(VLOOKUP(A791, Prices!A:B, 2, FALSE), )</f>
        <v/>
      </c>
      <c r="G791" s="3">
        <f>IFERROR(VLOOKUP(A791, Dividends!$A:$B, 2, FALSE),
       IFERROR( (VLOOKUP(A791, Dividends!$A:$C, 3, FALSE) / VLOOKUP(A791, Prices!$A:$B, 2, FALSE)) * 100,
                Inputs!$B$4*100 ))</f>
        <v>65</v>
      </c>
      <c r="H791" s="3">
        <f>IFERROR(SUMIF(Purchases!B:B, A791, Purchases!D:D), 0)</f>
        <v>0</v>
      </c>
      <c r="I791" s="3">
        <f t="shared" si="1"/>
        <v>0</v>
      </c>
      <c r="J791" s="3">
        <f t="shared" si="2"/>
        <v>0</v>
      </c>
      <c r="K791" s="3">
        <f>IF(J791&gt;0,
        J791 * IF(G791&gt;0, G791/100,
            IFERROR( VLOOKUP(A791, Dividends!$A:$C, 3, FALSE) / VLOOKUP(A791, Prices!$A:$B, 2, FALSE), Inputs!$B$4)
        ) / 12,
        0)</f>
        <v>0</v>
      </c>
      <c r="L791" s="3">
        <f t="shared" si="3"/>
        <v>0</v>
      </c>
    </row>
    <row r="792" ht="15.75" customHeight="1">
      <c r="F792" s="3" t="str">
        <f>IFERROR(VLOOKUP(A792, Prices!A:B, 2, FALSE), )</f>
        <v/>
      </c>
      <c r="G792" s="3">
        <f>IFERROR(VLOOKUP(A792, Dividends!$A:$B, 2, FALSE),
       IFERROR( (VLOOKUP(A792, Dividends!$A:$C, 3, FALSE) / VLOOKUP(A792, Prices!$A:$B, 2, FALSE)) * 100,
                Inputs!$B$4*100 ))</f>
        <v>65</v>
      </c>
      <c r="H792" s="3">
        <f>IFERROR(SUMIF(Purchases!B:B, A792, Purchases!D:D), 0)</f>
        <v>0</v>
      </c>
      <c r="I792" s="3">
        <f t="shared" si="1"/>
        <v>0</v>
      </c>
      <c r="J792" s="3">
        <f t="shared" si="2"/>
        <v>0</v>
      </c>
      <c r="K792" s="3">
        <f>IF(J792&gt;0,
        J792 * IF(G792&gt;0, G792/100,
            IFERROR( VLOOKUP(A792, Dividends!$A:$C, 3, FALSE) / VLOOKUP(A792, Prices!$A:$B, 2, FALSE), Inputs!$B$4)
        ) / 12,
        0)</f>
        <v>0</v>
      </c>
      <c r="L792" s="3">
        <f t="shared" si="3"/>
        <v>0</v>
      </c>
    </row>
    <row r="793" ht="15.75" customHeight="1">
      <c r="F793" s="3" t="str">
        <f>IFERROR(VLOOKUP(A793, Prices!A:B, 2, FALSE), )</f>
        <v/>
      </c>
      <c r="G793" s="3">
        <f>IFERROR(VLOOKUP(A793, Dividends!$A:$B, 2, FALSE),
       IFERROR( (VLOOKUP(A793, Dividends!$A:$C, 3, FALSE) / VLOOKUP(A793, Prices!$A:$B, 2, FALSE)) * 100,
                Inputs!$B$4*100 ))</f>
        <v>65</v>
      </c>
      <c r="H793" s="3">
        <f>IFERROR(SUMIF(Purchases!B:B, A793, Purchases!D:D), 0)</f>
        <v>0</v>
      </c>
      <c r="I793" s="3">
        <f t="shared" si="1"/>
        <v>0</v>
      </c>
      <c r="J793" s="3">
        <f t="shared" si="2"/>
        <v>0</v>
      </c>
      <c r="K793" s="3">
        <f>IF(J793&gt;0,
        J793 * IF(G793&gt;0, G793/100,
            IFERROR( VLOOKUP(A793, Dividends!$A:$C, 3, FALSE) / VLOOKUP(A793, Prices!$A:$B, 2, FALSE), Inputs!$B$4)
        ) / 12,
        0)</f>
        <v>0</v>
      </c>
      <c r="L793" s="3">
        <f t="shared" si="3"/>
        <v>0</v>
      </c>
    </row>
    <row r="794" ht="15.75" customHeight="1">
      <c r="F794" s="3" t="str">
        <f>IFERROR(VLOOKUP(A794, Prices!A:B, 2, FALSE), )</f>
        <v/>
      </c>
      <c r="G794" s="3">
        <f>IFERROR(VLOOKUP(A794, Dividends!$A:$B, 2, FALSE),
       IFERROR( (VLOOKUP(A794, Dividends!$A:$C, 3, FALSE) / VLOOKUP(A794, Prices!$A:$B, 2, FALSE)) * 100,
                Inputs!$B$4*100 ))</f>
        <v>65</v>
      </c>
      <c r="H794" s="3">
        <f>IFERROR(SUMIF(Purchases!B:B, A794, Purchases!D:D), 0)</f>
        <v>0</v>
      </c>
      <c r="I794" s="3">
        <f t="shared" si="1"/>
        <v>0</v>
      </c>
      <c r="J794" s="3">
        <f t="shared" si="2"/>
        <v>0</v>
      </c>
      <c r="K794" s="3">
        <f>IF(J794&gt;0,
        J794 * IF(G794&gt;0, G794/100,
            IFERROR( VLOOKUP(A794, Dividends!$A:$C, 3, FALSE) / VLOOKUP(A794, Prices!$A:$B, 2, FALSE), Inputs!$B$4)
        ) / 12,
        0)</f>
        <v>0</v>
      </c>
      <c r="L794" s="3">
        <f t="shared" si="3"/>
        <v>0</v>
      </c>
    </row>
    <row r="795" ht="15.75" customHeight="1">
      <c r="F795" s="3" t="str">
        <f>IFERROR(VLOOKUP(A795, Prices!A:B, 2, FALSE), )</f>
        <v/>
      </c>
      <c r="G795" s="3">
        <f>IFERROR(VLOOKUP(A795, Dividends!$A:$B, 2, FALSE),
       IFERROR( (VLOOKUP(A795, Dividends!$A:$C, 3, FALSE) / VLOOKUP(A795, Prices!$A:$B, 2, FALSE)) * 100,
                Inputs!$B$4*100 ))</f>
        <v>65</v>
      </c>
      <c r="H795" s="3">
        <f>IFERROR(SUMIF(Purchases!B:B, A795, Purchases!D:D), 0)</f>
        <v>0</v>
      </c>
      <c r="I795" s="3">
        <f t="shared" si="1"/>
        <v>0</v>
      </c>
      <c r="J795" s="3">
        <f t="shared" si="2"/>
        <v>0</v>
      </c>
      <c r="K795" s="3">
        <f>IF(J795&gt;0,
        J795 * IF(G795&gt;0, G795/100,
            IFERROR( VLOOKUP(A795, Dividends!$A:$C, 3, FALSE) / VLOOKUP(A795, Prices!$A:$B, 2, FALSE), Inputs!$B$4)
        ) / 12,
        0)</f>
        <v>0</v>
      </c>
      <c r="L795" s="3">
        <f t="shared" si="3"/>
        <v>0</v>
      </c>
    </row>
    <row r="796" ht="15.75" customHeight="1">
      <c r="F796" s="3" t="str">
        <f>IFERROR(VLOOKUP(A796, Prices!A:B, 2, FALSE), )</f>
        <v/>
      </c>
      <c r="G796" s="3">
        <f>IFERROR(VLOOKUP(A796, Dividends!$A:$B, 2, FALSE),
       IFERROR( (VLOOKUP(A796, Dividends!$A:$C, 3, FALSE) / VLOOKUP(A796, Prices!$A:$B, 2, FALSE)) * 100,
                Inputs!$B$4*100 ))</f>
        <v>65</v>
      </c>
      <c r="H796" s="3">
        <f>IFERROR(SUMIF(Purchases!B:B, A796, Purchases!D:D), 0)</f>
        <v>0</v>
      </c>
      <c r="I796" s="3">
        <f t="shared" si="1"/>
        <v>0</v>
      </c>
      <c r="J796" s="3">
        <f t="shared" si="2"/>
        <v>0</v>
      </c>
      <c r="K796" s="3">
        <f>IF(J796&gt;0,
        J796 * IF(G796&gt;0, G796/100,
            IFERROR( VLOOKUP(A796, Dividends!$A:$C, 3, FALSE) / VLOOKUP(A796, Prices!$A:$B, 2, FALSE), Inputs!$B$4)
        ) / 12,
        0)</f>
        <v>0</v>
      </c>
      <c r="L796" s="3">
        <f t="shared" si="3"/>
        <v>0</v>
      </c>
    </row>
    <row r="797" ht="15.75" customHeight="1">
      <c r="F797" s="3" t="str">
        <f>IFERROR(VLOOKUP(A797, Prices!A:B, 2, FALSE), )</f>
        <v/>
      </c>
      <c r="G797" s="3">
        <f>IFERROR(VLOOKUP(A797, Dividends!$A:$B, 2, FALSE),
       IFERROR( (VLOOKUP(A797, Dividends!$A:$C, 3, FALSE) / VLOOKUP(A797, Prices!$A:$B, 2, FALSE)) * 100,
                Inputs!$B$4*100 ))</f>
        <v>65</v>
      </c>
      <c r="H797" s="3">
        <f>IFERROR(SUMIF(Purchases!B:B, A797, Purchases!D:D), 0)</f>
        <v>0</v>
      </c>
      <c r="I797" s="3">
        <f t="shared" si="1"/>
        <v>0</v>
      </c>
      <c r="J797" s="3">
        <f t="shared" si="2"/>
        <v>0</v>
      </c>
      <c r="K797" s="3">
        <f>IF(J797&gt;0,
        J797 * IF(G797&gt;0, G797/100,
            IFERROR( VLOOKUP(A797, Dividends!$A:$C, 3, FALSE) / VLOOKUP(A797, Prices!$A:$B, 2, FALSE), Inputs!$B$4)
        ) / 12,
        0)</f>
        <v>0</v>
      </c>
      <c r="L797" s="3">
        <f t="shared" si="3"/>
        <v>0</v>
      </c>
    </row>
    <row r="798" ht="15.75" customHeight="1">
      <c r="F798" s="3" t="str">
        <f>IFERROR(VLOOKUP(A798, Prices!A:B, 2, FALSE), )</f>
        <v/>
      </c>
      <c r="G798" s="3">
        <f>IFERROR(VLOOKUP(A798, Dividends!$A:$B, 2, FALSE),
       IFERROR( (VLOOKUP(A798, Dividends!$A:$C, 3, FALSE) / VLOOKUP(A798, Prices!$A:$B, 2, FALSE)) * 100,
                Inputs!$B$4*100 ))</f>
        <v>65</v>
      </c>
      <c r="H798" s="3">
        <f>IFERROR(SUMIF(Purchases!B:B, A798, Purchases!D:D), 0)</f>
        <v>0</v>
      </c>
      <c r="I798" s="3">
        <f t="shared" si="1"/>
        <v>0</v>
      </c>
      <c r="J798" s="3">
        <f t="shared" si="2"/>
        <v>0</v>
      </c>
      <c r="K798" s="3">
        <f>IF(J798&gt;0,
        J798 * IF(G798&gt;0, G798/100,
            IFERROR( VLOOKUP(A798, Dividends!$A:$C, 3, FALSE) / VLOOKUP(A798, Prices!$A:$B, 2, FALSE), Inputs!$B$4)
        ) / 12,
        0)</f>
        <v>0</v>
      </c>
      <c r="L798" s="3">
        <f t="shared" si="3"/>
        <v>0</v>
      </c>
    </row>
    <row r="799" ht="15.75" customHeight="1">
      <c r="F799" s="3" t="str">
        <f>IFERROR(VLOOKUP(A799, Prices!A:B, 2, FALSE), )</f>
        <v/>
      </c>
      <c r="G799" s="3">
        <f>IFERROR(VLOOKUP(A799, Dividends!$A:$B, 2, FALSE),
       IFERROR( (VLOOKUP(A799, Dividends!$A:$C, 3, FALSE) / VLOOKUP(A799, Prices!$A:$B, 2, FALSE)) * 100,
                Inputs!$B$4*100 ))</f>
        <v>65</v>
      </c>
      <c r="H799" s="3">
        <f>IFERROR(SUMIF(Purchases!B:B, A799, Purchases!D:D), 0)</f>
        <v>0</v>
      </c>
      <c r="I799" s="3">
        <f t="shared" si="1"/>
        <v>0</v>
      </c>
      <c r="J799" s="3">
        <f t="shared" si="2"/>
        <v>0</v>
      </c>
      <c r="K799" s="3">
        <f>IF(J799&gt;0,
        J799 * IF(G799&gt;0, G799/100,
            IFERROR( VLOOKUP(A799, Dividends!$A:$C, 3, FALSE) / VLOOKUP(A799, Prices!$A:$B, 2, FALSE), Inputs!$B$4)
        ) / 12,
        0)</f>
        <v>0</v>
      </c>
      <c r="L799" s="3">
        <f t="shared" si="3"/>
        <v>0</v>
      </c>
    </row>
    <row r="800" ht="15.75" customHeight="1">
      <c r="F800" s="3" t="str">
        <f>IFERROR(VLOOKUP(A800, Prices!A:B, 2, FALSE), )</f>
        <v/>
      </c>
      <c r="G800" s="3">
        <f>IFERROR(VLOOKUP(A800, Dividends!$A:$B, 2, FALSE),
       IFERROR( (VLOOKUP(A800, Dividends!$A:$C, 3, FALSE) / VLOOKUP(A800, Prices!$A:$B, 2, FALSE)) * 100,
                Inputs!$B$4*100 ))</f>
        <v>65</v>
      </c>
      <c r="H800" s="3">
        <f>IFERROR(SUMIF(Purchases!B:B, A800, Purchases!D:D), 0)</f>
        <v>0</v>
      </c>
      <c r="I800" s="3">
        <f t="shared" si="1"/>
        <v>0</v>
      </c>
      <c r="J800" s="3">
        <f t="shared" si="2"/>
        <v>0</v>
      </c>
      <c r="K800" s="3">
        <f>IF(J800&gt;0,
        J800 * IF(G800&gt;0, G800/100,
            IFERROR( VLOOKUP(A800, Dividends!$A:$C, 3, FALSE) / VLOOKUP(A800, Prices!$A:$B, 2, FALSE), Inputs!$B$4)
        ) / 12,
        0)</f>
        <v>0</v>
      </c>
      <c r="L800" s="3">
        <f t="shared" si="3"/>
        <v>0</v>
      </c>
    </row>
    <row r="801" ht="15.75" customHeight="1">
      <c r="F801" s="3" t="str">
        <f>IFERROR(VLOOKUP(A801, Prices!A:B, 2, FALSE), )</f>
        <v/>
      </c>
      <c r="G801" s="3">
        <f>IFERROR(VLOOKUP(A801, Dividends!$A:$B, 2, FALSE),
       IFERROR( (VLOOKUP(A801, Dividends!$A:$C, 3, FALSE) / VLOOKUP(A801, Prices!$A:$B, 2, FALSE)) * 100,
                Inputs!$B$4*100 ))</f>
        <v>65</v>
      </c>
      <c r="H801" s="3">
        <f>IFERROR(SUMIF(Purchases!B:B, A801, Purchases!D:D), 0)</f>
        <v>0</v>
      </c>
      <c r="I801" s="3">
        <f t="shared" si="1"/>
        <v>0</v>
      </c>
      <c r="J801" s="3">
        <f t="shared" si="2"/>
        <v>0</v>
      </c>
      <c r="K801" s="3">
        <f>IF(J801&gt;0,
        J801 * IF(G801&gt;0, G801/100,
            IFERROR( VLOOKUP(A801, Dividends!$A:$C, 3, FALSE) / VLOOKUP(A801, Prices!$A:$B, 2, FALSE), Inputs!$B$4)
        ) / 12,
        0)</f>
        <v>0</v>
      </c>
      <c r="L801" s="3">
        <f t="shared" si="3"/>
        <v>0</v>
      </c>
    </row>
    <row r="802" ht="15.75" customHeight="1">
      <c r="F802" s="3" t="str">
        <f>IFERROR(VLOOKUP(A802, Prices!A:B, 2, FALSE), )</f>
        <v/>
      </c>
      <c r="G802" s="3">
        <f>IFERROR(VLOOKUP(A802, Dividends!$A:$B, 2, FALSE),
       IFERROR( (VLOOKUP(A802, Dividends!$A:$C, 3, FALSE) / VLOOKUP(A802, Prices!$A:$B, 2, FALSE)) * 100,
                Inputs!$B$4*100 ))</f>
        <v>65</v>
      </c>
      <c r="H802" s="3">
        <f>IFERROR(SUMIF(Purchases!B:B, A802, Purchases!D:D), 0)</f>
        <v>0</v>
      </c>
      <c r="I802" s="3">
        <f t="shared" si="1"/>
        <v>0</v>
      </c>
      <c r="J802" s="3">
        <f t="shared" si="2"/>
        <v>0</v>
      </c>
      <c r="K802" s="3">
        <f>IF(J802&gt;0,
        J802 * IF(G802&gt;0, G802/100,
            IFERROR( VLOOKUP(A802, Dividends!$A:$C, 3, FALSE) / VLOOKUP(A802, Prices!$A:$B, 2, FALSE), Inputs!$B$4)
        ) / 12,
        0)</f>
        <v>0</v>
      </c>
      <c r="L802" s="3">
        <f t="shared" si="3"/>
        <v>0</v>
      </c>
    </row>
    <row r="803" ht="15.75" customHeight="1">
      <c r="F803" s="3" t="str">
        <f>IFERROR(VLOOKUP(A803, Prices!A:B, 2, FALSE), )</f>
        <v/>
      </c>
      <c r="G803" s="3">
        <f>IFERROR(VLOOKUP(A803, Dividends!$A:$B, 2, FALSE),
       IFERROR( (VLOOKUP(A803, Dividends!$A:$C, 3, FALSE) / VLOOKUP(A803, Prices!$A:$B, 2, FALSE)) * 100,
                Inputs!$B$4*100 ))</f>
        <v>65</v>
      </c>
      <c r="H803" s="3">
        <f>IFERROR(SUMIF(Purchases!B:B, A803, Purchases!D:D), 0)</f>
        <v>0</v>
      </c>
      <c r="I803" s="3">
        <f t="shared" si="1"/>
        <v>0</v>
      </c>
      <c r="J803" s="3">
        <f t="shared" si="2"/>
        <v>0</v>
      </c>
      <c r="K803" s="3">
        <f>IF(J803&gt;0,
        J803 * IF(G803&gt;0, G803/100,
            IFERROR( VLOOKUP(A803, Dividends!$A:$C, 3, FALSE) / VLOOKUP(A803, Prices!$A:$B, 2, FALSE), Inputs!$B$4)
        ) / 12,
        0)</f>
        <v>0</v>
      </c>
      <c r="L803" s="3">
        <f t="shared" si="3"/>
        <v>0</v>
      </c>
    </row>
    <row r="804" ht="15.75" customHeight="1">
      <c r="F804" s="3" t="str">
        <f>IFERROR(VLOOKUP(A804, Prices!A:B, 2, FALSE), )</f>
        <v/>
      </c>
      <c r="G804" s="3">
        <f>IFERROR(VLOOKUP(A804, Dividends!$A:$B, 2, FALSE),
       IFERROR( (VLOOKUP(A804, Dividends!$A:$C, 3, FALSE) / VLOOKUP(A804, Prices!$A:$B, 2, FALSE)) * 100,
                Inputs!$B$4*100 ))</f>
        <v>65</v>
      </c>
      <c r="H804" s="3">
        <f>IFERROR(SUMIF(Purchases!B:B, A804, Purchases!D:D), 0)</f>
        <v>0</v>
      </c>
      <c r="I804" s="3">
        <f t="shared" si="1"/>
        <v>0</v>
      </c>
      <c r="J804" s="3">
        <f t="shared" si="2"/>
        <v>0</v>
      </c>
      <c r="K804" s="3">
        <f>IF(J804&gt;0,
        J804 * IF(G804&gt;0, G804/100,
            IFERROR( VLOOKUP(A804, Dividends!$A:$C, 3, FALSE) / VLOOKUP(A804, Prices!$A:$B, 2, FALSE), Inputs!$B$4)
        ) / 12,
        0)</f>
        <v>0</v>
      </c>
      <c r="L804" s="3">
        <f t="shared" si="3"/>
        <v>0</v>
      </c>
    </row>
    <row r="805" ht="15.75" customHeight="1">
      <c r="F805" s="3" t="str">
        <f>IFERROR(VLOOKUP(A805, Prices!A:B, 2, FALSE), )</f>
        <v/>
      </c>
      <c r="G805" s="3">
        <f>IFERROR(VLOOKUP(A805, Dividends!$A:$B, 2, FALSE),
       IFERROR( (VLOOKUP(A805, Dividends!$A:$C, 3, FALSE) / VLOOKUP(A805, Prices!$A:$B, 2, FALSE)) * 100,
                Inputs!$B$4*100 ))</f>
        <v>65</v>
      </c>
      <c r="H805" s="3">
        <f>IFERROR(SUMIF(Purchases!B:B, A805, Purchases!D:D), 0)</f>
        <v>0</v>
      </c>
      <c r="I805" s="3">
        <f t="shared" si="1"/>
        <v>0</v>
      </c>
      <c r="J805" s="3">
        <f t="shared" si="2"/>
        <v>0</v>
      </c>
      <c r="K805" s="3">
        <f>IF(J805&gt;0,
        J805 * IF(G805&gt;0, G805/100,
            IFERROR( VLOOKUP(A805, Dividends!$A:$C, 3, FALSE) / VLOOKUP(A805, Prices!$A:$B, 2, FALSE), Inputs!$B$4)
        ) / 12,
        0)</f>
        <v>0</v>
      </c>
      <c r="L805" s="3">
        <f t="shared" si="3"/>
        <v>0</v>
      </c>
    </row>
    <row r="806" ht="15.75" customHeight="1">
      <c r="F806" s="3" t="str">
        <f>IFERROR(VLOOKUP(A806, Prices!A:B, 2, FALSE), )</f>
        <v/>
      </c>
      <c r="G806" s="3">
        <f>IFERROR(VLOOKUP(A806, Dividends!$A:$B, 2, FALSE),
       IFERROR( (VLOOKUP(A806, Dividends!$A:$C, 3, FALSE) / VLOOKUP(A806, Prices!$A:$B, 2, FALSE)) * 100,
                Inputs!$B$4*100 ))</f>
        <v>65</v>
      </c>
      <c r="H806" s="3">
        <f>IFERROR(SUMIF(Purchases!B:B, A806, Purchases!D:D), 0)</f>
        <v>0</v>
      </c>
      <c r="I806" s="3">
        <f t="shared" si="1"/>
        <v>0</v>
      </c>
      <c r="J806" s="3">
        <f t="shared" si="2"/>
        <v>0</v>
      </c>
      <c r="K806" s="3">
        <f>IF(J806&gt;0,
        J806 * IF(G806&gt;0, G806/100,
            IFERROR( VLOOKUP(A806, Dividends!$A:$C, 3, FALSE) / VLOOKUP(A806, Prices!$A:$B, 2, FALSE), Inputs!$B$4)
        ) / 12,
        0)</f>
        <v>0</v>
      </c>
      <c r="L806" s="3">
        <f t="shared" si="3"/>
        <v>0</v>
      </c>
    </row>
    <row r="807" ht="15.75" customHeight="1">
      <c r="F807" s="3" t="str">
        <f>IFERROR(VLOOKUP(A807, Prices!A:B, 2, FALSE), )</f>
        <v/>
      </c>
      <c r="G807" s="3">
        <f>IFERROR(VLOOKUP(A807, Dividends!$A:$B, 2, FALSE),
       IFERROR( (VLOOKUP(A807, Dividends!$A:$C, 3, FALSE) / VLOOKUP(A807, Prices!$A:$B, 2, FALSE)) * 100,
                Inputs!$B$4*100 ))</f>
        <v>65</v>
      </c>
      <c r="H807" s="3">
        <f>IFERROR(SUMIF(Purchases!B:B, A807, Purchases!D:D), 0)</f>
        <v>0</v>
      </c>
      <c r="I807" s="3">
        <f t="shared" si="1"/>
        <v>0</v>
      </c>
      <c r="J807" s="3">
        <f t="shared" si="2"/>
        <v>0</v>
      </c>
      <c r="K807" s="3">
        <f>IF(J807&gt;0,
        J807 * IF(G807&gt;0, G807/100,
            IFERROR( VLOOKUP(A807, Dividends!$A:$C, 3, FALSE) / VLOOKUP(A807, Prices!$A:$B, 2, FALSE), Inputs!$B$4)
        ) / 12,
        0)</f>
        <v>0</v>
      </c>
      <c r="L807" s="3">
        <f t="shared" si="3"/>
        <v>0</v>
      </c>
    </row>
    <row r="808" ht="15.75" customHeight="1">
      <c r="F808" s="3" t="str">
        <f>IFERROR(VLOOKUP(A808, Prices!A:B, 2, FALSE), )</f>
        <v/>
      </c>
      <c r="G808" s="3">
        <f>IFERROR(VLOOKUP(A808, Dividends!$A:$B, 2, FALSE),
       IFERROR( (VLOOKUP(A808, Dividends!$A:$C, 3, FALSE) / VLOOKUP(A808, Prices!$A:$B, 2, FALSE)) * 100,
                Inputs!$B$4*100 ))</f>
        <v>65</v>
      </c>
      <c r="H808" s="3">
        <f>IFERROR(SUMIF(Purchases!B:B, A808, Purchases!D:D), 0)</f>
        <v>0</v>
      </c>
      <c r="I808" s="3">
        <f t="shared" si="1"/>
        <v>0</v>
      </c>
      <c r="J808" s="3">
        <f t="shared" si="2"/>
        <v>0</v>
      </c>
      <c r="K808" s="3">
        <f>IF(J808&gt;0,
        J808 * IF(G808&gt;0, G808/100,
            IFERROR( VLOOKUP(A808, Dividends!$A:$C, 3, FALSE) / VLOOKUP(A808, Prices!$A:$B, 2, FALSE), Inputs!$B$4)
        ) / 12,
        0)</f>
        <v>0</v>
      </c>
      <c r="L808" s="3">
        <f t="shared" si="3"/>
        <v>0</v>
      </c>
    </row>
    <row r="809" ht="15.75" customHeight="1">
      <c r="F809" s="3" t="str">
        <f>IFERROR(VLOOKUP(A809, Prices!A:B, 2, FALSE), )</f>
        <v/>
      </c>
      <c r="G809" s="3">
        <f>IFERROR(VLOOKUP(A809, Dividends!$A:$B, 2, FALSE),
       IFERROR( (VLOOKUP(A809, Dividends!$A:$C, 3, FALSE) / VLOOKUP(A809, Prices!$A:$B, 2, FALSE)) * 100,
                Inputs!$B$4*100 ))</f>
        <v>65</v>
      </c>
      <c r="H809" s="3">
        <f>IFERROR(SUMIF(Purchases!B:B, A809, Purchases!D:D), 0)</f>
        <v>0</v>
      </c>
      <c r="I809" s="3">
        <f t="shared" si="1"/>
        <v>0</v>
      </c>
      <c r="J809" s="3">
        <f t="shared" si="2"/>
        <v>0</v>
      </c>
      <c r="K809" s="3">
        <f>IF(J809&gt;0,
        J809 * IF(G809&gt;0, G809/100,
            IFERROR( VLOOKUP(A809, Dividends!$A:$C, 3, FALSE) / VLOOKUP(A809, Prices!$A:$B, 2, FALSE), Inputs!$B$4)
        ) / 12,
        0)</f>
        <v>0</v>
      </c>
      <c r="L809" s="3">
        <f t="shared" si="3"/>
        <v>0</v>
      </c>
    </row>
    <row r="810" ht="15.75" customHeight="1">
      <c r="F810" s="3" t="str">
        <f>IFERROR(VLOOKUP(A810, Prices!A:B, 2, FALSE), )</f>
        <v/>
      </c>
      <c r="G810" s="3">
        <f>IFERROR(VLOOKUP(A810, Dividends!$A:$B, 2, FALSE),
       IFERROR( (VLOOKUP(A810, Dividends!$A:$C, 3, FALSE) / VLOOKUP(A810, Prices!$A:$B, 2, FALSE)) * 100,
                Inputs!$B$4*100 ))</f>
        <v>65</v>
      </c>
      <c r="H810" s="3">
        <f>IFERROR(SUMIF(Purchases!B:B, A810, Purchases!D:D), 0)</f>
        <v>0</v>
      </c>
      <c r="I810" s="3">
        <f t="shared" si="1"/>
        <v>0</v>
      </c>
      <c r="J810" s="3">
        <f t="shared" si="2"/>
        <v>0</v>
      </c>
      <c r="K810" s="3">
        <f>IF(J810&gt;0,
        J810 * IF(G810&gt;0, G810/100,
            IFERROR( VLOOKUP(A810, Dividends!$A:$C, 3, FALSE) / VLOOKUP(A810, Prices!$A:$B, 2, FALSE), Inputs!$B$4)
        ) / 12,
        0)</f>
        <v>0</v>
      </c>
      <c r="L810" s="3">
        <f t="shared" si="3"/>
        <v>0</v>
      </c>
    </row>
    <row r="811" ht="15.75" customHeight="1">
      <c r="F811" s="3" t="str">
        <f>IFERROR(VLOOKUP(A811, Prices!A:B, 2, FALSE), )</f>
        <v/>
      </c>
      <c r="G811" s="3">
        <f>IFERROR(VLOOKUP(A811, Dividends!$A:$B, 2, FALSE),
       IFERROR( (VLOOKUP(A811, Dividends!$A:$C, 3, FALSE) / VLOOKUP(A811, Prices!$A:$B, 2, FALSE)) * 100,
                Inputs!$B$4*100 ))</f>
        <v>65</v>
      </c>
      <c r="H811" s="3">
        <f>IFERROR(SUMIF(Purchases!B:B, A811, Purchases!D:D), 0)</f>
        <v>0</v>
      </c>
      <c r="I811" s="3">
        <f t="shared" si="1"/>
        <v>0</v>
      </c>
      <c r="J811" s="3">
        <f t="shared" si="2"/>
        <v>0</v>
      </c>
      <c r="K811" s="3">
        <f>IF(J811&gt;0,
        J811 * IF(G811&gt;0, G811/100,
            IFERROR( VLOOKUP(A811, Dividends!$A:$C, 3, FALSE) / VLOOKUP(A811, Prices!$A:$B, 2, FALSE), Inputs!$B$4)
        ) / 12,
        0)</f>
        <v>0</v>
      </c>
      <c r="L811" s="3">
        <f t="shared" si="3"/>
        <v>0</v>
      </c>
    </row>
    <row r="812" ht="15.75" customHeight="1">
      <c r="F812" s="3" t="str">
        <f>IFERROR(VLOOKUP(A812, Prices!A:B, 2, FALSE), )</f>
        <v/>
      </c>
      <c r="G812" s="3">
        <f>IFERROR(VLOOKUP(A812, Dividends!$A:$B, 2, FALSE),
       IFERROR( (VLOOKUP(A812, Dividends!$A:$C, 3, FALSE) / VLOOKUP(A812, Prices!$A:$B, 2, FALSE)) * 100,
                Inputs!$B$4*100 ))</f>
        <v>65</v>
      </c>
      <c r="H812" s="3">
        <f>IFERROR(SUMIF(Purchases!B:B, A812, Purchases!D:D), 0)</f>
        <v>0</v>
      </c>
      <c r="I812" s="3">
        <f t="shared" si="1"/>
        <v>0</v>
      </c>
      <c r="J812" s="3">
        <f t="shared" si="2"/>
        <v>0</v>
      </c>
      <c r="K812" s="3">
        <f>IF(J812&gt;0,
        J812 * IF(G812&gt;0, G812/100,
            IFERROR( VLOOKUP(A812, Dividends!$A:$C, 3, FALSE) / VLOOKUP(A812, Prices!$A:$B, 2, FALSE), Inputs!$B$4)
        ) / 12,
        0)</f>
        <v>0</v>
      </c>
      <c r="L812" s="3">
        <f t="shared" si="3"/>
        <v>0</v>
      </c>
    </row>
    <row r="813" ht="15.75" customHeight="1">
      <c r="F813" s="3" t="str">
        <f>IFERROR(VLOOKUP(A813, Prices!A:B, 2, FALSE), )</f>
        <v/>
      </c>
      <c r="G813" s="3">
        <f>IFERROR(VLOOKUP(A813, Dividends!$A:$B, 2, FALSE),
       IFERROR( (VLOOKUP(A813, Dividends!$A:$C, 3, FALSE) / VLOOKUP(A813, Prices!$A:$B, 2, FALSE)) * 100,
                Inputs!$B$4*100 ))</f>
        <v>65</v>
      </c>
      <c r="H813" s="3">
        <f>IFERROR(SUMIF(Purchases!B:B, A813, Purchases!D:D), 0)</f>
        <v>0</v>
      </c>
      <c r="I813" s="3">
        <f t="shared" si="1"/>
        <v>0</v>
      </c>
      <c r="J813" s="3">
        <f t="shared" si="2"/>
        <v>0</v>
      </c>
      <c r="K813" s="3">
        <f>IF(J813&gt;0,
        J813 * IF(G813&gt;0, G813/100,
            IFERROR( VLOOKUP(A813, Dividends!$A:$C, 3, FALSE) / VLOOKUP(A813, Prices!$A:$B, 2, FALSE), Inputs!$B$4)
        ) / 12,
        0)</f>
        <v>0</v>
      </c>
      <c r="L813" s="3">
        <f t="shared" si="3"/>
        <v>0</v>
      </c>
    </row>
    <row r="814" ht="15.75" customHeight="1">
      <c r="F814" s="3" t="str">
        <f>IFERROR(VLOOKUP(A814, Prices!A:B, 2, FALSE), )</f>
        <v/>
      </c>
      <c r="G814" s="3">
        <f>IFERROR(VLOOKUP(A814, Dividends!$A:$B, 2, FALSE),
       IFERROR( (VLOOKUP(A814, Dividends!$A:$C, 3, FALSE) / VLOOKUP(A814, Prices!$A:$B, 2, FALSE)) * 100,
                Inputs!$B$4*100 ))</f>
        <v>65</v>
      </c>
      <c r="H814" s="3">
        <f>IFERROR(SUMIF(Purchases!B:B, A814, Purchases!D:D), 0)</f>
        <v>0</v>
      </c>
      <c r="I814" s="3">
        <f t="shared" si="1"/>
        <v>0</v>
      </c>
      <c r="J814" s="3">
        <f t="shared" si="2"/>
        <v>0</v>
      </c>
      <c r="K814" s="3">
        <f>IF(J814&gt;0,
        J814 * IF(G814&gt;0, G814/100,
            IFERROR( VLOOKUP(A814, Dividends!$A:$C, 3, FALSE) / VLOOKUP(A814, Prices!$A:$B, 2, FALSE), Inputs!$B$4)
        ) / 12,
        0)</f>
        <v>0</v>
      </c>
      <c r="L814" s="3">
        <f t="shared" si="3"/>
        <v>0</v>
      </c>
    </row>
    <row r="815" ht="15.75" customHeight="1">
      <c r="F815" s="3" t="str">
        <f>IFERROR(VLOOKUP(A815, Prices!A:B, 2, FALSE), )</f>
        <v/>
      </c>
      <c r="G815" s="3">
        <f>IFERROR(VLOOKUP(A815, Dividends!$A:$B, 2, FALSE),
       IFERROR( (VLOOKUP(A815, Dividends!$A:$C, 3, FALSE) / VLOOKUP(A815, Prices!$A:$B, 2, FALSE)) * 100,
                Inputs!$B$4*100 ))</f>
        <v>65</v>
      </c>
      <c r="H815" s="3">
        <f>IFERROR(SUMIF(Purchases!B:B, A815, Purchases!D:D), 0)</f>
        <v>0</v>
      </c>
      <c r="I815" s="3">
        <f t="shared" si="1"/>
        <v>0</v>
      </c>
      <c r="J815" s="3">
        <f t="shared" si="2"/>
        <v>0</v>
      </c>
      <c r="K815" s="3">
        <f>IF(J815&gt;0,
        J815 * IF(G815&gt;0, G815/100,
            IFERROR( VLOOKUP(A815, Dividends!$A:$C, 3, FALSE) / VLOOKUP(A815, Prices!$A:$B, 2, FALSE), Inputs!$B$4)
        ) / 12,
        0)</f>
        <v>0</v>
      </c>
      <c r="L815" s="3">
        <f t="shared" si="3"/>
        <v>0</v>
      </c>
    </row>
    <row r="816" ht="15.75" customHeight="1">
      <c r="F816" s="3" t="str">
        <f>IFERROR(VLOOKUP(A816, Prices!A:B, 2, FALSE), )</f>
        <v/>
      </c>
      <c r="G816" s="3">
        <f>IFERROR(VLOOKUP(A816, Dividends!$A:$B, 2, FALSE),
       IFERROR( (VLOOKUP(A816, Dividends!$A:$C, 3, FALSE) / VLOOKUP(A816, Prices!$A:$B, 2, FALSE)) * 100,
                Inputs!$B$4*100 ))</f>
        <v>65</v>
      </c>
      <c r="H816" s="3">
        <f>IFERROR(SUMIF(Purchases!B:B, A816, Purchases!D:D), 0)</f>
        <v>0</v>
      </c>
      <c r="I816" s="3">
        <f t="shared" si="1"/>
        <v>0</v>
      </c>
      <c r="J816" s="3">
        <f t="shared" si="2"/>
        <v>0</v>
      </c>
      <c r="K816" s="3">
        <f>IF(J816&gt;0,
        J816 * IF(G816&gt;0, G816/100,
            IFERROR( VLOOKUP(A816, Dividends!$A:$C, 3, FALSE) / VLOOKUP(A816, Prices!$A:$B, 2, FALSE), Inputs!$B$4)
        ) / 12,
        0)</f>
        <v>0</v>
      </c>
      <c r="L816" s="3">
        <f t="shared" si="3"/>
        <v>0</v>
      </c>
    </row>
    <row r="817" ht="15.75" customHeight="1">
      <c r="F817" s="3" t="str">
        <f>IFERROR(VLOOKUP(A817, Prices!A:B, 2, FALSE), )</f>
        <v/>
      </c>
      <c r="G817" s="3">
        <f>IFERROR(VLOOKUP(A817, Dividends!$A:$B, 2, FALSE),
       IFERROR( (VLOOKUP(A817, Dividends!$A:$C, 3, FALSE) / VLOOKUP(A817, Prices!$A:$B, 2, FALSE)) * 100,
                Inputs!$B$4*100 ))</f>
        <v>65</v>
      </c>
      <c r="H817" s="3">
        <f>IFERROR(SUMIF(Purchases!B:B, A817, Purchases!D:D), 0)</f>
        <v>0</v>
      </c>
      <c r="I817" s="3">
        <f t="shared" si="1"/>
        <v>0</v>
      </c>
      <c r="J817" s="3">
        <f t="shared" si="2"/>
        <v>0</v>
      </c>
      <c r="K817" s="3">
        <f>IF(J817&gt;0,
        J817 * IF(G817&gt;0, G817/100,
            IFERROR( VLOOKUP(A817, Dividends!$A:$C, 3, FALSE) / VLOOKUP(A817, Prices!$A:$B, 2, FALSE), Inputs!$B$4)
        ) / 12,
        0)</f>
        <v>0</v>
      </c>
      <c r="L817" s="3">
        <f t="shared" si="3"/>
        <v>0</v>
      </c>
    </row>
    <row r="818" ht="15.75" customHeight="1">
      <c r="F818" s="3" t="str">
        <f>IFERROR(VLOOKUP(A818, Prices!A:B, 2, FALSE), )</f>
        <v/>
      </c>
      <c r="G818" s="3">
        <f>IFERROR(VLOOKUP(A818, Dividends!$A:$B, 2, FALSE),
       IFERROR( (VLOOKUP(A818, Dividends!$A:$C, 3, FALSE) / VLOOKUP(A818, Prices!$A:$B, 2, FALSE)) * 100,
                Inputs!$B$4*100 ))</f>
        <v>65</v>
      </c>
      <c r="H818" s="3">
        <f>IFERROR(SUMIF(Purchases!B:B, A818, Purchases!D:D), 0)</f>
        <v>0</v>
      </c>
      <c r="I818" s="3">
        <f t="shared" si="1"/>
        <v>0</v>
      </c>
      <c r="J818" s="3">
        <f t="shared" si="2"/>
        <v>0</v>
      </c>
      <c r="K818" s="3">
        <f>IF(J818&gt;0,
        J818 * IF(G818&gt;0, G818/100,
            IFERROR( VLOOKUP(A818, Dividends!$A:$C, 3, FALSE) / VLOOKUP(A818, Prices!$A:$B, 2, FALSE), Inputs!$B$4)
        ) / 12,
        0)</f>
        <v>0</v>
      </c>
      <c r="L818" s="3">
        <f t="shared" si="3"/>
        <v>0</v>
      </c>
    </row>
    <row r="819" ht="15.75" customHeight="1">
      <c r="F819" s="3" t="str">
        <f>IFERROR(VLOOKUP(A819, Prices!A:B, 2, FALSE), )</f>
        <v/>
      </c>
      <c r="G819" s="3">
        <f>IFERROR(VLOOKUP(A819, Dividends!$A:$B, 2, FALSE),
       IFERROR( (VLOOKUP(A819, Dividends!$A:$C, 3, FALSE) / VLOOKUP(A819, Prices!$A:$B, 2, FALSE)) * 100,
                Inputs!$B$4*100 ))</f>
        <v>65</v>
      </c>
      <c r="H819" s="3">
        <f>IFERROR(SUMIF(Purchases!B:B, A819, Purchases!D:D), 0)</f>
        <v>0</v>
      </c>
      <c r="I819" s="3">
        <f t="shared" si="1"/>
        <v>0</v>
      </c>
      <c r="J819" s="3">
        <f t="shared" si="2"/>
        <v>0</v>
      </c>
      <c r="K819" s="3">
        <f>IF(J819&gt;0,
        J819 * IF(G819&gt;0, G819/100,
            IFERROR( VLOOKUP(A819, Dividends!$A:$C, 3, FALSE) / VLOOKUP(A819, Prices!$A:$B, 2, FALSE), Inputs!$B$4)
        ) / 12,
        0)</f>
        <v>0</v>
      </c>
      <c r="L819" s="3">
        <f t="shared" si="3"/>
        <v>0</v>
      </c>
    </row>
    <row r="820" ht="15.75" customHeight="1">
      <c r="F820" s="3" t="str">
        <f>IFERROR(VLOOKUP(A820, Prices!A:B, 2, FALSE), )</f>
        <v/>
      </c>
      <c r="G820" s="3">
        <f>IFERROR(VLOOKUP(A820, Dividends!$A:$B, 2, FALSE),
       IFERROR( (VLOOKUP(A820, Dividends!$A:$C, 3, FALSE) / VLOOKUP(A820, Prices!$A:$B, 2, FALSE)) * 100,
                Inputs!$B$4*100 ))</f>
        <v>65</v>
      </c>
      <c r="H820" s="3">
        <f>IFERROR(SUMIF(Purchases!B:B, A820, Purchases!D:D), 0)</f>
        <v>0</v>
      </c>
      <c r="I820" s="3">
        <f t="shared" si="1"/>
        <v>0</v>
      </c>
      <c r="J820" s="3">
        <f t="shared" si="2"/>
        <v>0</v>
      </c>
      <c r="K820" s="3">
        <f>IF(J820&gt;0,
        J820 * IF(G820&gt;0, G820/100,
            IFERROR( VLOOKUP(A820, Dividends!$A:$C, 3, FALSE) / VLOOKUP(A820, Prices!$A:$B, 2, FALSE), Inputs!$B$4)
        ) / 12,
        0)</f>
        <v>0</v>
      </c>
      <c r="L820" s="3">
        <f t="shared" si="3"/>
        <v>0</v>
      </c>
    </row>
    <row r="821" ht="15.75" customHeight="1">
      <c r="F821" s="3" t="str">
        <f>IFERROR(VLOOKUP(A821, Prices!A:B, 2, FALSE), )</f>
        <v/>
      </c>
      <c r="G821" s="3">
        <f>IFERROR(VLOOKUP(A821, Dividends!$A:$B, 2, FALSE),
       IFERROR( (VLOOKUP(A821, Dividends!$A:$C, 3, FALSE) / VLOOKUP(A821, Prices!$A:$B, 2, FALSE)) * 100,
                Inputs!$B$4*100 ))</f>
        <v>65</v>
      </c>
      <c r="H821" s="3">
        <f>IFERROR(SUMIF(Purchases!B:B, A821, Purchases!D:D), 0)</f>
        <v>0</v>
      </c>
      <c r="I821" s="3">
        <f t="shared" si="1"/>
        <v>0</v>
      </c>
      <c r="J821" s="3">
        <f t="shared" si="2"/>
        <v>0</v>
      </c>
      <c r="K821" s="3">
        <f>IF(J821&gt;0,
        J821 * IF(G821&gt;0, G821/100,
            IFERROR( VLOOKUP(A821, Dividends!$A:$C, 3, FALSE) / VLOOKUP(A821, Prices!$A:$B, 2, FALSE), Inputs!$B$4)
        ) / 12,
        0)</f>
        <v>0</v>
      </c>
      <c r="L821" s="3">
        <f t="shared" si="3"/>
        <v>0</v>
      </c>
    </row>
    <row r="822" ht="15.75" customHeight="1">
      <c r="F822" s="3" t="str">
        <f>IFERROR(VLOOKUP(A822, Prices!A:B, 2, FALSE), )</f>
        <v/>
      </c>
      <c r="G822" s="3">
        <f>IFERROR(VLOOKUP(A822, Dividends!$A:$B, 2, FALSE),
       IFERROR( (VLOOKUP(A822, Dividends!$A:$C, 3, FALSE) / VLOOKUP(A822, Prices!$A:$B, 2, FALSE)) * 100,
                Inputs!$B$4*100 ))</f>
        <v>65</v>
      </c>
      <c r="H822" s="3">
        <f>IFERROR(SUMIF(Purchases!B:B, A822, Purchases!D:D), 0)</f>
        <v>0</v>
      </c>
      <c r="I822" s="3">
        <f t="shared" si="1"/>
        <v>0</v>
      </c>
      <c r="J822" s="3">
        <f t="shared" si="2"/>
        <v>0</v>
      </c>
      <c r="K822" s="3">
        <f>IF(J822&gt;0,
        J822 * IF(G822&gt;0, G822/100,
            IFERROR( VLOOKUP(A822, Dividends!$A:$C, 3, FALSE) / VLOOKUP(A822, Prices!$A:$B, 2, FALSE), Inputs!$B$4)
        ) / 12,
        0)</f>
        <v>0</v>
      </c>
      <c r="L822" s="3">
        <f t="shared" si="3"/>
        <v>0</v>
      </c>
    </row>
    <row r="823" ht="15.75" customHeight="1">
      <c r="F823" s="3" t="str">
        <f>IFERROR(VLOOKUP(A823, Prices!A:B, 2, FALSE), )</f>
        <v/>
      </c>
      <c r="G823" s="3">
        <f>IFERROR(VLOOKUP(A823, Dividends!$A:$B, 2, FALSE),
       IFERROR( (VLOOKUP(A823, Dividends!$A:$C, 3, FALSE) / VLOOKUP(A823, Prices!$A:$B, 2, FALSE)) * 100,
                Inputs!$B$4*100 ))</f>
        <v>65</v>
      </c>
      <c r="H823" s="3">
        <f>IFERROR(SUMIF(Purchases!B:B, A823, Purchases!D:D), 0)</f>
        <v>0</v>
      </c>
      <c r="I823" s="3">
        <f t="shared" si="1"/>
        <v>0</v>
      </c>
      <c r="J823" s="3">
        <f t="shared" si="2"/>
        <v>0</v>
      </c>
      <c r="K823" s="3">
        <f>IF(J823&gt;0,
        J823 * IF(G823&gt;0, G823/100,
            IFERROR( VLOOKUP(A823, Dividends!$A:$C, 3, FALSE) / VLOOKUP(A823, Prices!$A:$B, 2, FALSE), Inputs!$B$4)
        ) / 12,
        0)</f>
        <v>0</v>
      </c>
      <c r="L823" s="3">
        <f t="shared" si="3"/>
        <v>0</v>
      </c>
    </row>
    <row r="824" ht="15.75" customHeight="1">
      <c r="F824" s="3" t="str">
        <f>IFERROR(VLOOKUP(A824, Prices!A:B, 2, FALSE), )</f>
        <v/>
      </c>
      <c r="G824" s="3">
        <f>IFERROR(VLOOKUP(A824, Dividends!$A:$B, 2, FALSE),
       IFERROR( (VLOOKUP(A824, Dividends!$A:$C, 3, FALSE) / VLOOKUP(A824, Prices!$A:$B, 2, FALSE)) * 100,
                Inputs!$B$4*100 ))</f>
        <v>65</v>
      </c>
      <c r="H824" s="3">
        <f>IFERROR(SUMIF(Purchases!B:B, A824, Purchases!D:D), 0)</f>
        <v>0</v>
      </c>
      <c r="I824" s="3">
        <f t="shared" si="1"/>
        <v>0</v>
      </c>
      <c r="J824" s="3">
        <f t="shared" si="2"/>
        <v>0</v>
      </c>
      <c r="K824" s="3">
        <f>IF(J824&gt;0,
        J824 * IF(G824&gt;0, G824/100,
            IFERROR( VLOOKUP(A824, Dividends!$A:$C, 3, FALSE) / VLOOKUP(A824, Prices!$A:$B, 2, FALSE), Inputs!$B$4)
        ) / 12,
        0)</f>
        <v>0</v>
      </c>
      <c r="L824" s="3">
        <f t="shared" si="3"/>
        <v>0</v>
      </c>
    </row>
    <row r="825" ht="15.75" customHeight="1">
      <c r="F825" s="3" t="str">
        <f>IFERROR(VLOOKUP(A825, Prices!A:B, 2, FALSE), )</f>
        <v/>
      </c>
      <c r="G825" s="3">
        <f>IFERROR(VLOOKUP(A825, Dividends!$A:$B, 2, FALSE),
       IFERROR( (VLOOKUP(A825, Dividends!$A:$C, 3, FALSE) / VLOOKUP(A825, Prices!$A:$B, 2, FALSE)) * 100,
                Inputs!$B$4*100 ))</f>
        <v>65</v>
      </c>
      <c r="H825" s="3">
        <f>IFERROR(SUMIF(Purchases!B:B, A825, Purchases!D:D), 0)</f>
        <v>0</v>
      </c>
      <c r="I825" s="3">
        <f t="shared" si="1"/>
        <v>0</v>
      </c>
      <c r="J825" s="3">
        <f t="shared" si="2"/>
        <v>0</v>
      </c>
      <c r="K825" s="3">
        <f>IF(J825&gt;0,
        J825 * IF(G825&gt;0, G825/100,
            IFERROR( VLOOKUP(A825, Dividends!$A:$C, 3, FALSE) / VLOOKUP(A825, Prices!$A:$B, 2, FALSE), Inputs!$B$4)
        ) / 12,
        0)</f>
        <v>0</v>
      </c>
      <c r="L825" s="3">
        <f t="shared" si="3"/>
        <v>0</v>
      </c>
    </row>
    <row r="826" ht="15.75" customHeight="1">
      <c r="F826" s="3" t="str">
        <f>IFERROR(VLOOKUP(A826, Prices!A:B, 2, FALSE), )</f>
        <v/>
      </c>
      <c r="G826" s="3">
        <f>IFERROR(VLOOKUP(A826, Dividends!$A:$B, 2, FALSE),
       IFERROR( (VLOOKUP(A826, Dividends!$A:$C, 3, FALSE) / VLOOKUP(A826, Prices!$A:$B, 2, FALSE)) * 100,
                Inputs!$B$4*100 ))</f>
        <v>65</v>
      </c>
      <c r="H826" s="3">
        <f>IFERROR(SUMIF(Purchases!B:B, A826, Purchases!D:D), 0)</f>
        <v>0</v>
      </c>
      <c r="I826" s="3">
        <f t="shared" si="1"/>
        <v>0</v>
      </c>
      <c r="J826" s="3">
        <f t="shared" si="2"/>
        <v>0</v>
      </c>
      <c r="K826" s="3">
        <f>IF(J826&gt;0,
        J826 * IF(G826&gt;0, G826/100,
            IFERROR( VLOOKUP(A826, Dividends!$A:$C, 3, FALSE) / VLOOKUP(A826, Prices!$A:$B, 2, FALSE), Inputs!$B$4)
        ) / 12,
        0)</f>
        <v>0</v>
      </c>
      <c r="L826" s="3">
        <f t="shared" si="3"/>
        <v>0</v>
      </c>
    </row>
    <row r="827" ht="15.75" customHeight="1">
      <c r="F827" s="3" t="str">
        <f>IFERROR(VLOOKUP(A827, Prices!A:B, 2, FALSE), )</f>
        <v/>
      </c>
      <c r="G827" s="3">
        <f>IFERROR(VLOOKUP(A827, Dividends!$A:$B, 2, FALSE),
       IFERROR( (VLOOKUP(A827, Dividends!$A:$C, 3, FALSE) / VLOOKUP(A827, Prices!$A:$B, 2, FALSE)) * 100,
                Inputs!$B$4*100 ))</f>
        <v>65</v>
      </c>
      <c r="H827" s="3">
        <f>IFERROR(SUMIF(Purchases!B:B, A827, Purchases!D:D), 0)</f>
        <v>0</v>
      </c>
      <c r="I827" s="3">
        <f t="shared" si="1"/>
        <v>0</v>
      </c>
      <c r="J827" s="3">
        <f t="shared" si="2"/>
        <v>0</v>
      </c>
      <c r="K827" s="3">
        <f>IF(J827&gt;0,
        J827 * IF(G827&gt;0, G827/100,
            IFERROR( VLOOKUP(A827, Dividends!$A:$C, 3, FALSE) / VLOOKUP(A827, Prices!$A:$B, 2, FALSE), Inputs!$B$4)
        ) / 12,
        0)</f>
        <v>0</v>
      </c>
      <c r="L827" s="3">
        <f t="shared" si="3"/>
        <v>0</v>
      </c>
    </row>
    <row r="828" ht="15.75" customHeight="1">
      <c r="F828" s="3" t="str">
        <f>IFERROR(VLOOKUP(A828, Prices!A:B, 2, FALSE), )</f>
        <v/>
      </c>
      <c r="G828" s="3">
        <f>IFERROR(VLOOKUP(A828, Dividends!$A:$B, 2, FALSE),
       IFERROR( (VLOOKUP(A828, Dividends!$A:$C, 3, FALSE) / VLOOKUP(A828, Prices!$A:$B, 2, FALSE)) * 100,
                Inputs!$B$4*100 ))</f>
        <v>65</v>
      </c>
      <c r="H828" s="3">
        <f>IFERROR(SUMIF(Purchases!B:B, A828, Purchases!D:D), 0)</f>
        <v>0</v>
      </c>
      <c r="I828" s="3">
        <f t="shared" si="1"/>
        <v>0</v>
      </c>
      <c r="J828" s="3">
        <f t="shared" si="2"/>
        <v>0</v>
      </c>
      <c r="K828" s="3">
        <f>IF(J828&gt;0,
        J828 * IF(G828&gt;0, G828/100,
            IFERROR( VLOOKUP(A828, Dividends!$A:$C, 3, FALSE) / VLOOKUP(A828, Prices!$A:$B, 2, FALSE), Inputs!$B$4)
        ) / 12,
        0)</f>
        <v>0</v>
      </c>
      <c r="L828" s="3">
        <f t="shared" si="3"/>
        <v>0</v>
      </c>
    </row>
    <row r="829" ht="15.75" customHeight="1">
      <c r="F829" s="3" t="str">
        <f>IFERROR(VLOOKUP(A829, Prices!A:B, 2, FALSE), )</f>
        <v/>
      </c>
      <c r="G829" s="3">
        <f>IFERROR(VLOOKUP(A829, Dividends!$A:$B, 2, FALSE),
       IFERROR( (VLOOKUP(A829, Dividends!$A:$C, 3, FALSE) / VLOOKUP(A829, Prices!$A:$B, 2, FALSE)) * 100,
                Inputs!$B$4*100 ))</f>
        <v>65</v>
      </c>
      <c r="H829" s="3">
        <f>IFERROR(SUMIF(Purchases!B:B, A829, Purchases!D:D), 0)</f>
        <v>0</v>
      </c>
      <c r="I829" s="3">
        <f t="shared" si="1"/>
        <v>0</v>
      </c>
      <c r="J829" s="3">
        <f t="shared" si="2"/>
        <v>0</v>
      </c>
      <c r="K829" s="3">
        <f>IF(J829&gt;0,
        J829 * IF(G829&gt;0, G829/100,
            IFERROR( VLOOKUP(A829, Dividends!$A:$C, 3, FALSE) / VLOOKUP(A829, Prices!$A:$B, 2, FALSE), Inputs!$B$4)
        ) / 12,
        0)</f>
        <v>0</v>
      </c>
      <c r="L829" s="3">
        <f t="shared" si="3"/>
        <v>0</v>
      </c>
    </row>
    <row r="830" ht="15.75" customHeight="1">
      <c r="F830" s="3" t="str">
        <f>IFERROR(VLOOKUP(A830, Prices!A:B, 2, FALSE), )</f>
        <v/>
      </c>
      <c r="G830" s="3">
        <f>IFERROR(VLOOKUP(A830, Dividends!$A:$B, 2, FALSE),
       IFERROR( (VLOOKUP(A830, Dividends!$A:$C, 3, FALSE) / VLOOKUP(A830, Prices!$A:$B, 2, FALSE)) * 100,
                Inputs!$B$4*100 ))</f>
        <v>65</v>
      </c>
      <c r="H830" s="3">
        <f>IFERROR(SUMIF(Purchases!B:B, A830, Purchases!D:D), 0)</f>
        <v>0</v>
      </c>
      <c r="I830" s="3">
        <f t="shared" si="1"/>
        <v>0</v>
      </c>
      <c r="J830" s="3">
        <f t="shared" si="2"/>
        <v>0</v>
      </c>
      <c r="K830" s="3">
        <f>IF(J830&gt;0,
        J830 * IF(G830&gt;0, G830/100,
            IFERROR( VLOOKUP(A830, Dividends!$A:$C, 3, FALSE) / VLOOKUP(A830, Prices!$A:$B, 2, FALSE), Inputs!$B$4)
        ) / 12,
        0)</f>
        <v>0</v>
      </c>
      <c r="L830" s="3">
        <f t="shared" si="3"/>
        <v>0</v>
      </c>
    </row>
    <row r="831" ht="15.75" customHeight="1">
      <c r="F831" s="3" t="str">
        <f>IFERROR(VLOOKUP(A831, Prices!A:B, 2, FALSE), )</f>
        <v/>
      </c>
      <c r="G831" s="3">
        <f>IFERROR(VLOOKUP(A831, Dividends!$A:$B, 2, FALSE),
       IFERROR( (VLOOKUP(A831, Dividends!$A:$C, 3, FALSE) / VLOOKUP(A831, Prices!$A:$B, 2, FALSE)) * 100,
                Inputs!$B$4*100 ))</f>
        <v>65</v>
      </c>
      <c r="H831" s="3">
        <f>IFERROR(SUMIF(Purchases!B:B, A831, Purchases!D:D), 0)</f>
        <v>0</v>
      </c>
      <c r="I831" s="3">
        <f t="shared" si="1"/>
        <v>0</v>
      </c>
      <c r="J831" s="3">
        <f t="shared" si="2"/>
        <v>0</v>
      </c>
      <c r="K831" s="3">
        <f>IF(J831&gt;0,
        J831 * IF(G831&gt;0, G831/100,
            IFERROR( VLOOKUP(A831, Dividends!$A:$C, 3, FALSE) / VLOOKUP(A831, Prices!$A:$B, 2, FALSE), Inputs!$B$4)
        ) / 12,
        0)</f>
        <v>0</v>
      </c>
      <c r="L831" s="3">
        <f t="shared" si="3"/>
        <v>0</v>
      </c>
    </row>
    <row r="832" ht="15.75" customHeight="1">
      <c r="F832" s="3" t="str">
        <f>IFERROR(VLOOKUP(A832, Prices!A:B, 2, FALSE), )</f>
        <v/>
      </c>
      <c r="G832" s="3">
        <f>IFERROR(VLOOKUP(A832, Dividends!$A:$B, 2, FALSE),
       IFERROR( (VLOOKUP(A832, Dividends!$A:$C, 3, FALSE) / VLOOKUP(A832, Prices!$A:$B, 2, FALSE)) * 100,
                Inputs!$B$4*100 ))</f>
        <v>65</v>
      </c>
      <c r="H832" s="3">
        <f>IFERROR(SUMIF(Purchases!B:B, A832, Purchases!D:D), 0)</f>
        <v>0</v>
      </c>
      <c r="I832" s="3">
        <f t="shared" si="1"/>
        <v>0</v>
      </c>
      <c r="J832" s="3">
        <f t="shared" si="2"/>
        <v>0</v>
      </c>
      <c r="K832" s="3">
        <f>IF(J832&gt;0,
        J832 * IF(G832&gt;0, G832/100,
            IFERROR( VLOOKUP(A832, Dividends!$A:$C, 3, FALSE) / VLOOKUP(A832, Prices!$A:$B, 2, FALSE), Inputs!$B$4)
        ) / 12,
        0)</f>
        <v>0</v>
      </c>
      <c r="L832" s="3">
        <f t="shared" si="3"/>
        <v>0</v>
      </c>
    </row>
    <row r="833" ht="15.75" customHeight="1">
      <c r="F833" s="3" t="str">
        <f>IFERROR(VLOOKUP(A833, Prices!A:B, 2, FALSE), )</f>
        <v/>
      </c>
      <c r="G833" s="3">
        <f>IFERROR(VLOOKUP(A833, Dividends!$A:$B, 2, FALSE),
       IFERROR( (VLOOKUP(A833, Dividends!$A:$C, 3, FALSE) / VLOOKUP(A833, Prices!$A:$B, 2, FALSE)) * 100,
                Inputs!$B$4*100 ))</f>
        <v>65</v>
      </c>
      <c r="H833" s="3">
        <f>IFERROR(SUMIF(Purchases!B:B, A833, Purchases!D:D), 0)</f>
        <v>0</v>
      </c>
      <c r="I833" s="3">
        <f t="shared" si="1"/>
        <v>0</v>
      </c>
      <c r="J833" s="3">
        <f t="shared" si="2"/>
        <v>0</v>
      </c>
      <c r="K833" s="3">
        <f>IF(J833&gt;0,
        J833 * IF(G833&gt;0, G833/100,
            IFERROR( VLOOKUP(A833, Dividends!$A:$C, 3, FALSE) / VLOOKUP(A833, Prices!$A:$B, 2, FALSE), Inputs!$B$4)
        ) / 12,
        0)</f>
        <v>0</v>
      </c>
      <c r="L833" s="3">
        <f t="shared" si="3"/>
        <v>0</v>
      </c>
    </row>
    <row r="834" ht="15.75" customHeight="1">
      <c r="F834" s="3" t="str">
        <f>IFERROR(VLOOKUP(A834, Prices!A:B, 2, FALSE), )</f>
        <v/>
      </c>
      <c r="G834" s="3">
        <f>IFERROR(VLOOKUP(A834, Dividends!$A:$B, 2, FALSE),
       IFERROR( (VLOOKUP(A834, Dividends!$A:$C, 3, FALSE) / VLOOKUP(A834, Prices!$A:$B, 2, FALSE)) * 100,
                Inputs!$B$4*100 ))</f>
        <v>65</v>
      </c>
      <c r="H834" s="3">
        <f>IFERROR(SUMIF(Purchases!B:B, A834, Purchases!D:D), 0)</f>
        <v>0</v>
      </c>
      <c r="I834" s="3">
        <f t="shared" si="1"/>
        <v>0</v>
      </c>
      <c r="J834" s="3">
        <f t="shared" si="2"/>
        <v>0</v>
      </c>
      <c r="K834" s="3">
        <f>IF(J834&gt;0,
        J834 * IF(G834&gt;0, G834/100,
            IFERROR( VLOOKUP(A834, Dividends!$A:$C, 3, FALSE) / VLOOKUP(A834, Prices!$A:$B, 2, FALSE), Inputs!$B$4)
        ) / 12,
        0)</f>
        <v>0</v>
      </c>
      <c r="L834" s="3">
        <f t="shared" si="3"/>
        <v>0</v>
      </c>
    </row>
    <row r="835" ht="15.75" customHeight="1">
      <c r="F835" s="3" t="str">
        <f>IFERROR(VLOOKUP(A835, Prices!A:B, 2, FALSE), )</f>
        <v/>
      </c>
      <c r="G835" s="3">
        <f>IFERROR(VLOOKUP(A835, Dividends!$A:$B, 2, FALSE),
       IFERROR( (VLOOKUP(A835, Dividends!$A:$C, 3, FALSE) / VLOOKUP(A835, Prices!$A:$B, 2, FALSE)) * 100,
                Inputs!$B$4*100 ))</f>
        <v>65</v>
      </c>
      <c r="H835" s="3">
        <f>IFERROR(SUMIF(Purchases!B:B, A835, Purchases!D:D), 0)</f>
        <v>0</v>
      </c>
      <c r="I835" s="3">
        <f t="shared" si="1"/>
        <v>0</v>
      </c>
      <c r="J835" s="3">
        <f t="shared" si="2"/>
        <v>0</v>
      </c>
      <c r="K835" s="3">
        <f>IF(J835&gt;0,
        J835 * IF(G835&gt;0, G835/100,
            IFERROR( VLOOKUP(A835, Dividends!$A:$C, 3, FALSE) / VLOOKUP(A835, Prices!$A:$B, 2, FALSE), Inputs!$B$4)
        ) / 12,
        0)</f>
        <v>0</v>
      </c>
      <c r="L835" s="3">
        <f t="shared" si="3"/>
        <v>0</v>
      </c>
    </row>
    <row r="836" ht="15.75" customHeight="1">
      <c r="F836" s="3" t="str">
        <f>IFERROR(VLOOKUP(A836, Prices!A:B, 2, FALSE), )</f>
        <v/>
      </c>
      <c r="G836" s="3">
        <f>IFERROR(VLOOKUP(A836, Dividends!$A:$B, 2, FALSE),
       IFERROR( (VLOOKUP(A836, Dividends!$A:$C, 3, FALSE) / VLOOKUP(A836, Prices!$A:$B, 2, FALSE)) * 100,
                Inputs!$B$4*100 ))</f>
        <v>65</v>
      </c>
      <c r="H836" s="3">
        <f>IFERROR(SUMIF(Purchases!B:B, A836, Purchases!D:D), 0)</f>
        <v>0</v>
      </c>
      <c r="I836" s="3">
        <f t="shared" si="1"/>
        <v>0</v>
      </c>
      <c r="J836" s="3">
        <f t="shared" si="2"/>
        <v>0</v>
      </c>
      <c r="K836" s="3">
        <f>IF(J836&gt;0,
        J836 * IF(G836&gt;0, G836/100,
            IFERROR( VLOOKUP(A836, Dividends!$A:$C, 3, FALSE) / VLOOKUP(A836, Prices!$A:$B, 2, FALSE), Inputs!$B$4)
        ) / 12,
        0)</f>
        <v>0</v>
      </c>
      <c r="L836" s="3">
        <f t="shared" si="3"/>
        <v>0</v>
      </c>
    </row>
    <row r="837" ht="15.75" customHeight="1">
      <c r="F837" s="3" t="str">
        <f>IFERROR(VLOOKUP(A837, Prices!A:B, 2, FALSE), )</f>
        <v/>
      </c>
      <c r="G837" s="3">
        <f>IFERROR(VLOOKUP(A837, Dividends!$A:$B, 2, FALSE),
       IFERROR( (VLOOKUP(A837, Dividends!$A:$C, 3, FALSE) / VLOOKUP(A837, Prices!$A:$B, 2, FALSE)) * 100,
                Inputs!$B$4*100 ))</f>
        <v>65</v>
      </c>
      <c r="H837" s="3">
        <f>IFERROR(SUMIF(Purchases!B:B, A837, Purchases!D:D), 0)</f>
        <v>0</v>
      </c>
      <c r="I837" s="3">
        <f t="shared" si="1"/>
        <v>0</v>
      </c>
      <c r="J837" s="3">
        <f t="shared" si="2"/>
        <v>0</v>
      </c>
      <c r="K837" s="3">
        <f>IF(J837&gt;0,
        J837 * IF(G837&gt;0, G837/100,
            IFERROR( VLOOKUP(A837, Dividends!$A:$C, 3, FALSE) / VLOOKUP(A837, Prices!$A:$B, 2, FALSE), Inputs!$B$4)
        ) / 12,
        0)</f>
        <v>0</v>
      </c>
      <c r="L837" s="3">
        <f t="shared" si="3"/>
        <v>0</v>
      </c>
    </row>
    <row r="838" ht="15.75" customHeight="1">
      <c r="F838" s="3" t="str">
        <f>IFERROR(VLOOKUP(A838, Prices!A:B, 2, FALSE), )</f>
        <v/>
      </c>
      <c r="G838" s="3">
        <f>IFERROR(VLOOKUP(A838, Dividends!$A:$B, 2, FALSE),
       IFERROR( (VLOOKUP(A838, Dividends!$A:$C, 3, FALSE) / VLOOKUP(A838, Prices!$A:$B, 2, FALSE)) * 100,
                Inputs!$B$4*100 ))</f>
        <v>65</v>
      </c>
      <c r="H838" s="3">
        <f>IFERROR(SUMIF(Purchases!B:B, A838, Purchases!D:D), 0)</f>
        <v>0</v>
      </c>
      <c r="I838" s="3">
        <f t="shared" si="1"/>
        <v>0</v>
      </c>
      <c r="J838" s="3">
        <f t="shared" si="2"/>
        <v>0</v>
      </c>
      <c r="K838" s="3">
        <f>IF(J838&gt;0,
        J838 * IF(G838&gt;0, G838/100,
            IFERROR( VLOOKUP(A838, Dividends!$A:$C, 3, FALSE) / VLOOKUP(A838, Prices!$A:$B, 2, FALSE), Inputs!$B$4)
        ) / 12,
        0)</f>
        <v>0</v>
      </c>
      <c r="L838" s="3">
        <f t="shared" si="3"/>
        <v>0</v>
      </c>
    </row>
    <row r="839" ht="15.75" customHeight="1">
      <c r="F839" s="3" t="str">
        <f>IFERROR(VLOOKUP(A839, Prices!A:B, 2, FALSE), )</f>
        <v/>
      </c>
      <c r="G839" s="3">
        <f>IFERROR(VLOOKUP(A839, Dividends!$A:$B, 2, FALSE),
       IFERROR( (VLOOKUP(A839, Dividends!$A:$C, 3, FALSE) / VLOOKUP(A839, Prices!$A:$B, 2, FALSE)) * 100,
                Inputs!$B$4*100 ))</f>
        <v>65</v>
      </c>
      <c r="H839" s="3">
        <f>IFERROR(SUMIF(Purchases!B:B, A839, Purchases!D:D), 0)</f>
        <v>0</v>
      </c>
      <c r="I839" s="3">
        <f t="shared" si="1"/>
        <v>0</v>
      </c>
      <c r="J839" s="3">
        <f t="shared" si="2"/>
        <v>0</v>
      </c>
      <c r="K839" s="3">
        <f>IF(J839&gt;0,
        J839 * IF(G839&gt;0, G839/100,
            IFERROR( VLOOKUP(A839, Dividends!$A:$C, 3, FALSE) / VLOOKUP(A839, Prices!$A:$B, 2, FALSE), Inputs!$B$4)
        ) / 12,
        0)</f>
        <v>0</v>
      </c>
      <c r="L839" s="3">
        <f t="shared" si="3"/>
        <v>0</v>
      </c>
    </row>
    <row r="840" ht="15.75" customHeight="1">
      <c r="F840" s="3" t="str">
        <f>IFERROR(VLOOKUP(A840, Prices!A:B, 2, FALSE), )</f>
        <v/>
      </c>
      <c r="G840" s="3">
        <f>IFERROR(VLOOKUP(A840, Dividends!$A:$B, 2, FALSE),
       IFERROR( (VLOOKUP(A840, Dividends!$A:$C, 3, FALSE) / VLOOKUP(A840, Prices!$A:$B, 2, FALSE)) * 100,
                Inputs!$B$4*100 ))</f>
        <v>65</v>
      </c>
      <c r="H840" s="3">
        <f>IFERROR(SUMIF(Purchases!B:B, A840, Purchases!D:D), 0)</f>
        <v>0</v>
      </c>
      <c r="I840" s="3">
        <f t="shared" si="1"/>
        <v>0</v>
      </c>
      <c r="J840" s="3">
        <f t="shared" si="2"/>
        <v>0</v>
      </c>
      <c r="K840" s="3">
        <f>IF(J840&gt;0,
        J840 * IF(G840&gt;0, G840/100,
            IFERROR( VLOOKUP(A840, Dividends!$A:$C, 3, FALSE) / VLOOKUP(A840, Prices!$A:$B, 2, FALSE), Inputs!$B$4)
        ) / 12,
        0)</f>
        <v>0</v>
      </c>
      <c r="L840" s="3">
        <f t="shared" si="3"/>
        <v>0</v>
      </c>
    </row>
    <row r="841" ht="15.75" customHeight="1">
      <c r="F841" s="3" t="str">
        <f>IFERROR(VLOOKUP(A841, Prices!A:B, 2, FALSE), )</f>
        <v/>
      </c>
      <c r="G841" s="3">
        <f>IFERROR(VLOOKUP(A841, Dividends!$A:$B, 2, FALSE),
       IFERROR( (VLOOKUP(A841, Dividends!$A:$C, 3, FALSE) / VLOOKUP(A841, Prices!$A:$B, 2, FALSE)) * 100,
                Inputs!$B$4*100 ))</f>
        <v>65</v>
      </c>
      <c r="H841" s="3">
        <f>IFERROR(SUMIF(Purchases!B:B, A841, Purchases!D:D), 0)</f>
        <v>0</v>
      </c>
      <c r="I841" s="3">
        <f t="shared" si="1"/>
        <v>0</v>
      </c>
      <c r="J841" s="3">
        <f t="shared" si="2"/>
        <v>0</v>
      </c>
      <c r="K841" s="3">
        <f>IF(J841&gt;0,
        J841 * IF(G841&gt;0, G841/100,
            IFERROR( VLOOKUP(A841, Dividends!$A:$C, 3, FALSE) / VLOOKUP(A841, Prices!$A:$B, 2, FALSE), Inputs!$B$4)
        ) / 12,
        0)</f>
        <v>0</v>
      </c>
      <c r="L841" s="3">
        <f t="shared" si="3"/>
        <v>0</v>
      </c>
    </row>
    <row r="842" ht="15.75" customHeight="1">
      <c r="F842" s="3" t="str">
        <f>IFERROR(VLOOKUP(A842, Prices!A:B, 2, FALSE), )</f>
        <v/>
      </c>
      <c r="G842" s="3">
        <f>IFERROR(VLOOKUP(A842, Dividends!$A:$B, 2, FALSE),
       IFERROR( (VLOOKUP(A842, Dividends!$A:$C, 3, FALSE) / VLOOKUP(A842, Prices!$A:$B, 2, FALSE)) * 100,
                Inputs!$B$4*100 ))</f>
        <v>65</v>
      </c>
      <c r="H842" s="3">
        <f>IFERROR(SUMIF(Purchases!B:B, A842, Purchases!D:D), 0)</f>
        <v>0</v>
      </c>
      <c r="I842" s="3">
        <f t="shared" si="1"/>
        <v>0</v>
      </c>
      <c r="J842" s="3">
        <f t="shared" si="2"/>
        <v>0</v>
      </c>
      <c r="K842" s="3">
        <f>IF(J842&gt;0,
        J842 * IF(G842&gt;0, G842/100,
            IFERROR( VLOOKUP(A842, Dividends!$A:$C, 3, FALSE) / VLOOKUP(A842, Prices!$A:$B, 2, FALSE), Inputs!$B$4)
        ) / 12,
        0)</f>
        <v>0</v>
      </c>
      <c r="L842" s="3">
        <f t="shared" si="3"/>
        <v>0</v>
      </c>
    </row>
    <row r="843" ht="15.75" customHeight="1">
      <c r="F843" s="3" t="str">
        <f>IFERROR(VLOOKUP(A843, Prices!A:B, 2, FALSE), )</f>
        <v/>
      </c>
      <c r="G843" s="3">
        <f>IFERROR(VLOOKUP(A843, Dividends!$A:$B, 2, FALSE),
       IFERROR( (VLOOKUP(A843, Dividends!$A:$C, 3, FALSE) / VLOOKUP(A843, Prices!$A:$B, 2, FALSE)) * 100,
                Inputs!$B$4*100 ))</f>
        <v>65</v>
      </c>
      <c r="H843" s="3">
        <f>IFERROR(SUMIF(Purchases!B:B, A843, Purchases!D:D), 0)</f>
        <v>0</v>
      </c>
      <c r="I843" s="3">
        <f t="shared" si="1"/>
        <v>0</v>
      </c>
      <c r="J843" s="3">
        <f t="shared" si="2"/>
        <v>0</v>
      </c>
      <c r="K843" s="3">
        <f>IF(J843&gt;0,
        J843 * IF(G843&gt;0, G843/100,
            IFERROR( VLOOKUP(A843, Dividends!$A:$C, 3, FALSE) / VLOOKUP(A843, Prices!$A:$B, 2, FALSE), Inputs!$B$4)
        ) / 12,
        0)</f>
        <v>0</v>
      </c>
      <c r="L843" s="3">
        <f t="shared" si="3"/>
        <v>0</v>
      </c>
    </row>
    <row r="844" ht="15.75" customHeight="1">
      <c r="F844" s="3" t="str">
        <f>IFERROR(VLOOKUP(A844, Prices!A:B, 2, FALSE), )</f>
        <v/>
      </c>
      <c r="G844" s="3">
        <f>IFERROR(VLOOKUP(A844, Dividends!$A:$B, 2, FALSE),
       IFERROR( (VLOOKUP(A844, Dividends!$A:$C, 3, FALSE) / VLOOKUP(A844, Prices!$A:$B, 2, FALSE)) * 100,
                Inputs!$B$4*100 ))</f>
        <v>65</v>
      </c>
      <c r="H844" s="3">
        <f>IFERROR(SUMIF(Purchases!B:B, A844, Purchases!D:D), 0)</f>
        <v>0</v>
      </c>
      <c r="I844" s="3">
        <f t="shared" si="1"/>
        <v>0</v>
      </c>
      <c r="J844" s="3">
        <f t="shared" si="2"/>
        <v>0</v>
      </c>
      <c r="K844" s="3">
        <f>IF(J844&gt;0,
        J844 * IF(G844&gt;0, G844/100,
            IFERROR( VLOOKUP(A844, Dividends!$A:$C, 3, FALSE) / VLOOKUP(A844, Prices!$A:$B, 2, FALSE), Inputs!$B$4)
        ) / 12,
        0)</f>
        <v>0</v>
      </c>
      <c r="L844" s="3">
        <f t="shared" si="3"/>
        <v>0</v>
      </c>
    </row>
    <row r="845" ht="15.75" customHeight="1">
      <c r="F845" s="3" t="str">
        <f>IFERROR(VLOOKUP(A845, Prices!A:B, 2, FALSE), )</f>
        <v/>
      </c>
      <c r="G845" s="3">
        <f>IFERROR(VLOOKUP(A845, Dividends!$A:$B, 2, FALSE),
       IFERROR( (VLOOKUP(A845, Dividends!$A:$C, 3, FALSE) / VLOOKUP(A845, Prices!$A:$B, 2, FALSE)) * 100,
                Inputs!$B$4*100 ))</f>
        <v>65</v>
      </c>
      <c r="H845" s="3">
        <f>IFERROR(SUMIF(Purchases!B:B, A845, Purchases!D:D), 0)</f>
        <v>0</v>
      </c>
      <c r="I845" s="3">
        <f t="shared" si="1"/>
        <v>0</v>
      </c>
      <c r="J845" s="3">
        <f t="shared" si="2"/>
        <v>0</v>
      </c>
      <c r="K845" s="3">
        <f>IF(J845&gt;0,
        J845 * IF(G845&gt;0, G845/100,
            IFERROR( VLOOKUP(A845, Dividends!$A:$C, 3, FALSE) / VLOOKUP(A845, Prices!$A:$B, 2, FALSE), Inputs!$B$4)
        ) / 12,
        0)</f>
        <v>0</v>
      </c>
      <c r="L845" s="3">
        <f t="shared" si="3"/>
        <v>0</v>
      </c>
    </row>
    <row r="846" ht="15.75" customHeight="1">
      <c r="F846" s="3" t="str">
        <f>IFERROR(VLOOKUP(A846, Prices!A:B, 2, FALSE), )</f>
        <v/>
      </c>
      <c r="G846" s="3">
        <f>IFERROR(VLOOKUP(A846, Dividends!$A:$B, 2, FALSE),
       IFERROR( (VLOOKUP(A846, Dividends!$A:$C, 3, FALSE) / VLOOKUP(A846, Prices!$A:$B, 2, FALSE)) * 100,
                Inputs!$B$4*100 ))</f>
        <v>65</v>
      </c>
      <c r="H846" s="3">
        <f>IFERROR(SUMIF(Purchases!B:B, A846, Purchases!D:D), 0)</f>
        <v>0</v>
      </c>
      <c r="I846" s="3">
        <f t="shared" si="1"/>
        <v>0</v>
      </c>
      <c r="J846" s="3">
        <f t="shared" si="2"/>
        <v>0</v>
      </c>
      <c r="K846" s="3">
        <f>IF(J846&gt;0,
        J846 * IF(G846&gt;0, G846/100,
            IFERROR( VLOOKUP(A846, Dividends!$A:$C, 3, FALSE) / VLOOKUP(A846, Prices!$A:$B, 2, FALSE), Inputs!$B$4)
        ) / 12,
        0)</f>
        <v>0</v>
      </c>
      <c r="L846" s="3">
        <f t="shared" si="3"/>
        <v>0</v>
      </c>
    </row>
    <row r="847" ht="15.75" customHeight="1">
      <c r="F847" s="3" t="str">
        <f>IFERROR(VLOOKUP(A847, Prices!A:B, 2, FALSE), )</f>
        <v/>
      </c>
      <c r="G847" s="3">
        <f>IFERROR(VLOOKUP(A847, Dividends!$A:$B, 2, FALSE),
       IFERROR( (VLOOKUP(A847, Dividends!$A:$C, 3, FALSE) / VLOOKUP(A847, Prices!$A:$B, 2, FALSE)) * 100,
                Inputs!$B$4*100 ))</f>
        <v>65</v>
      </c>
      <c r="H847" s="3">
        <f>IFERROR(SUMIF(Purchases!B:B, A847, Purchases!D:D), 0)</f>
        <v>0</v>
      </c>
      <c r="I847" s="3">
        <f t="shared" si="1"/>
        <v>0</v>
      </c>
      <c r="J847" s="3">
        <f t="shared" si="2"/>
        <v>0</v>
      </c>
      <c r="K847" s="3">
        <f>IF(J847&gt;0,
        J847 * IF(G847&gt;0, G847/100,
            IFERROR( VLOOKUP(A847, Dividends!$A:$C, 3, FALSE) / VLOOKUP(A847, Prices!$A:$B, 2, FALSE), Inputs!$B$4)
        ) / 12,
        0)</f>
        <v>0</v>
      </c>
      <c r="L847" s="3">
        <f t="shared" si="3"/>
        <v>0</v>
      </c>
    </row>
    <row r="848" ht="15.75" customHeight="1">
      <c r="F848" s="3" t="str">
        <f>IFERROR(VLOOKUP(A848, Prices!A:B, 2, FALSE), )</f>
        <v/>
      </c>
      <c r="G848" s="3">
        <f>IFERROR(VLOOKUP(A848, Dividends!$A:$B, 2, FALSE),
       IFERROR( (VLOOKUP(A848, Dividends!$A:$C, 3, FALSE) / VLOOKUP(A848, Prices!$A:$B, 2, FALSE)) * 100,
                Inputs!$B$4*100 ))</f>
        <v>65</v>
      </c>
      <c r="H848" s="3">
        <f>IFERROR(SUMIF(Purchases!B:B, A848, Purchases!D:D), 0)</f>
        <v>0</v>
      </c>
      <c r="I848" s="3">
        <f t="shared" si="1"/>
        <v>0</v>
      </c>
      <c r="J848" s="3">
        <f t="shared" si="2"/>
        <v>0</v>
      </c>
      <c r="K848" s="3">
        <f>IF(J848&gt;0,
        J848 * IF(G848&gt;0, G848/100,
            IFERROR( VLOOKUP(A848, Dividends!$A:$C, 3, FALSE) / VLOOKUP(A848, Prices!$A:$B, 2, FALSE), Inputs!$B$4)
        ) / 12,
        0)</f>
        <v>0</v>
      </c>
      <c r="L848" s="3">
        <f t="shared" si="3"/>
        <v>0</v>
      </c>
    </row>
    <row r="849" ht="15.75" customHeight="1">
      <c r="F849" s="3" t="str">
        <f>IFERROR(VLOOKUP(A849, Prices!A:B, 2, FALSE), )</f>
        <v/>
      </c>
      <c r="G849" s="3">
        <f>IFERROR(VLOOKUP(A849, Dividends!$A:$B, 2, FALSE),
       IFERROR( (VLOOKUP(A849, Dividends!$A:$C, 3, FALSE) / VLOOKUP(A849, Prices!$A:$B, 2, FALSE)) * 100,
                Inputs!$B$4*100 ))</f>
        <v>65</v>
      </c>
      <c r="H849" s="3">
        <f>IFERROR(SUMIF(Purchases!B:B, A849, Purchases!D:D), 0)</f>
        <v>0</v>
      </c>
      <c r="I849" s="3">
        <f t="shared" si="1"/>
        <v>0</v>
      </c>
      <c r="J849" s="3">
        <f t="shared" si="2"/>
        <v>0</v>
      </c>
      <c r="K849" s="3">
        <f>IF(J849&gt;0,
        J849 * IF(G849&gt;0, G849/100,
            IFERROR( VLOOKUP(A849, Dividends!$A:$C, 3, FALSE) / VLOOKUP(A849, Prices!$A:$B, 2, FALSE), Inputs!$B$4)
        ) / 12,
        0)</f>
        <v>0</v>
      </c>
      <c r="L849" s="3">
        <f t="shared" si="3"/>
        <v>0</v>
      </c>
    </row>
    <row r="850" ht="15.75" customHeight="1">
      <c r="F850" s="3" t="str">
        <f>IFERROR(VLOOKUP(A850, Prices!A:B, 2, FALSE), )</f>
        <v/>
      </c>
      <c r="G850" s="3">
        <f>IFERROR(VLOOKUP(A850, Dividends!$A:$B, 2, FALSE),
       IFERROR( (VLOOKUP(A850, Dividends!$A:$C, 3, FALSE) / VLOOKUP(A850, Prices!$A:$B, 2, FALSE)) * 100,
                Inputs!$B$4*100 ))</f>
        <v>65</v>
      </c>
      <c r="H850" s="3">
        <f>IFERROR(SUMIF(Purchases!B:B, A850, Purchases!D:D), 0)</f>
        <v>0</v>
      </c>
      <c r="I850" s="3">
        <f t="shared" si="1"/>
        <v>0</v>
      </c>
      <c r="J850" s="3">
        <f t="shared" si="2"/>
        <v>0</v>
      </c>
      <c r="K850" s="3">
        <f>IF(J850&gt;0,
        J850 * IF(G850&gt;0, G850/100,
            IFERROR( VLOOKUP(A850, Dividends!$A:$C, 3, FALSE) / VLOOKUP(A850, Prices!$A:$B, 2, FALSE), Inputs!$B$4)
        ) / 12,
        0)</f>
        <v>0</v>
      </c>
      <c r="L850" s="3">
        <f t="shared" si="3"/>
        <v>0</v>
      </c>
    </row>
    <row r="851" ht="15.75" customHeight="1">
      <c r="F851" s="3" t="str">
        <f>IFERROR(VLOOKUP(A851, Prices!A:B, 2, FALSE), )</f>
        <v/>
      </c>
      <c r="G851" s="3">
        <f>IFERROR(VLOOKUP(A851, Dividends!$A:$B, 2, FALSE),
       IFERROR( (VLOOKUP(A851, Dividends!$A:$C, 3, FALSE) / VLOOKUP(A851, Prices!$A:$B, 2, FALSE)) * 100,
                Inputs!$B$4*100 ))</f>
        <v>65</v>
      </c>
      <c r="H851" s="3">
        <f>IFERROR(SUMIF(Purchases!B:B, A851, Purchases!D:D), 0)</f>
        <v>0</v>
      </c>
      <c r="I851" s="3">
        <f t="shared" si="1"/>
        <v>0</v>
      </c>
      <c r="J851" s="3">
        <f t="shared" si="2"/>
        <v>0</v>
      </c>
      <c r="K851" s="3">
        <f>IF(J851&gt;0,
        J851 * IF(G851&gt;0, G851/100,
            IFERROR( VLOOKUP(A851, Dividends!$A:$C, 3, FALSE) / VLOOKUP(A851, Prices!$A:$B, 2, FALSE), Inputs!$B$4)
        ) / 12,
        0)</f>
        <v>0</v>
      </c>
      <c r="L851" s="3">
        <f t="shared" si="3"/>
        <v>0</v>
      </c>
    </row>
    <row r="852" ht="15.75" customHeight="1">
      <c r="F852" s="3" t="str">
        <f>IFERROR(VLOOKUP(A852, Prices!A:B, 2, FALSE), )</f>
        <v/>
      </c>
      <c r="G852" s="3">
        <f>IFERROR(VLOOKUP(A852, Dividends!$A:$B, 2, FALSE),
       IFERROR( (VLOOKUP(A852, Dividends!$A:$C, 3, FALSE) / VLOOKUP(A852, Prices!$A:$B, 2, FALSE)) * 100,
                Inputs!$B$4*100 ))</f>
        <v>65</v>
      </c>
      <c r="H852" s="3">
        <f>IFERROR(SUMIF(Purchases!B:B, A852, Purchases!D:D), 0)</f>
        <v>0</v>
      </c>
      <c r="I852" s="3">
        <f t="shared" si="1"/>
        <v>0</v>
      </c>
      <c r="J852" s="3">
        <f t="shared" si="2"/>
        <v>0</v>
      </c>
      <c r="K852" s="3">
        <f>IF(J852&gt;0,
        J852 * IF(G852&gt;0, G852/100,
            IFERROR( VLOOKUP(A852, Dividends!$A:$C, 3, FALSE) / VLOOKUP(A852, Prices!$A:$B, 2, FALSE), Inputs!$B$4)
        ) / 12,
        0)</f>
        <v>0</v>
      </c>
      <c r="L852" s="3">
        <f t="shared" si="3"/>
        <v>0</v>
      </c>
    </row>
    <row r="853" ht="15.75" customHeight="1">
      <c r="F853" s="3" t="str">
        <f>IFERROR(VLOOKUP(A853, Prices!A:B, 2, FALSE), )</f>
        <v/>
      </c>
      <c r="G853" s="3">
        <f>IFERROR(VLOOKUP(A853, Dividends!$A:$B, 2, FALSE),
       IFERROR( (VLOOKUP(A853, Dividends!$A:$C, 3, FALSE) / VLOOKUP(A853, Prices!$A:$B, 2, FALSE)) * 100,
                Inputs!$B$4*100 ))</f>
        <v>65</v>
      </c>
      <c r="H853" s="3">
        <f>IFERROR(SUMIF(Purchases!B:B, A853, Purchases!D:D), 0)</f>
        <v>0</v>
      </c>
      <c r="I853" s="3">
        <f t="shared" si="1"/>
        <v>0</v>
      </c>
      <c r="J853" s="3">
        <f t="shared" si="2"/>
        <v>0</v>
      </c>
      <c r="K853" s="3">
        <f>IF(J853&gt;0,
        J853 * IF(G853&gt;0, G853/100,
            IFERROR( VLOOKUP(A853, Dividends!$A:$C, 3, FALSE) / VLOOKUP(A853, Prices!$A:$B, 2, FALSE), Inputs!$B$4)
        ) / 12,
        0)</f>
        <v>0</v>
      </c>
      <c r="L853" s="3">
        <f t="shared" si="3"/>
        <v>0</v>
      </c>
    </row>
    <row r="854" ht="15.75" customHeight="1">
      <c r="F854" s="3" t="str">
        <f>IFERROR(VLOOKUP(A854, Prices!A:B, 2, FALSE), )</f>
        <v/>
      </c>
      <c r="G854" s="3">
        <f>IFERROR(VLOOKUP(A854, Dividends!$A:$B, 2, FALSE),
       IFERROR( (VLOOKUP(A854, Dividends!$A:$C, 3, FALSE) / VLOOKUP(A854, Prices!$A:$B, 2, FALSE)) * 100,
                Inputs!$B$4*100 ))</f>
        <v>65</v>
      </c>
      <c r="H854" s="3">
        <f>IFERROR(SUMIF(Purchases!B:B, A854, Purchases!D:D), 0)</f>
        <v>0</v>
      </c>
      <c r="I854" s="3">
        <f t="shared" si="1"/>
        <v>0</v>
      </c>
      <c r="J854" s="3">
        <f t="shared" si="2"/>
        <v>0</v>
      </c>
      <c r="K854" s="3">
        <f>IF(J854&gt;0,
        J854 * IF(G854&gt;0, G854/100,
            IFERROR( VLOOKUP(A854, Dividends!$A:$C, 3, FALSE) / VLOOKUP(A854, Prices!$A:$B, 2, FALSE), Inputs!$B$4)
        ) / 12,
        0)</f>
        <v>0</v>
      </c>
      <c r="L854" s="3">
        <f t="shared" si="3"/>
        <v>0</v>
      </c>
    </row>
    <row r="855" ht="15.75" customHeight="1">
      <c r="F855" s="3" t="str">
        <f>IFERROR(VLOOKUP(A855, Prices!A:B, 2, FALSE), )</f>
        <v/>
      </c>
      <c r="G855" s="3">
        <f>IFERROR(VLOOKUP(A855, Dividends!$A:$B, 2, FALSE),
       IFERROR( (VLOOKUP(A855, Dividends!$A:$C, 3, FALSE) / VLOOKUP(A855, Prices!$A:$B, 2, FALSE)) * 100,
                Inputs!$B$4*100 ))</f>
        <v>65</v>
      </c>
      <c r="H855" s="3">
        <f>IFERROR(SUMIF(Purchases!B:B, A855, Purchases!D:D), 0)</f>
        <v>0</v>
      </c>
      <c r="I855" s="3">
        <f t="shared" si="1"/>
        <v>0</v>
      </c>
      <c r="J855" s="3">
        <f t="shared" si="2"/>
        <v>0</v>
      </c>
      <c r="K855" s="3">
        <f>IF(J855&gt;0,
        J855 * IF(G855&gt;0, G855/100,
            IFERROR( VLOOKUP(A855, Dividends!$A:$C, 3, FALSE) / VLOOKUP(A855, Prices!$A:$B, 2, FALSE), Inputs!$B$4)
        ) / 12,
        0)</f>
        <v>0</v>
      </c>
      <c r="L855" s="3">
        <f t="shared" si="3"/>
        <v>0</v>
      </c>
    </row>
    <row r="856" ht="15.75" customHeight="1">
      <c r="F856" s="3" t="str">
        <f>IFERROR(VLOOKUP(A856, Prices!A:B, 2, FALSE), )</f>
        <v/>
      </c>
      <c r="G856" s="3">
        <f>IFERROR(VLOOKUP(A856, Dividends!$A:$B, 2, FALSE),
       IFERROR( (VLOOKUP(A856, Dividends!$A:$C, 3, FALSE) / VLOOKUP(A856, Prices!$A:$B, 2, FALSE)) * 100,
                Inputs!$B$4*100 ))</f>
        <v>65</v>
      </c>
      <c r="H856" s="3">
        <f>IFERROR(SUMIF(Purchases!B:B, A856, Purchases!D:D), 0)</f>
        <v>0</v>
      </c>
      <c r="I856" s="3">
        <f t="shared" si="1"/>
        <v>0</v>
      </c>
      <c r="J856" s="3">
        <f t="shared" si="2"/>
        <v>0</v>
      </c>
      <c r="K856" s="3">
        <f>IF(J856&gt;0,
        J856 * IF(G856&gt;0, G856/100,
            IFERROR( VLOOKUP(A856, Dividends!$A:$C, 3, FALSE) / VLOOKUP(A856, Prices!$A:$B, 2, FALSE), Inputs!$B$4)
        ) / 12,
        0)</f>
        <v>0</v>
      </c>
      <c r="L856" s="3">
        <f t="shared" si="3"/>
        <v>0</v>
      </c>
    </row>
    <row r="857" ht="15.75" customHeight="1">
      <c r="F857" s="3" t="str">
        <f>IFERROR(VLOOKUP(A857, Prices!A:B, 2, FALSE), )</f>
        <v/>
      </c>
      <c r="G857" s="3">
        <f>IFERROR(VLOOKUP(A857, Dividends!$A:$B, 2, FALSE),
       IFERROR( (VLOOKUP(A857, Dividends!$A:$C, 3, FALSE) / VLOOKUP(A857, Prices!$A:$B, 2, FALSE)) * 100,
                Inputs!$B$4*100 ))</f>
        <v>65</v>
      </c>
      <c r="H857" s="3">
        <f>IFERROR(SUMIF(Purchases!B:B, A857, Purchases!D:D), 0)</f>
        <v>0</v>
      </c>
      <c r="I857" s="3">
        <f t="shared" si="1"/>
        <v>0</v>
      </c>
      <c r="J857" s="3">
        <f t="shared" si="2"/>
        <v>0</v>
      </c>
      <c r="K857" s="3">
        <f>IF(J857&gt;0,
        J857 * IF(G857&gt;0, G857/100,
            IFERROR( VLOOKUP(A857, Dividends!$A:$C, 3, FALSE) / VLOOKUP(A857, Prices!$A:$B, 2, FALSE), Inputs!$B$4)
        ) / 12,
        0)</f>
        <v>0</v>
      </c>
      <c r="L857" s="3">
        <f t="shared" si="3"/>
        <v>0</v>
      </c>
    </row>
    <row r="858" ht="15.75" customHeight="1">
      <c r="F858" s="3" t="str">
        <f>IFERROR(VLOOKUP(A858, Prices!A:B, 2, FALSE), )</f>
        <v/>
      </c>
      <c r="G858" s="3">
        <f>IFERROR(VLOOKUP(A858, Dividends!$A:$B, 2, FALSE),
       IFERROR( (VLOOKUP(A858, Dividends!$A:$C, 3, FALSE) / VLOOKUP(A858, Prices!$A:$B, 2, FALSE)) * 100,
                Inputs!$B$4*100 ))</f>
        <v>65</v>
      </c>
      <c r="H858" s="3">
        <f>IFERROR(SUMIF(Purchases!B:B, A858, Purchases!D:D), 0)</f>
        <v>0</v>
      </c>
      <c r="I858" s="3">
        <f t="shared" si="1"/>
        <v>0</v>
      </c>
      <c r="J858" s="3">
        <f t="shared" si="2"/>
        <v>0</v>
      </c>
      <c r="K858" s="3">
        <f>IF(J858&gt;0,
        J858 * IF(G858&gt;0, G858/100,
            IFERROR( VLOOKUP(A858, Dividends!$A:$C, 3, FALSE) / VLOOKUP(A858, Prices!$A:$B, 2, FALSE), Inputs!$B$4)
        ) / 12,
        0)</f>
        <v>0</v>
      </c>
      <c r="L858" s="3">
        <f t="shared" si="3"/>
        <v>0</v>
      </c>
    </row>
    <row r="859" ht="15.75" customHeight="1">
      <c r="F859" s="3" t="str">
        <f>IFERROR(VLOOKUP(A859, Prices!A:B, 2, FALSE), )</f>
        <v/>
      </c>
      <c r="G859" s="3">
        <f>IFERROR(VLOOKUP(A859, Dividends!$A:$B, 2, FALSE),
       IFERROR( (VLOOKUP(A859, Dividends!$A:$C, 3, FALSE) / VLOOKUP(A859, Prices!$A:$B, 2, FALSE)) * 100,
                Inputs!$B$4*100 ))</f>
        <v>65</v>
      </c>
      <c r="H859" s="3">
        <f>IFERROR(SUMIF(Purchases!B:B, A859, Purchases!D:D), 0)</f>
        <v>0</v>
      </c>
      <c r="I859" s="3">
        <f t="shared" si="1"/>
        <v>0</v>
      </c>
      <c r="J859" s="3">
        <f t="shared" si="2"/>
        <v>0</v>
      </c>
      <c r="K859" s="3">
        <f>IF(J859&gt;0,
        J859 * IF(G859&gt;0, G859/100,
            IFERROR( VLOOKUP(A859, Dividends!$A:$C, 3, FALSE) / VLOOKUP(A859, Prices!$A:$B, 2, FALSE), Inputs!$B$4)
        ) / 12,
        0)</f>
        <v>0</v>
      </c>
      <c r="L859" s="3">
        <f t="shared" si="3"/>
        <v>0</v>
      </c>
    </row>
    <row r="860" ht="15.75" customHeight="1">
      <c r="F860" s="3" t="str">
        <f>IFERROR(VLOOKUP(A860, Prices!A:B, 2, FALSE), )</f>
        <v/>
      </c>
      <c r="G860" s="3">
        <f>IFERROR(VLOOKUP(A860, Dividends!$A:$B, 2, FALSE),
       IFERROR( (VLOOKUP(A860, Dividends!$A:$C, 3, FALSE) / VLOOKUP(A860, Prices!$A:$B, 2, FALSE)) * 100,
                Inputs!$B$4*100 ))</f>
        <v>65</v>
      </c>
      <c r="H860" s="3">
        <f>IFERROR(SUMIF(Purchases!B:B, A860, Purchases!D:D), 0)</f>
        <v>0</v>
      </c>
      <c r="I860" s="3">
        <f t="shared" si="1"/>
        <v>0</v>
      </c>
      <c r="J860" s="3">
        <f t="shared" si="2"/>
        <v>0</v>
      </c>
      <c r="K860" s="3">
        <f>IF(J860&gt;0,
        J860 * IF(G860&gt;0, G860/100,
            IFERROR( VLOOKUP(A860, Dividends!$A:$C, 3, FALSE) / VLOOKUP(A860, Prices!$A:$B, 2, FALSE), Inputs!$B$4)
        ) / 12,
        0)</f>
        <v>0</v>
      </c>
      <c r="L860" s="3">
        <f t="shared" si="3"/>
        <v>0</v>
      </c>
    </row>
    <row r="861" ht="15.75" customHeight="1">
      <c r="F861" s="3" t="str">
        <f>IFERROR(VLOOKUP(A861, Prices!A:B, 2, FALSE), )</f>
        <v/>
      </c>
      <c r="G861" s="3">
        <f>IFERROR(VLOOKUP(A861, Dividends!$A:$B, 2, FALSE),
       IFERROR( (VLOOKUP(A861, Dividends!$A:$C, 3, FALSE) / VLOOKUP(A861, Prices!$A:$B, 2, FALSE)) * 100,
                Inputs!$B$4*100 ))</f>
        <v>65</v>
      </c>
      <c r="H861" s="3">
        <f>IFERROR(SUMIF(Purchases!B:B, A861, Purchases!D:D), 0)</f>
        <v>0</v>
      </c>
      <c r="I861" s="3">
        <f t="shared" si="1"/>
        <v>0</v>
      </c>
      <c r="J861" s="3">
        <f t="shared" si="2"/>
        <v>0</v>
      </c>
      <c r="K861" s="3">
        <f>IF(J861&gt;0,
        J861 * IF(G861&gt;0, G861/100,
            IFERROR( VLOOKUP(A861, Dividends!$A:$C, 3, FALSE) / VLOOKUP(A861, Prices!$A:$B, 2, FALSE), Inputs!$B$4)
        ) / 12,
        0)</f>
        <v>0</v>
      </c>
      <c r="L861" s="3">
        <f t="shared" si="3"/>
        <v>0</v>
      </c>
    </row>
    <row r="862" ht="15.75" customHeight="1">
      <c r="F862" s="3" t="str">
        <f>IFERROR(VLOOKUP(A862, Prices!A:B, 2, FALSE), )</f>
        <v/>
      </c>
      <c r="G862" s="3">
        <f>IFERROR(VLOOKUP(A862, Dividends!$A:$B, 2, FALSE),
       IFERROR( (VLOOKUP(A862, Dividends!$A:$C, 3, FALSE) / VLOOKUP(A862, Prices!$A:$B, 2, FALSE)) * 100,
                Inputs!$B$4*100 ))</f>
        <v>65</v>
      </c>
      <c r="H862" s="3">
        <f>IFERROR(SUMIF(Purchases!B:B, A862, Purchases!D:D), 0)</f>
        <v>0</v>
      </c>
      <c r="I862" s="3">
        <f t="shared" si="1"/>
        <v>0</v>
      </c>
      <c r="J862" s="3">
        <f t="shared" si="2"/>
        <v>0</v>
      </c>
      <c r="K862" s="3">
        <f>IF(J862&gt;0,
        J862 * IF(G862&gt;0, G862/100,
            IFERROR( VLOOKUP(A862, Dividends!$A:$C, 3, FALSE) / VLOOKUP(A862, Prices!$A:$B, 2, FALSE), Inputs!$B$4)
        ) / 12,
        0)</f>
        <v>0</v>
      </c>
      <c r="L862" s="3">
        <f t="shared" si="3"/>
        <v>0</v>
      </c>
    </row>
    <row r="863" ht="15.75" customHeight="1">
      <c r="F863" s="3" t="str">
        <f>IFERROR(VLOOKUP(A863, Prices!A:B, 2, FALSE), )</f>
        <v/>
      </c>
      <c r="G863" s="3">
        <f>IFERROR(VLOOKUP(A863, Dividends!$A:$B, 2, FALSE),
       IFERROR( (VLOOKUP(A863, Dividends!$A:$C, 3, FALSE) / VLOOKUP(A863, Prices!$A:$B, 2, FALSE)) * 100,
                Inputs!$B$4*100 ))</f>
        <v>65</v>
      </c>
      <c r="H863" s="3">
        <f>IFERROR(SUMIF(Purchases!B:B, A863, Purchases!D:D), 0)</f>
        <v>0</v>
      </c>
      <c r="I863" s="3">
        <f t="shared" si="1"/>
        <v>0</v>
      </c>
      <c r="J863" s="3">
        <f t="shared" si="2"/>
        <v>0</v>
      </c>
      <c r="K863" s="3">
        <f>IF(J863&gt;0,
        J863 * IF(G863&gt;0, G863/100,
            IFERROR( VLOOKUP(A863, Dividends!$A:$C, 3, FALSE) / VLOOKUP(A863, Prices!$A:$B, 2, FALSE), Inputs!$B$4)
        ) / 12,
        0)</f>
        <v>0</v>
      </c>
      <c r="L863" s="3">
        <f t="shared" si="3"/>
        <v>0</v>
      </c>
    </row>
    <row r="864" ht="15.75" customHeight="1">
      <c r="F864" s="3" t="str">
        <f>IFERROR(VLOOKUP(A864, Prices!A:B, 2, FALSE), )</f>
        <v/>
      </c>
      <c r="G864" s="3">
        <f>IFERROR(VLOOKUP(A864, Dividends!$A:$B, 2, FALSE),
       IFERROR( (VLOOKUP(A864, Dividends!$A:$C, 3, FALSE) / VLOOKUP(A864, Prices!$A:$B, 2, FALSE)) * 100,
                Inputs!$B$4*100 ))</f>
        <v>65</v>
      </c>
      <c r="H864" s="3">
        <f>IFERROR(SUMIF(Purchases!B:B, A864, Purchases!D:D), 0)</f>
        <v>0</v>
      </c>
      <c r="I864" s="3">
        <f t="shared" si="1"/>
        <v>0</v>
      </c>
      <c r="J864" s="3">
        <f t="shared" si="2"/>
        <v>0</v>
      </c>
      <c r="K864" s="3">
        <f>IF(J864&gt;0,
        J864 * IF(G864&gt;0, G864/100,
            IFERROR( VLOOKUP(A864, Dividends!$A:$C, 3, FALSE) / VLOOKUP(A864, Prices!$A:$B, 2, FALSE), Inputs!$B$4)
        ) / 12,
        0)</f>
        <v>0</v>
      </c>
      <c r="L864" s="3">
        <f t="shared" si="3"/>
        <v>0</v>
      </c>
    </row>
    <row r="865" ht="15.75" customHeight="1">
      <c r="F865" s="3" t="str">
        <f>IFERROR(VLOOKUP(A865, Prices!A:B, 2, FALSE), )</f>
        <v/>
      </c>
      <c r="G865" s="3">
        <f>IFERROR(VLOOKUP(A865, Dividends!$A:$B, 2, FALSE),
       IFERROR( (VLOOKUP(A865, Dividends!$A:$C, 3, FALSE) / VLOOKUP(A865, Prices!$A:$B, 2, FALSE)) * 100,
                Inputs!$B$4*100 ))</f>
        <v>65</v>
      </c>
      <c r="H865" s="3">
        <f>IFERROR(SUMIF(Purchases!B:B, A865, Purchases!D:D), 0)</f>
        <v>0</v>
      </c>
      <c r="I865" s="3">
        <f t="shared" si="1"/>
        <v>0</v>
      </c>
      <c r="J865" s="3">
        <f t="shared" si="2"/>
        <v>0</v>
      </c>
      <c r="K865" s="3">
        <f>IF(J865&gt;0,
        J865 * IF(G865&gt;0, G865/100,
            IFERROR( VLOOKUP(A865, Dividends!$A:$C, 3, FALSE) / VLOOKUP(A865, Prices!$A:$B, 2, FALSE), Inputs!$B$4)
        ) / 12,
        0)</f>
        <v>0</v>
      </c>
      <c r="L865" s="3">
        <f t="shared" si="3"/>
        <v>0</v>
      </c>
    </row>
    <row r="866" ht="15.75" customHeight="1">
      <c r="F866" s="3" t="str">
        <f>IFERROR(VLOOKUP(A866, Prices!A:B, 2, FALSE), )</f>
        <v/>
      </c>
      <c r="G866" s="3">
        <f>IFERROR(VLOOKUP(A866, Dividends!$A:$B, 2, FALSE),
       IFERROR( (VLOOKUP(A866, Dividends!$A:$C, 3, FALSE) / VLOOKUP(A866, Prices!$A:$B, 2, FALSE)) * 100,
                Inputs!$B$4*100 ))</f>
        <v>65</v>
      </c>
      <c r="H866" s="3">
        <f>IFERROR(SUMIF(Purchases!B:B, A866, Purchases!D:D), 0)</f>
        <v>0</v>
      </c>
      <c r="I866" s="3">
        <f t="shared" si="1"/>
        <v>0</v>
      </c>
      <c r="J866" s="3">
        <f t="shared" si="2"/>
        <v>0</v>
      </c>
      <c r="K866" s="3">
        <f>IF(J866&gt;0,
        J866 * IF(G866&gt;0, G866/100,
            IFERROR( VLOOKUP(A866, Dividends!$A:$C, 3, FALSE) / VLOOKUP(A866, Prices!$A:$B, 2, FALSE), Inputs!$B$4)
        ) / 12,
        0)</f>
        <v>0</v>
      </c>
      <c r="L866" s="3">
        <f t="shared" si="3"/>
        <v>0</v>
      </c>
    </row>
    <row r="867" ht="15.75" customHeight="1">
      <c r="F867" s="3" t="str">
        <f>IFERROR(VLOOKUP(A867, Prices!A:B, 2, FALSE), )</f>
        <v/>
      </c>
      <c r="G867" s="3">
        <f>IFERROR(VLOOKUP(A867, Dividends!$A:$B, 2, FALSE),
       IFERROR( (VLOOKUP(A867, Dividends!$A:$C, 3, FALSE) / VLOOKUP(A867, Prices!$A:$B, 2, FALSE)) * 100,
                Inputs!$B$4*100 ))</f>
        <v>65</v>
      </c>
      <c r="H867" s="3">
        <f>IFERROR(SUMIF(Purchases!B:B, A867, Purchases!D:D), 0)</f>
        <v>0</v>
      </c>
      <c r="I867" s="3">
        <f t="shared" si="1"/>
        <v>0</v>
      </c>
      <c r="J867" s="3">
        <f t="shared" si="2"/>
        <v>0</v>
      </c>
      <c r="K867" s="3">
        <f>IF(J867&gt;0,
        J867 * IF(G867&gt;0, G867/100,
            IFERROR( VLOOKUP(A867, Dividends!$A:$C, 3, FALSE) / VLOOKUP(A867, Prices!$A:$B, 2, FALSE), Inputs!$B$4)
        ) / 12,
        0)</f>
        <v>0</v>
      </c>
      <c r="L867" s="3">
        <f t="shared" si="3"/>
        <v>0</v>
      </c>
    </row>
    <row r="868" ht="15.75" customHeight="1">
      <c r="F868" s="3" t="str">
        <f>IFERROR(VLOOKUP(A868, Prices!A:B, 2, FALSE), )</f>
        <v/>
      </c>
      <c r="G868" s="3">
        <f>IFERROR(VLOOKUP(A868, Dividends!$A:$B, 2, FALSE),
       IFERROR( (VLOOKUP(A868, Dividends!$A:$C, 3, FALSE) / VLOOKUP(A868, Prices!$A:$B, 2, FALSE)) * 100,
                Inputs!$B$4*100 ))</f>
        <v>65</v>
      </c>
      <c r="H868" s="3">
        <f>IFERROR(SUMIF(Purchases!B:B, A868, Purchases!D:D), 0)</f>
        <v>0</v>
      </c>
      <c r="I868" s="3">
        <f t="shared" si="1"/>
        <v>0</v>
      </c>
      <c r="J868" s="3">
        <f t="shared" si="2"/>
        <v>0</v>
      </c>
      <c r="K868" s="3">
        <f>IF(J868&gt;0,
        J868 * IF(G868&gt;0, G868/100,
            IFERROR( VLOOKUP(A868, Dividends!$A:$C, 3, FALSE) / VLOOKUP(A868, Prices!$A:$B, 2, FALSE), Inputs!$B$4)
        ) / 12,
        0)</f>
        <v>0</v>
      </c>
      <c r="L868" s="3">
        <f t="shared" si="3"/>
        <v>0</v>
      </c>
    </row>
    <row r="869" ht="15.75" customHeight="1">
      <c r="F869" s="3" t="str">
        <f>IFERROR(VLOOKUP(A869, Prices!A:B, 2, FALSE), )</f>
        <v/>
      </c>
      <c r="G869" s="3">
        <f>IFERROR(VLOOKUP(A869, Dividends!$A:$B, 2, FALSE),
       IFERROR( (VLOOKUP(A869, Dividends!$A:$C, 3, FALSE) / VLOOKUP(A869, Prices!$A:$B, 2, FALSE)) * 100,
                Inputs!$B$4*100 ))</f>
        <v>65</v>
      </c>
      <c r="H869" s="3">
        <f>IFERROR(SUMIF(Purchases!B:B, A869, Purchases!D:D), 0)</f>
        <v>0</v>
      </c>
      <c r="I869" s="3">
        <f t="shared" si="1"/>
        <v>0</v>
      </c>
      <c r="J869" s="3">
        <f t="shared" si="2"/>
        <v>0</v>
      </c>
      <c r="K869" s="3">
        <f>IF(J869&gt;0,
        J869 * IF(G869&gt;0, G869/100,
            IFERROR( VLOOKUP(A869, Dividends!$A:$C, 3, FALSE) / VLOOKUP(A869, Prices!$A:$B, 2, FALSE), Inputs!$B$4)
        ) / 12,
        0)</f>
        <v>0</v>
      </c>
      <c r="L869" s="3">
        <f t="shared" si="3"/>
        <v>0</v>
      </c>
    </row>
    <row r="870" ht="15.75" customHeight="1">
      <c r="F870" s="3" t="str">
        <f>IFERROR(VLOOKUP(A870, Prices!A:B, 2, FALSE), )</f>
        <v/>
      </c>
      <c r="G870" s="3">
        <f>IFERROR(VLOOKUP(A870, Dividends!$A:$B, 2, FALSE),
       IFERROR( (VLOOKUP(A870, Dividends!$A:$C, 3, FALSE) / VLOOKUP(A870, Prices!$A:$B, 2, FALSE)) * 100,
                Inputs!$B$4*100 ))</f>
        <v>65</v>
      </c>
      <c r="H870" s="3">
        <f>IFERROR(SUMIF(Purchases!B:B, A870, Purchases!D:D), 0)</f>
        <v>0</v>
      </c>
      <c r="I870" s="3">
        <f t="shared" si="1"/>
        <v>0</v>
      </c>
      <c r="J870" s="3">
        <f t="shared" si="2"/>
        <v>0</v>
      </c>
      <c r="K870" s="3">
        <f>IF(J870&gt;0,
        J870 * IF(G870&gt;0, G870/100,
            IFERROR( VLOOKUP(A870, Dividends!$A:$C, 3, FALSE) / VLOOKUP(A870, Prices!$A:$B, 2, FALSE), Inputs!$B$4)
        ) / 12,
        0)</f>
        <v>0</v>
      </c>
      <c r="L870" s="3">
        <f t="shared" si="3"/>
        <v>0</v>
      </c>
    </row>
    <row r="871" ht="15.75" customHeight="1">
      <c r="F871" s="3" t="str">
        <f>IFERROR(VLOOKUP(A871, Prices!A:B, 2, FALSE), )</f>
        <v/>
      </c>
      <c r="G871" s="3">
        <f>IFERROR(VLOOKUP(A871, Dividends!$A:$B, 2, FALSE),
       IFERROR( (VLOOKUP(A871, Dividends!$A:$C, 3, FALSE) / VLOOKUP(A871, Prices!$A:$B, 2, FALSE)) * 100,
                Inputs!$B$4*100 ))</f>
        <v>65</v>
      </c>
      <c r="H871" s="3">
        <f>IFERROR(SUMIF(Purchases!B:B, A871, Purchases!D:D), 0)</f>
        <v>0</v>
      </c>
      <c r="I871" s="3">
        <f t="shared" si="1"/>
        <v>0</v>
      </c>
      <c r="J871" s="3">
        <f t="shared" si="2"/>
        <v>0</v>
      </c>
      <c r="K871" s="3">
        <f>IF(J871&gt;0,
        J871 * IF(G871&gt;0, G871/100,
            IFERROR( VLOOKUP(A871, Dividends!$A:$C, 3, FALSE) / VLOOKUP(A871, Prices!$A:$B, 2, FALSE), Inputs!$B$4)
        ) / 12,
        0)</f>
        <v>0</v>
      </c>
      <c r="L871" s="3">
        <f t="shared" si="3"/>
        <v>0</v>
      </c>
    </row>
    <row r="872" ht="15.75" customHeight="1">
      <c r="F872" s="3" t="str">
        <f>IFERROR(VLOOKUP(A872, Prices!A:B, 2, FALSE), )</f>
        <v/>
      </c>
      <c r="G872" s="3">
        <f>IFERROR(VLOOKUP(A872, Dividends!$A:$B, 2, FALSE),
       IFERROR( (VLOOKUP(A872, Dividends!$A:$C, 3, FALSE) / VLOOKUP(A872, Prices!$A:$B, 2, FALSE)) * 100,
                Inputs!$B$4*100 ))</f>
        <v>65</v>
      </c>
      <c r="H872" s="3">
        <f>IFERROR(SUMIF(Purchases!B:B, A872, Purchases!D:D), 0)</f>
        <v>0</v>
      </c>
      <c r="I872" s="3">
        <f t="shared" si="1"/>
        <v>0</v>
      </c>
      <c r="J872" s="3">
        <f t="shared" si="2"/>
        <v>0</v>
      </c>
      <c r="K872" s="3">
        <f>IF(J872&gt;0,
        J872 * IF(G872&gt;0, G872/100,
            IFERROR( VLOOKUP(A872, Dividends!$A:$C, 3, FALSE) / VLOOKUP(A872, Prices!$A:$B, 2, FALSE), Inputs!$B$4)
        ) / 12,
        0)</f>
        <v>0</v>
      </c>
      <c r="L872" s="3">
        <f t="shared" si="3"/>
        <v>0</v>
      </c>
    </row>
    <row r="873" ht="15.75" customHeight="1">
      <c r="F873" s="3" t="str">
        <f>IFERROR(VLOOKUP(A873, Prices!A:B, 2, FALSE), )</f>
        <v/>
      </c>
      <c r="G873" s="3">
        <f>IFERROR(VLOOKUP(A873, Dividends!$A:$B, 2, FALSE),
       IFERROR( (VLOOKUP(A873, Dividends!$A:$C, 3, FALSE) / VLOOKUP(A873, Prices!$A:$B, 2, FALSE)) * 100,
                Inputs!$B$4*100 ))</f>
        <v>65</v>
      </c>
      <c r="H873" s="3">
        <f>IFERROR(SUMIF(Purchases!B:B, A873, Purchases!D:D), 0)</f>
        <v>0</v>
      </c>
      <c r="I873" s="3">
        <f t="shared" si="1"/>
        <v>0</v>
      </c>
      <c r="J873" s="3">
        <f t="shared" si="2"/>
        <v>0</v>
      </c>
      <c r="K873" s="3">
        <f>IF(J873&gt;0,
        J873 * IF(G873&gt;0, G873/100,
            IFERROR( VLOOKUP(A873, Dividends!$A:$C, 3, FALSE) / VLOOKUP(A873, Prices!$A:$B, 2, FALSE), Inputs!$B$4)
        ) / 12,
        0)</f>
        <v>0</v>
      </c>
      <c r="L873" s="3">
        <f t="shared" si="3"/>
        <v>0</v>
      </c>
    </row>
    <row r="874" ht="15.75" customHeight="1">
      <c r="F874" s="3" t="str">
        <f>IFERROR(VLOOKUP(A874, Prices!A:B, 2, FALSE), )</f>
        <v/>
      </c>
      <c r="G874" s="3">
        <f>IFERROR(VLOOKUP(A874, Dividends!$A:$B, 2, FALSE),
       IFERROR( (VLOOKUP(A874, Dividends!$A:$C, 3, FALSE) / VLOOKUP(A874, Prices!$A:$B, 2, FALSE)) * 100,
                Inputs!$B$4*100 ))</f>
        <v>65</v>
      </c>
      <c r="H874" s="3">
        <f>IFERROR(SUMIF(Purchases!B:B, A874, Purchases!D:D), 0)</f>
        <v>0</v>
      </c>
      <c r="I874" s="3">
        <f t="shared" si="1"/>
        <v>0</v>
      </c>
      <c r="J874" s="3">
        <f t="shared" si="2"/>
        <v>0</v>
      </c>
      <c r="K874" s="3">
        <f>IF(J874&gt;0,
        J874 * IF(G874&gt;0, G874/100,
            IFERROR( VLOOKUP(A874, Dividends!$A:$C, 3, FALSE) / VLOOKUP(A874, Prices!$A:$B, 2, FALSE), Inputs!$B$4)
        ) / 12,
        0)</f>
        <v>0</v>
      </c>
      <c r="L874" s="3">
        <f t="shared" si="3"/>
        <v>0</v>
      </c>
    </row>
    <row r="875" ht="15.75" customHeight="1">
      <c r="F875" s="3" t="str">
        <f>IFERROR(VLOOKUP(A875, Prices!A:B, 2, FALSE), )</f>
        <v/>
      </c>
      <c r="G875" s="3">
        <f>IFERROR(VLOOKUP(A875, Dividends!$A:$B, 2, FALSE),
       IFERROR( (VLOOKUP(A875, Dividends!$A:$C, 3, FALSE) / VLOOKUP(A875, Prices!$A:$B, 2, FALSE)) * 100,
                Inputs!$B$4*100 ))</f>
        <v>65</v>
      </c>
      <c r="H875" s="3">
        <f>IFERROR(SUMIF(Purchases!B:B, A875, Purchases!D:D), 0)</f>
        <v>0</v>
      </c>
      <c r="I875" s="3">
        <f t="shared" si="1"/>
        <v>0</v>
      </c>
      <c r="J875" s="3">
        <f t="shared" si="2"/>
        <v>0</v>
      </c>
      <c r="K875" s="3">
        <f>IF(J875&gt;0,
        J875 * IF(G875&gt;0, G875/100,
            IFERROR( VLOOKUP(A875, Dividends!$A:$C, 3, FALSE) / VLOOKUP(A875, Prices!$A:$B, 2, FALSE), Inputs!$B$4)
        ) / 12,
        0)</f>
        <v>0</v>
      </c>
      <c r="L875" s="3">
        <f t="shared" si="3"/>
        <v>0</v>
      </c>
    </row>
    <row r="876" ht="15.75" customHeight="1">
      <c r="F876" s="3" t="str">
        <f>IFERROR(VLOOKUP(A876, Prices!A:B, 2, FALSE), )</f>
        <v/>
      </c>
      <c r="G876" s="3">
        <f>IFERROR(VLOOKUP(A876, Dividends!$A:$B, 2, FALSE),
       IFERROR( (VLOOKUP(A876, Dividends!$A:$C, 3, FALSE) / VLOOKUP(A876, Prices!$A:$B, 2, FALSE)) * 100,
                Inputs!$B$4*100 ))</f>
        <v>65</v>
      </c>
      <c r="H876" s="3">
        <f>IFERROR(SUMIF(Purchases!B:B, A876, Purchases!D:D), 0)</f>
        <v>0</v>
      </c>
      <c r="I876" s="3">
        <f t="shared" si="1"/>
        <v>0</v>
      </c>
      <c r="J876" s="3">
        <f t="shared" si="2"/>
        <v>0</v>
      </c>
      <c r="K876" s="3">
        <f>IF(J876&gt;0,
        J876 * IF(G876&gt;0, G876/100,
            IFERROR( VLOOKUP(A876, Dividends!$A:$C, 3, FALSE) / VLOOKUP(A876, Prices!$A:$B, 2, FALSE), Inputs!$B$4)
        ) / 12,
        0)</f>
        <v>0</v>
      </c>
      <c r="L876" s="3">
        <f t="shared" si="3"/>
        <v>0</v>
      </c>
    </row>
    <row r="877" ht="15.75" customHeight="1">
      <c r="F877" s="3" t="str">
        <f>IFERROR(VLOOKUP(A877, Prices!A:B, 2, FALSE), )</f>
        <v/>
      </c>
      <c r="G877" s="3">
        <f>IFERROR(VLOOKUP(A877, Dividends!$A:$B, 2, FALSE),
       IFERROR( (VLOOKUP(A877, Dividends!$A:$C, 3, FALSE) / VLOOKUP(A877, Prices!$A:$B, 2, FALSE)) * 100,
                Inputs!$B$4*100 ))</f>
        <v>65</v>
      </c>
      <c r="H877" s="3">
        <f>IFERROR(SUMIF(Purchases!B:B, A877, Purchases!D:D), 0)</f>
        <v>0</v>
      </c>
      <c r="I877" s="3">
        <f t="shared" si="1"/>
        <v>0</v>
      </c>
      <c r="J877" s="3">
        <f t="shared" si="2"/>
        <v>0</v>
      </c>
      <c r="K877" s="3">
        <f>IF(J877&gt;0,
        J877 * IF(G877&gt;0, G877/100,
            IFERROR( VLOOKUP(A877, Dividends!$A:$C, 3, FALSE) / VLOOKUP(A877, Prices!$A:$B, 2, FALSE), Inputs!$B$4)
        ) / 12,
        0)</f>
        <v>0</v>
      </c>
      <c r="L877" s="3">
        <f t="shared" si="3"/>
        <v>0</v>
      </c>
    </row>
    <row r="878" ht="15.75" customHeight="1">
      <c r="F878" s="3" t="str">
        <f>IFERROR(VLOOKUP(A878, Prices!A:B, 2, FALSE), )</f>
        <v/>
      </c>
      <c r="G878" s="3">
        <f>IFERROR(VLOOKUP(A878, Dividends!$A:$B, 2, FALSE),
       IFERROR( (VLOOKUP(A878, Dividends!$A:$C, 3, FALSE) / VLOOKUP(A878, Prices!$A:$B, 2, FALSE)) * 100,
                Inputs!$B$4*100 ))</f>
        <v>65</v>
      </c>
      <c r="H878" s="3">
        <f>IFERROR(SUMIF(Purchases!B:B, A878, Purchases!D:D), 0)</f>
        <v>0</v>
      </c>
      <c r="I878" s="3">
        <f t="shared" si="1"/>
        <v>0</v>
      </c>
      <c r="J878" s="3">
        <f t="shared" si="2"/>
        <v>0</v>
      </c>
      <c r="K878" s="3">
        <f>IF(J878&gt;0,
        J878 * IF(G878&gt;0, G878/100,
            IFERROR( VLOOKUP(A878, Dividends!$A:$C, 3, FALSE) / VLOOKUP(A878, Prices!$A:$B, 2, FALSE), Inputs!$B$4)
        ) / 12,
        0)</f>
        <v>0</v>
      </c>
      <c r="L878" s="3">
        <f t="shared" si="3"/>
        <v>0</v>
      </c>
    </row>
    <row r="879" ht="15.75" customHeight="1">
      <c r="F879" s="3" t="str">
        <f>IFERROR(VLOOKUP(A879, Prices!A:B, 2, FALSE), )</f>
        <v/>
      </c>
      <c r="G879" s="3">
        <f>IFERROR(VLOOKUP(A879, Dividends!$A:$B, 2, FALSE),
       IFERROR( (VLOOKUP(A879, Dividends!$A:$C, 3, FALSE) / VLOOKUP(A879, Prices!$A:$B, 2, FALSE)) * 100,
                Inputs!$B$4*100 ))</f>
        <v>65</v>
      </c>
      <c r="H879" s="3">
        <f>IFERROR(SUMIF(Purchases!B:B, A879, Purchases!D:D), 0)</f>
        <v>0</v>
      </c>
      <c r="I879" s="3">
        <f t="shared" si="1"/>
        <v>0</v>
      </c>
      <c r="J879" s="3">
        <f t="shared" si="2"/>
        <v>0</v>
      </c>
      <c r="K879" s="3">
        <f>IF(J879&gt;0,
        J879 * IF(G879&gt;0, G879/100,
            IFERROR( VLOOKUP(A879, Dividends!$A:$C, 3, FALSE) / VLOOKUP(A879, Prices!$A:$B, 2, FALSE), Inputs!$B$4)
        ) / 12,
        0)</f>
        <v>0</v>
      </c>
      <c r="L879" s="3">
        <f t="shared" si="3"/>
        <v>0</v>
      </c>
    </row>
    <row r="880" ht="15.75" customHeight="1">
      <c r="F880" s="3" t="str">
        <f>IFERROR(VLOOKUP(A880, Prices!A:B, 2, FALSE), )</f>
        <v/>
      </c>
      <c r="G880" s="3">
        <f>IFERROR(VLOOKUP(A880, Dividends!$A:$B, 2, FALSE),
       IFERROR( (VLOOKUP(A880, Dividends!$A:$C, 3, FALSE) / VLOOKUP(A880, Prices!$A:$B, 2, FALSE)) * 100,
                Inputs!$B$4*100 ))</f>
        <v>65</v>
      </c>
      <c r="H880" s="3">
        <f>IFERROR(SUMIF(Purchases!B:B, A880, Purchases!D:D), 0)</f>
        <v>0</v>
      </c>
      <c r="I880" s="3">
        <f t="shared" si="1"/>
        <v>0</v>
      </c>
      <c r="J880" s="3">
        <f t="shared" si="2"/>
        <v>0</v>
      </c>
      <c r="K880" s="3">
        <f>IF(J880&gt;0,
        J880 * IF(G880&gt;0, G880/100,
            IFERROR( VLOOKUP(A880, Dividends!$A:$C, 3, FALSE) / VLOOKUP(A880, Prices!$A:$B, 2, FALSE), Inputs!$B$4)
        ) / 12,
        0)</f>
        <v>0</v>
      </c>
      <c r="L880" s="3">
        <f t="shared" si="3"/>
        <v>0</v>
      </c>
    </row>
    <row r="881" ht="15.75" customHeight="1">
      <c r="F881" s="3" t="str">
        <f>IFERROR(VLOOKUP(A881, Prices!A:B, 2, FALSE), )</f>
        <v/>
      </c>
      <c r="G881" s="3">
        <f>IFERROR(VLOOKUP(A881, Dividends!$A:$B, 2, FALSE),
       IFERROR( (VLOOKUP(A881, Dividends!$A:$C, 3, FALSE) / VLOOKUP(A881, Prices!$A:$B, 2, FALSE)) * 100,
                Inputs!$B$4*100 ))</f>
        <v>65</v>
      </c>
      <c r="H881" s="3">
        <f>IFERROR(SUMIF(Purchases!B:B, A881, Purchases!D:D), 0)</f>
        <v>0</v>
      </c>
      <c r="I881" s="3">
        <f t="shared" si="1"/>
        <v>0</v>
      </c>
      <c r="J881" s="3">
        <f t="shared" si="2"/>
        <v>0</v>
      </c>
      <c r="K881" s="3">
        <f>IF(J881&gt;0,
        J881 * IF(G881&gt;0, G881/100,
            IFERROR( VLOOKUP(A881, Dividends!$A:$C, 3, FALSE) / VLOOKUP(A881, Prices!$A:$B, 2, FALSE), Inputs!$B$4)
        ) / 12,
        0)</f>
        <v>0</v>
      </c>
      <c r="L881" s="3">
        <f t="shared" si="3"/>
        <v>0</v>
      </c>
    </row>
    <row r="882" ht="15.75" customHeight="1">
      <c r="F882" s="3" t="str">
        <f>IFERROR(VLOOKUP(A882, Prices!A:B, 2, FALSE), )</f>
        <v/>
      </c>
      <c r="G882" s="3">
        <f>IFERROR(VLOOKUP(A882, Dividends!$A:$B, 2, FALSE),
       IFERROR( (VLOOKUP(A882, Dividends!$A:$C, 3, FALSE) / VLOOKUP(A882, Prices!$A:$B, 2, FALSE)) * 100,
                Inputs!$B$4*100 ))</f>
        <v>65</v>
      </c>
      <c r="H882" s="3">
        <f>IFERROR(SUMIF(Purchases!B:B, A882, Purchases!D:D), 0)</f>
        <v>0</v>
      </c>
      <c r="I882" s="3">
        <f t="shared" si="1"/>
        <v>0</v>
      </c>
      <c r="J882" s="3">
        <f t="shared" si="2"/>
        <v>0</v>
      </c>
      <c r="K882" s="3">
        <f>IF(J882&gt;0,
        J882 * IF(G882&gt;0, G882/100,
            IFERROR( VLOOKUP(A882, Dividends!$A:$C, 3, FALSE) / VLOOKUP(A882, Prices!$A:$B, 2, FALSE), Inputs!$B$4)
        ) / 12,
        0)</f>
        <v>0</v>
      </c>
      <c r="L882" s="3">
        <f t="shared" si="3"/>
        <v>0</v>
      </c>
    </row>
    <row r="883" ht="15.75" customHeight="1">
      <c r="F883" s="3" t="str">
        <f>IFERROR(VLOOKUP(A883, Prices!A:B, 2, FALSE), )</f>
        <v/>
      </c>
      <c r="G883" s="3">
        <f>IFERROR(VLOOKUP(A883, Dividends!$A:$B, 2, FALSE),
       IFERROR( (VLOOKUP(A883, Dividends!$A:$C, 3, FALSE) / VLOOKUP(A883, Prices!$A:$B, 2, FALSE)) * 100,
                Inputs!$B$4*100 ))</f>
        <v>65</v>
      </c>
      <c r="H883" s="3">
        <f>IFERROR(SUMIF(Purchases!B:B, A883, Purchases!D:D), 0)</f>
        <v>0</v>
      </c>
      <c r="I883" s="3">
        <f t="shared" si="1"/>
        <v>0</v>
      </c>
      <c r="J883" s="3">
        <f t="shared" si="2"/>
        <v>0</v>
      </c>
      <c r="K883" s="3">
        <f>IF(J883&gt;0,
        J883 * IF(G883&gt;0, G883/100,
            IFERROR( VLOOKUP(A883, Dividends!$A:$C, 3, FALSE) / VLOOKUP(A883, Prices!$A:$B, 2, FALSE), Inputs!$B$4)
        ) / 12,
        0)</f>
        <v>0</v>
      </c>
      <c r="L883" s="3">
        <f t="shared" si="3"/>
        <v>0</v>
      </c>
    </row>
    <row r="884" ht="15.75" customHeight="1">
      <c r="F884" s="3" t="str">
        <f>IFERROR(VLOOKUP(A884, Prices!A:B, 2, FALSE), )</f>
        <v/>
      </c>
      <c r="G884" s="3">
        <f>IFERROR(VLOOKUP(A884, Dividends!$A:$B, 2, FALSE),
       IFERROR( (VLOOKUP(A884, Dividends!$A:$C, 3, FALSE) / VLOOKUP(A884, Prices!$A:$B, 2, FALSE)) * 100,
                Inputs!$B$4*100 ))</f>
        <v>65</v>
      </c>
      <c r="H884" s="3">
        <f>IFERROR(SUMIF(Purchases!B:B, A884, Purchases!D:D), 0)</f>
        <v>0</v>
      </c>
      <c r="I884" s="3">
        <f t="shared" si="1"/>
        <v>0</v>
      </c>
      <c r="J884" s="3">
        <f t="shared" si="2"/>
        <v>0</v>
      </c>
      <c r="K884" s="3">
        <f>IF(J884&gt;0,
        J884 * IF(G884&gt;0, G884/100,
            IFERROR( VLOOKUP(A884, Dividends!$A:$C, 3, FALSE) / VLOOKUP(A884, Prices!$A:$B, 2, FALSE), Inputs!$B$4)
        ) / 12,
        0)</f>
        <v>0</v>
      </c>
      <c r="L884" s="3">
        <f t="shared" si="3"/>
        <v>0</v>
      </c>
    </row>
    <row r="885" ht="15.75" customHeight="1">
      <c r="F885" s="3" t="str">
        <f>IFERROR(VLOOKUP(A885, Prices!A:B, 2, FALSE), )</f>
        <v/>
      </c>
      <c r="G885" s="3">
        <f>IFERROR(VLOOKUP(A885, Dividends!$A:$B, 2, FALSE),
       IFERROR( (VLOOKUP(A885, Dividends!$A:$C, 3, FALSE) / VLOOKUP(A885, Prices!$A:$B, 2, FALSE)) * 100,
                Inputs!$B$4*100 ))</f>
        <v>65</v>
      </c>
      <c r="H885" s="3">
        <f>IFERROR(SUMIF(Purchases!B:B, A885, Purchases!D:D), 0)</f>
        <v>0</v>
      </c>
      <c r="I885" s="3">
        <f t="shared" si="1"/>
        <v>0</v>
      </c>
      <c r="J885" s="3">
        <f t="shared" si="2"/>
        <v>0</v>
      </c>
      <c r="K885" s="3">
        <f>IF(J885&gt;0,
        J885 * IF(G885&gt;0, G885/100,
            IFERROR( VLOOKUP(A885, Dividends!$A:$C, 3, FALSE) / VLOOKUP(A885, Prices!$A:$B, 2, FALSE), Inputs!$B$4)
        ) / 12,
        0)</f>
        <v>0</v>
      </c>
      <c r="L885" s="3">
        <f t="shared" si="3"/>
        <v>0</v>
      </c>
    </row>
    <row r="886" ht="15.75" customHeight="1">
      <c r="F886" s="3" t="str">
        <f>IFERROR(VLOOKUP(A886, Prices!A:B, 2, FALSE), )</f>
        <v/>
      </c>
      <c r="G886" s="3">
        <f>IFERROR(VLOOKUP(A886, Dividends!$A:$B, 2, FALSE),
       IFERROR( (VLOOKUP(A886, Dividends!$A:$C, 3, FALSE) / VLOOKUP(A886, Prices!$A:$B, 2, FALSE)) * 100,
                Inputs!$B$4*100 ))</f>
        <v>65</v>
      </c>
      <c r="H886" s="3">
        <f>IFERROR(SUMIF(Purchases!B:B, A886, Purchases!D:D), 0)</f>
        <v>0</v>
      </c>
      <c r="I886" s="3">
        <f t="shared" si="1"/>
        <v>0</v>
      </c>
      <c r="J886" s="3">
        <f t="shared" si="2"/>
        <v>0</v>
      </c>
      <c r="K886" s="3">
        <f>IF(J886&gt;0,
        J886 * IF(G886&gt;0, G886/100,
            IFERROR( VLOOKUP(A886, Dividends!$A:$C, 3, FALSE) / VLOOKUP(A886, Prices!$A:$B, 2, FALSE), Inputs!$B$4)
        ) / 12,
        0)</f>
        <v>0</v>
      </c>
      <c r="L886" s="3">
        <f t="shared" si="3"/>
        <v>0</v>
      </c>
    </row>
    <row r="887" ht="15.75" customHeight="1">
      <c r="F887" s="3" t="str">
        <f>IFERROR(VLOOKUP(A887, Prices!A:B, 2, FALSE), )</f>
        <v/>
      </c>
      <c r="G887" s="3">
        <f>IFERROR(VLOOKUP(A887, Dividends!$A:$B, 2, FALSE),
       IFERROR( (VLOOKUP(A887, Dividends!$A:$C, 3, FALSE) / VLOOKUP(A887, Prices!$A:$B, 2, FALSE)) * 100,
                Inputs!$B$4*100 ))</f>
        <v>65</v>
      </c>
      <c r="H887" s="3">
        <f>IFERROR(SUMIF(Purchases!B:B, A887, Purchases!D:D), 0)</f>
        <v>0</v>
      </c>
      <c r="I887" s="3">
        <f t="shared" si="1"/>
        <v>0</v>
      </c>
      <c r="J887" s="3">
        <f t="shared" si="2"/>
        <v>0</v>
      </c>
      <c r="K887" s="3">
        <f>IF(J887&gt;0,
        J887 * IF(G887&gt;0, G887/100,
            IFERROR( VLOOKUP(A887, Dividends!$A:$C, 3, FALSE) / VLOOKUP(A887, Prices!$A:$B, 2, FALSE), Inputs!$B$4)
        ) / 12,
        0)</f>
        <v>0</v>
      </c>
      <c r="L887" s="3">
        <f t="shared" si="3"/>
        <v>0</v>
      </c>
    </row>
    <row r="888" ht="15.75" customHeight="1">
      <c r="F888" s="3" t="str">
        <f>IFERROR(VLOOKUP(A888, Prices!A:B, 2, FALSE), )</f>
        <v/>
      </c>
      <c r="G888" s="3">
        <f>IFERROR(VLOOKUP(A888, Dividends!$A:$B, 2, FALSE),
       IFERROR( (VLOOKUP(A888, Dividends!$A:$C, 3, FALSE) / VLOOKUP(A888, Prices!$A:$B, 2, FALSE)) * 100,
                Inputs!$B$4*100 ))</f>
        <v>65</v>
      </c>
      <c r="H888" s="3">
        <f>IFERROR(SUMIF(Purchases!B:B, A888, Purchases!D:D), 0)</f>
        <v>0</v>
      </c>
      <c r="I888" s="3">
        <f t="shared" si="1"/>
        <v>0</v>
      </c>
      <c r="J888" s="3">
        <f t="shared" si="2"/>
        <v>0</v>
      </c>
      <c r="K888" s="3">
        <f>IF(J888&gt;0,
        J888 * IF(G888&gt;0, G888/100,
            IFERROR( VLOOKUP(A888, Dividends!$A:$C, 3, FALSE) / VLOOKUP(A888, Prices!$A:$B, 2, FALSE), Inputs!$B$4)
        ) / 12,
        0)</f>
        <v>0</v>
      </c>
      <c r="L888" s="3">
        <f t="shared" si="3"/>
        <v>0</v>
      </c>
    </row>
    <row r="889" ht="15.75" customHeight="1">
      <c r="F889" s="3" t="str">
        <f>IFERROR(VLOOKUP(A889, Prices!A:B, 2, FALSE), )</f>
        <v/>
      </c>
      <c r="G889" s="3">
        <f>IFERROR(VLOOKUP(A889, Dividends!$A:$B, 2, FALSE),
       IFERROR( (VLOOKUP(A889, Dividends!$A:$C, 3, FALSE) / VLOOKUP(A889, Prices!$A:$B, 2, FALSE)) * 100,
                Inputs!$B$4*100 ))</f>
        <v>65</v>
      </c>
      <c r="H889" s="3">
        <f>IFERROR(SUMIF(Purchases!B:B, A889, Purchases!D:D), 0)</f>
        <v>0</v>
      </c>
      <c r="I889" s="3">
        <f t="shared" si="1"/>
        <v>0</v>
      </c>
      <c r="J889" s="3">
        <f t="shared" si="2"/>
        <v>0</v>
      </c>
      <c r="K889" s="3">
        <f>IF(J889&gt;0,
        J889 * IF(G889&gt;0, G889/100,
            IFERROR( VLOOKUP(A889, Dividends!$A:$C, 3, FALSE) / VLOOKUP(A889, Prices!$A:$B, 2, FALSE), Inputs!$B$4)
        ) / 12,
        0)</f>
        <v>0</v>
      </c>
      <c r="L889" s="3">
        <f t="shared" si="3"/>
        <v>0</v>
      </c>
    </row>
    <row r="890" ht="15.75" customHeight="1">
      <c r="F890" s="3" t="str">
        <f>IFERROR(VLOOKUP(A890, Prices!A:B, 2, FALSE), )</f>
        <v/>
      </c>
      <c r="G890" s="3">
        <f>IFERROR(VLOOKUP(A890, Dividends!$A:$B, 2, FALSE),
       IFERROR( (VLOOKUP(A890, Dividends!$A:$C, 3, FALSE) / VLOOKUP(A890, Prices!$A:$B, 2, FALSE)) * 100,
                Inputs!$B$4*100 ))</f>
        <v>65</v>
      </c>
      <c r="H890" s="3">
        <f>IFERROR(SUMIF(Purchases!B:B, A890, Purchases!D:D), 0)</f>
        <v>0</v>
      </c>
      <c r="I890" s="3">
        <f t="shared" si="1"/>
        <v>0</v>
      </c>
      <c r="J890" s="3">
        <f t="shared" si="2"/>
        <v>0</v>
      </c>
      <c r="K890" s="3">
        <f>IF(J890&gt;0,
        J890 * IF(G890&gt;0, G890/100,
            IFERROR( VLOOKUP(A890, Dividends!$A:$C, 3, FALSE) / VLOOKUP(A890, Prices!$A:$B, 2, FALSE), Inputs!$B$4)
        ) / 12,
        0)</f>
        <v>0</v>
      </c>
      <c r="L890" s="3">
        <f t="shared" si="3"/>
        <v>0</v>
      </c>
    </row>
    <row r="891" ht="15.75" customHeight="1">
      <c r="F891" s="3" t="str">
        <f>IFERROR(VLOOKUP(A891, Prices!A:B, 2, FALSE), )</f>
        <v/>
      </c>
      <c r="G891" s="3">
        <f>IFERROR(VLOOKUP(A891, Dividends!$A:$B, 2, FALSE),
       IFERROR( (VLOOKUP(A891, Dividends!$A:$C, 3, FALSE) / VLOOKUP(A891, Prices!$A:$B, 2, FALSE)) * 100,
                Inputs!$B$4*100 ))</f>
        <v>65</v>
      </c>
      <c r="H891" s="3">
        <f>IFERROR(SUMIF(Purchases!B:B, A891, Purchases!D:D), 0)</f>
        <v>0</v>
      </c>
      <c r="I891" s="3">
        <f t="shared" si="1"/>
        <v>0</v>
      </c>
      <c r="J891" s="3">
        <f t="shared" si="2"/>
        <v>0</v>
      </c>
      <c r="K891" s="3">
        <f>IF(J891&gt;0,
        J891 * IF(G891&gt;0, G891/100,
            IFERROR( VLOOKUP(A891, Dividends!$A:$C, 3, FALSE) / VLOOKUP(A891, Prices!$A:$B, 2, FALSE), Inputs!$B$4)
        ) / 12,
        0)</f>
        <v>0</v>
      </c>
      <c r="L891" s="3">
        <f t="shared" si="3"/>
        <v>0</v>
      </c>
    </row>
    <row r="892" ht="15.75" customHeight="1">
      <c r="F892" s="3" t="str">
        <f>IFERROR(VLOOKUP(A892, Prices!A:B, 2, FALSE), )</f>
        <v/>
      </c>
      <c r="G892" s="3">
        <f>IFERROR(VLOOKUP(A892, Dividends!$A:$B, 2, FALSE),
       IFERROR( (VLOOKUP(A892, Dividends!$A:$C, 3, FALSE) / VLOOKUP(A892, Prices!$A:$B, 2, FALSE)) * 100,
                Inputs!$B$4*100 ))</f>
        <v>65</v>
      </c>
      <c r="H892" s="3">
        <f>IFERROR(SUMIF(Purchases!B:B, A892, Purchases!D:D), 0)</f>
        <v>0</v>
      </c>
      <c r="I892" s="3">
        <f t="shared" si="1"/>
        <v>0</v>
      </c>
      <c r="J892" s="3">
        <f t="shared" si="2"/>
        <v>0</v>
      </c>
      <c r="K892" s="3">
        <f>IF(J892&gt;0,
        J892 * IF(G892&gt;0, G892/100,
            IFERROR( VLOOKUP(A892, Dividends!$A:$C, 3, FALSE) / VLOOKUP(A892, Prices!$A:$B, 2, FALSE), Inputs!$B$4)
        ) / 12,
        0)</f>
        <v>0</v>
      </c>
      <c r="L892" s="3">
        <f t="shared" si="3"/>
        <v>0</v>
      </c>
    </row>
    <row r="893" ht="15.75" customHeight="1">
      <c r="F893" s="3" t="str">
        <f>IFERROR(VLOOKUP(A893, Prices!A:B, 2, FALSE), )</f>
        <v/>
      </c>
      <c r="G893" s="3">
        <f>IFERROR(VLOOKUP(A893, Dividends!$A:$B, 2, FALSE),
       IFERROR( (VLOOKUP(A893, Dividends!$A:$C, 3, FALSE) / VLOOKUP(A893, Prices!$A:$B, 2, FALSE)) * 100,
                Inputs!$B$4*100 ))</f>
        <v>65</v>
      </c>
      <c r="H893" s="3">
        <f>IFERROR(SUMIF(Purchases!B:B, A893, Purchases!D:D), 0)</f>
        <v>0</v>
      </c>
      <c r="I893" s="3">
        <f t="shared" si="1"/>
        <v>0</v>
      </c>
      <c r="J893" s="3">
        <f t="shared" si="2"/>
        <v>0</v>
      </c>
      <c r="K893" s="3">
        <f>IF(J893&gt;0,
        J893 * IF(G893&gt;0, G893/100,
            IFERROR( VLOOKUP(A893, Dividends!$A:$C, 3, FALSE) / VLOOKUP(A893, Prices!$A:$B, 2, FALSE), Inputs!$B$4)
        ) / 12,
        0)</f>
        <v>0</v>
      </c>
      <c r="L893" s="3">
        <f t="shared" si="3"/>
        <v>0</v>
      </c>
    </row>
    <row r="894" ht="15.75" customHeight="1">
      <c r="F894" s="3" t="str">
        <f>IFERROR(VLOOKUP(A894, Prices!A:B, 2, FALSE), )</f>
        <v/>
      </c>
      <c r="G894" s="3">
        <f>IFERROR(VLOOKUP(A894, Dividends!$A:$B, 2, FALSE),
       IFERROR( (VLOOKUP(A894, Dividends!$A:$C, 3, FALSE) / VLOOKUP(A894, Prices!$A:$B, 2, FALSE)) * 100,
                Inputs!$B$4*100 ))</f>
        <v>65</v>
      </c>
      <c r="H894" s="3">
        <f>IFERROR(SUMIF(Purchases!B:B, A894, Purchases!D:D), 0)</f>
        <v>0</v>
      </c>
      <c r="I894" s="3">
        <f t="shared" si="1"/>
        <v>0</v>
      </c>
      <c r="J894" s="3">
        <f t="shared" si="2"/>
        <v>0</v>
      </c>
      <c r="K894" s="3">
        <f>IF(J894&gt;0,
        J894 * IF(G894&gt;0, G894/100,
            IFERROR( VLOOKUP(A894, Dividends!$A:$C, 3, FALSE) / VLOOKUP(A894, Prices!$A:$B, 2, FALSE), Inputs!$B$4)
        ) / 12,
        0)</f>
        <v>0</v>
      </c>
      <c r="L894" s="3">
        <f t="shared" si="3"/>
        <v>0</v>
      </c>
    </row>
    <row r="895" ht="15.75" customHeight="1">
      <c r="F895" s="3" t="str">
        <f>IFERROR(VLOOKUP(A895, Prices!A:B, 2, FALSE), )</f>
        <v/>
      </c>
      <c r="G895" s="3">
        <f>IFERROR(VLOOKUP(A895, Dividends!$A:$B, 2, FALSE),
       IFERROR( (VLOOKUP(A895, Dividends!$A:$C, 3, FALSE) / VLOOKUP(A895, Prices!$A:$B, 2, FALSE)) * 100,
                Inputs!$B$4*100 ))</f>
        <v>65</v>
      </c>
      <c r="H895" s="3">
        <f>IFERROR(SUMIF(Purchases!B:B, A895, Purchases!D:D), 0)</f>
        <v>0</v>
      </c>
      <c r="I895" s="3">
        <f t="shared" si="1"/>
        <v>0</v>
      </c>
      <c r="J895" s="3">
        <f t="shared" si="2"/>
        <v>0</v>
      </c>
      <c r="K895" s="3">
        <f>IF(J895&gt;0,
        J895 * IF(G895&gt;0, G895/100,
            IFERROR( VLOOKUP(A895, Dividends!$A:$C, 3, FALSE) / VLOOKUP(A895, Prices!$A:$B, 2, FALSE), Inputs!$B$4)
        ) / 12,
        0)</f>
        <v>0</v>
      </c>
      <c r="L895" s="3">
        <f t="shared" si="3"/>
        <v>0</v>
      </c>
    </row>
    <row r="896" ht="15.75" customHeight="1">
      <c r="F896" s="3" t="str">
        <f>IFERROR(VLOOKUP(A896, Prices!A:B, 2, FALSE), )</f>
        <v/>
      </c>
      <c r="G896" s="3">
        <f>IFERROR(VLOOKUP(A896, Dividends!$A:$B, 2, FALSE),
       IFERROR( (VLOOKUP(A896, Dividends!$A:$C, 3, FALSE) / VLOOKUP(A896, Prices!$A:$B, 2, FALSE)) * 100,
                Inputs!$B$4*100 ))</f>
        <v>65</v>
      </c>
      <c r="H896" s="3">
        <f>IFERROR(SUMIF(Purchases!B:B, A896, Purchases!D:D), 0)</f>
        <v>0</v>
      </c>
      <c r="I896" s="3">
        <f t="shared" si="1"/>
        <v>0</v>
      </c>
      <c r="J896" s="3">
        <f t="shared" si="2"/>
        <v>0</v>
      </c>
      <c r="K896" s="3">
        <f>IF(J896&gt;0,
        J896 * IF(G896&gt;0, G896/100,
            IFERROR( VLOOKUP(A896, Dividends!$A:$C, 3, FALSE) / VLOOKUP(A896, Prices!$A:$B, 2, FALSE), Inputs!$B$4)
        ) / 12,
        0)</f>
        <v>0</v>
      </c>
      <c r="L896" s="3">
        <f t="shared" si="3"/>
        <v>0</v>
      </c>
    </row>
    <row r="897" ht="15.75" customHeight="1">
      <c r="F897" s="3" t="str">
        <f>IFERROR(VLOOKUP(A897, Prices!A:B, 2, FALSE), )</f>
        <v/>
      </c>
      <c r="G897" s="3">
        <f>IFERROR(VLOOKUP(A897, Dividends!$A:$B, 2, FALSE),
       IFERROR( (VLOOKUP(A897, Dividends!$A:$C, 3, FALSE) / VLOOKUP(A897, Prices!$A:$B, 2, FALSE)) * 100,
                Inputs!$B$4*100 ))</f>
        <v>65</v>
      </c>
      <c r="H897" s="3">
        <f>IFERROR(SUMIF(Purchases!B:B, A897, Purchases!D:D), 0)</f>
        <v>0</v>
      </c>
      <c r="I897" s="3">
        <f t="shared" si="1"/>
        <v>0</v>
      </c>
      <c r="J897" s="3">
        <f t="shared" si="2"/>
        <v>0</v>
      </c>
      <c r="K897" s="3">
        <f>IF(J897&gt;0,
        J897 * IF(G897&gt;0, G897/100,
            IFERROR( VLOOKUP(A897, Dividends!$A:$C, 3, FALSE) / VLOOKUP(A897, Prices!$A:$B, 2, FALSE), Inputs!$B$4)
        ) / 12,
        0)</f>
        <v>0</v>
      </c>
      <c r="L897" s="3">
        <f t="shared" si="3"/>
        <v>0</v>
      </c>
    </row>
    <row r="898" ht="15.75" customHeight="1">
      <c r="F898" s="3" t="str">
        <f>IFERROR(VLOOKUP(A898, Prices!A:B, 2, FALSE), )</f>
        <v/>
      </c>
      <c r="G898" s="3">
        <f>IFERROR(VLOOKUP(A898, Dividends!$A:$B, 2, FALSE),
       IFERROR( (VLOOKUP(A898, Dividends!$A:$C, 3, FALSE) / VLOOKUP(A898, Prices!$A:$B, 2, FALSE)) * 100,
                Inputs!$B$4*100 ))</f>
        <v>65</v>
      </c>
      <c r="H898" s="3">
        <f>IFERROR(SUMIF(Purchases!B:B, A898, Purchases!D:D), 0)</f>
        <v>0</v>
      </c>
      <c r="I898" s="3">
        <f t="shared" si="1"/>
        <v>0</v>
      </c>
      <c r="J898" s="3">
        <f t="shared" si="2"/>
        <v>0</v>
      </c>
      <c r="K898" s="3">
        <f>IF(J898&gt;0,
        J898 * IF(G898&gt;0, G898/100,
            IFERROR( VLOOKUP(A898, Dividends!$A:$C, 3, FALSE) / VLOOKUP(A898, Prices!$A:$B, 2, FALSE), Inputs!$B$4)
        ) / 12,
        0)</f>
        <v>0</v>
      </c>
      <c r="L898" s="3">
        <f t="shared" si="3"/>
        <v>0</v>
      </c>
    </row>
    <row r="899" ht="15.75" customHeight="1">
      <c r="F899" s="3" t="str">
        <f>IFERROR(VLOOKUP(A899, Prices!A:B, 2, FALSE), )</f>
        <v/>
      </c>
      <c r="G899" s="3">
        <f>IFERROR(VLOOKUP(A899, Dividends!$A:$B, 2, FALSE),
       IFERROR( (VLOOKUP(A899, Dividends!$A:$C, 3, FALSE) / VLOOKUP(A899, Prices!$A:$B, 2, FALSE)) * 100,
                Inputs!$B$4*100 ))</f>
        <v>65</v>
      </c>
      <c r="H899" s="3">
        <f>IFERROR(SUMIF(Purchases!B:B, A899, Purchases!D:D), 0)</f>
        <v>0</v>
      </c>
      <c r="I899" s="3">
        <f t="shared" si="1"/>
        <v>0</v>
      </c>
      <c r="J899" s="3">
        <f t="shared" si="2"/>
        <v>0</v>
      </c>
      <c r="K899" s="3">
        <f>IF(J899&gt;0,
        J899 * IF(G899&gt;0, G899/100,
            IFERROR( VLOOKUP(A899, Dividends!$A:$C, 3, FALSE) / VLOOKUP(A899, Prices!$A:$B, 2, FALSE), Inputs!$B$4)
        ) / 12,
        0)</f>
        <v>0</v>
      </c>
      <c r="L899" s="3">
        <f t="shared" si="3"/>
        <v>0</v>
      </c>
    </row>
    <row r="900" ht="15.75" customHeight="1">
      <c r="F900" s="3" t="str">
        <f>IFERROR(VLOOKUP(A900, Prices!A:B, 2, FALSE), )</f>
        <v/>
      </c>
      <c r="G900" s="3">
        <f>IFERROR(VLOOKUP(A900, Dividends!$A:$B, 2, FALSE),
       IFERROR( (VLOOKUP(A900, Dividends!$A:$C, 3, FALSE) / VLOOKUP(A900, Prices!$A:$B, 2, FALSE)) * 100,
                Inputs!$B$4*100 ))</f>
        <v>65</v>
      </c>
      <c r="H900" s="3">
        <f>IFERROR(SUMIF(Purchases!B:B, A900, Purchases!D:D), 0)</f>
        <v>0</v>
      </c>
      <c r="I900" s="3">
        <f t="shared" si="1"/>
        <v>0</v>
      </c>
      <c r="J900" s="3">
        <f t="shared" si="2"/>
        <v>0</v>
      </c>
      <c r="K900" s="3">
        <f>IF(J900&gt;0,
        J900 * IF(G900&gt;0, G900/100,
            IFERROR( VLOOKUP(A900, Dividends!$A:$C, 3, FALSE) / VLOOKUP(A900, Prices!$A:$B, 2, FALSE), Inputs!$B$4)
        ) / 12,
        0)</f>
        <v>0</v>
      </c>
      <c r="L900" s="3">
        <f t="shared" si="3"/>
        <v>0</v>
      </c>
    </row>
    <row r="901" ht="15.75" customHeight="1">
      <c r="F901" s="3" t="str">
        <f>IFERROR(VLOOKUP(A901, Prices!A:B, 2, FALSE), )</f>
        <v/>
      </c>
      <c r="G901" s="3">
        <f>IFERROR(VLOOKUP(A901, Dividends!$A:$B, 2, FALSE),
       IFERROR( (VLOOKUP(A901, Dividends!$A:$C, 3, FALSE) / VLOOKUP(A901, Prices!$A:$B, 2, FALSE)) * 100,
                Inputs!$B$4*100 ))</f>
        <v>65</v>
      </c>
      <c r="H901" s="3">
        <f>IFERROR(SUMIF(Purchases!B:B, A901, Purchases!D:D), 0)</f>
        <v>0</v>
      </c>
      <c r="I901" s="3">
        <f t="shared" si="1"/>
        <v>0</v>
      </c>
      <c r="J901" s="3">
        <f t="shared" si="2"/>
        <v>0</v>
      </c>
      <c r="K901" s="3">
        <f>IF(J901&gt;0,
        J901 * IF(G901&gt;0, G901/100,
            IFERROR( VLOOKUP(A901, Dividends!$A:$C, 3, FALSE) / VLOOKUP(A901, Prices!$A:$B, 2, FALSE), Inputs!$B$4)
        ) / 12,
        0)</f>
        <v>0</v>
      </c>
      <c r="L901" s="3">
        <f t="shared" si="3"/>
        <v>0</v>
      </c>
    </row>
    <row r="902" ht="15.75" customHeight="1">
      <c r="F902" s="3" t="str">
        <f>IFERROR(VLOOKUP(A902, Prices!A:B, 2, FALSE), )</f>
        <v/>
      </c>
      <c r="G902" s="3">
        <f>IFERROR(VLOOKUP(A902, Dividends!$A:$B, 2, FALSE),
       IFERROR( (VLOOKUP(A902, Dividends!$A:$C, 3, FALSE) / VLOOKUP(A902, Prices!$A:$B, 2, FALSE)) * 100,
                Inputs!$B$4*100 ))</f>
        <v>65</v>
      </c>
      <c r="H902" s="3">
        <f>IFERROR(SUMIF(Purchases!B:B, A902, Purchases!D:D), 0)</f>
        <v>0</v>
      </c>
      <c r="I902" s="3">
        <f t="shared" si="1"/>
        <v>0</v>
      </c>
      <c r="J902" s="3">
        <f t="shared" si="2"/>
        <v>0</v>
      </c>
      <c r="K902" s="3">
        <f>IF(J902&gt;0,
        J902 * IF(G902&gt;0, G902/100,
            IFERROR( VLOOKUP(A902, Dividends!$A:$C, 3, FALSE) / VLOOKUP(A902, Prices!$A:$B, 2, FALSE), Inputs!$B$4)
        ) / 12,
        0)</f>
        <v>0</v>
      </c>
      <c r="L902" s="3">
        <f t="shared" si="3"/>
        <v>0</v>
      </c>
    </row>
    <row r="903" ht="15.75" customHeight="1">
      <c r="F903" s="3" t="str">
        <f>IFERROR(VLOOKUP(A903, Prices!A:B, 2, FALSE), )</f>
        <v/>
      </c>
      <c r="G903" s="3">
        <f>IFERROR(VLOOKUP(A903, Dividends!$A:$B, 2, FALSE),
       IFERROR( (VLOOKUP(A903, Dividends!$A:$C, 3, FALSE) / VLOOKUP(A903, Prices!$A:$B, 2, FALSE)) * 100,
                Inputs!$B$4*100 ))</f>
        <v>65</v>
      </c>
      <c r="H903" s="3">
        <f>IFERROR(SUMIF(Purchases!B:B, A903, Purchases!D:D), 0)</f>
        <v>0</v>
      </c>
      <c r="I903" s="3">
        <f t="shared" si="1"/>
        <v>0</v>
      </c>
      <c r="J903" s="3">
        <f t="shared" si="2"/>
        <v>0</v>
      </c>
      <c r="K903" s="3">
        <f>IF(J903&gt;0,
        J903 * IF(G903&gt;0, G903/100,
            IFERROR( VLOOKUP(A903, Dividends!$A:$C, 3, FALSE) / VLOOKUP(A903, Prices!$A:$B, 2, FALSE), Inputs!$B$4)
        ) / 12,
        0)</f>
        <v>0</v>
      </c>
      <c r="L903" s="3">
        <f t="shared" si="3"/>
        <v>0</v>
      </c>
    </row>
    <row r="904" ht="15.75" customHeight="1">
      <c r="F904" s="3" t="str">
        <f>IFERROR(VLOOKUP(A904, Prices!A:B, 2, FALSE), )</f>
        <v/>
      </c>
      <c r="G904" s="3">
        <f>IFERROR(VLOOKUP(A904, Dividends!$A:$B, 2, FALSE),
       IFERROR( (VLOOKUP(A904, Dividends!$A:$C, 3, FALSE) / VLOOKUP(A904, Prices!$A:$B, 2, FALSE)) * 100,
                Inputs!$B$4*100 ))</f>
        <v>65</v>
      </c>
      <c r="H904" s="3">
        <f>IFERROR(SUMIF(Purchases!B:B, A904, Purchases!D:D), 0)</f>
        <v>0</v>
      </c>
      <c r="I904" s="3">
        <f t="shared" si="1"/>
        <v>0</v>
      </c>
      <c r="J904" s="3">
        <f t="shared" si="2"/>
        <v>0</v>
      </c>
      <c r="K904" s="3">
        <f>IF(J904&gt;0,
        J904 * IF(G904&gt;0, G904/100,
            IFERROR( VLOOKUP(A904, Dividends!$A:$C, 3, FALSE) / VLOOKUP(A904, Prices!$A:$B, 2, FALSE), Inputs!$B$4)
        ) / 12,
        0)</f>
        <v>0</v>
      </c>
      <c r="L904" s="3">
        <f t="shared" si="3"/>
        <v>0</v>
      </c>
    </row>
    <row r="905" ht="15.75" customHeight="1">
      <c r="F905" s="3" t="str">
        <f>IFERROR(VLOOKUP(A905, Prices!A:B, 2, FALSE), )</f>
        <v/>
      </c>
      <c r="G905" s="3">
        <f>IFERROR(VLOOKUP(A905, Dividends!$A:$B, 2, FALSE),
       IFERROR( (VLOOKUP(A905, Dividends!$A:$C, 3, FALSE) / VLOOKUP(A905, Prices!$A:$B, 2, FALSE)) * 100,
                Inputs!$B$4*100 ))</f>
        <v>65</v>
      </c>
      <c r="H905" s="3">
        <f>IFERROR(SUMIF(Purchases!B:B, A905, Purchases!D:D), 0)</f>
        <v>0</v>
      </c>
      <c r="I905" s="3">
        <f t="shared" si="1"/>
        <v>0</v>
      </c>
      <c r="J905" s="3">
        <f t="shared" si="2"/>
        <v>0</v>
      </c>
      <c r="K905" s="3">
        <f>IF(J905&gt;0,
        J905 * IF(G905&gt;0, G905/100,
            IFERROR( VLOOKUP(A905, Dividends!$A:$C, 3, FALSE) / VLOOKUP(A905, Prices!$A:$B, 2, FALSE), Inputs!$B$4)
        ) / 12,
        0)</f>
        <v>0</v>
      </c>
      <c r="L905" s="3">
        <f t="shared" si="3"/>
        <v>0</v>
      </c>
    </row>
    <row r="906" ht="15.75" customHeight="1">
      <c r="F906" s="3" t="str">
        <f>IFERROR(VLOOKUP(A906, Prices!A:B, 2, FALSE), )</f>
        <v/>
      </c>
      <c r="G906" s="3">
        <f>IFERROR(VLOOKUP(A906, Dividends!$A:$B, 2, FALSE),
       IFERROR( (VLOOKUP(A906, Dividends!$A:$C, 3, FALSE) / VLOOKUP(A906, Prices!$A:$B, 2, FALSE)) * 100,
                Inputs!$B$4*100 ))</f>
        <v>65</v>
      </c>
      <c r="H906" s="3">
        <f>IFERROR(SUMIF(Purchases!B:B, A906, Purchases!D:D), 0)</f>
        <v>0</v>
      </c>
      <c r="I906" s="3">
        <f t="shared" si="1"/>
        <v>0</v>
      </c>
      <c r="J906" s="3">
        <f t="shared" si="2"/>
        <v>0</v>
      </c>
      <c r="K906" s="3">
        <f>IF(J906&gt;0,
        J906 * IF(G906&gt;0, G906/100,
            IFERROR( VLOOKUP(A906, Dividends!$A:$C, 3, FALSE) / VLOOKUP(A906, Prices!$A:$B, 2, FALSE), Inputs!$B$4)
        ) / 12,
        0)</f>
        <v>0</v>
      </c>
      <c r="L906" s="3">
        <f t="shared" si="3"/>
        <v>0</v>
      </c>
    </row>
    <row r="907" ht="15.75" customHeight="1">
      <c r="F907" s="3" t="str">
        <f>IFERROR(VLOOKUP(A907, Prices!A:B, 2, FALSE), )</f>
        <v/>
      </c>
      <c r="G907" s="3">
        <f>IFERROR(VLOOKUP(A907, Dividends!$A:$B, 2, FALSE),
       IFERROR( (VLOOKUP(A907, Dividends!$A:$C, 3, FALSE) / VLOOKUP(A907, Prices!$A:$B, 2, FALSE)) * 100,
                Inputs!$B$4*100 ))</f>
        <v>65</v>
      </c>
      <c r="H907" s="3">
        <f>IFERROR(SUMIF(Purchases!B:B, A907, Purchases!D:D), 0)</f>
        <v>0</v>
      </c>
      <c r="I907" s="3">
        <f t="shared" si="1"/>
        <v>0</v>
      </c>
      <c r="J907" s="3">
        <f t="shared" si="2"/>
        <v>0</v>
      </c>
      <c r="K907" s="3">
        <f>IF(J907&gt;0,
        J907 * IF(G907&gt;0, G907/100,
            IFERROR( VLOOKUP(A907, Dividends!$A:$C, 3, FALSE) / VLOOKUP(A907, Prices!$A:$B, 2, FALSE), Inputs!$B$4)
        ) / 12,
        0)</f>
        <v>0</v>
      </c>
      <c r="L907" s="3">
        <f t="shared" si="3"/>
        <v>0</v>
      </c>
    </row>
    <row r="908" ht="15.75" customHeight="1">
      <c r="F908" s="3" t="str">
        <f>IFERROR(VLOOKUP(A908, Prices!A:B, 2, FALSE), )</f>
        <v/>
      </c>
      <c r="G908" s="3">
        <f>IFERROR(VLOOKUP(A908, Dividends!$A:$B, 2, FALSE),
       IFERROR( (VLOOKUP(A908, Dividends!$A:$C, 3, FALSE) / VLOOKUP(A908, Prices!$A:$B, 2, FALSE)) * 100,
                Inputs!$B$4*100 ))</f>
        <v>65</v>
      </c>
      <c r="H908" s="3">
        <f>IFERROR(SUMIF(Purchases!B:B, A908, Purchases!D:D), 0)</f>
        <v>0</v>
      </c>
      <c r="I908" s="3">
        <f t="shared" si="1"/>
        <v>0</v>
      </c>
      <c r="J908" s="3">
        <f t="shared" si="2"/>
        <v>0</v>
      </c>
      <c r="K908" s="3">
        <f>IF(J908&gt;0,
        J908 * IF(G908&gt;0, G908/100,
            IFERROR( VLOOKUP(A908, Dividends!$A:$C, 3, FALSE) / VLOOKUP(A908, Prices!$A:$B, 2, FALSE), Inputs!$B$4)
        ) / 12,
        0)</f>
        <v>0</v>
      </c>
      <c r="L908" s="3">
        <f t="shared" si="3"/>
        <v>0</v>
      </c>
    </row>
    <row r="909" ht="15.75" customHeight="1">
      <c r="F909" s="3" t="str">
        <f>IFERROR(VLOOKUP(A909, Prices!A:B, 2, FALSE), )</f>
        <v/>
      </c>
      <c r="G909" s="3">
        <f>IFERROR(VLOOKUP(A909, Dividends!$A:$B, 2, FALSE),
       IFERROR( (VLOOKUP(A909, Dividends!$A:$C, 3, FALSE) / VLOOKUP(A909, Prices!$A:$B, 2, FALSE)) * 100,
                Inputs!$B$4*100 ))</f>
        <v>65</v>
      </c>
      <c r="H909" s="3">
        <f>IFERROR(SUMIF(Purchases!B:B, A909, Purchases!D:D), 0)</f>
        <v>0</v>
      </c>
      <c r="I909" s="3">
        <f t="shared" si="1"/>
        <v>0</v>
      </c>
      <c r="J909" s="3">
        <f t="shared" si="2"/>
        <v>0</v>
      </c>
      <c r="K909" s="3">
        <f>IF(J909&gt;0,
        J909 * IF(G909&gt;0, G909/100,
            IFERROR( VLOOKUP(A909, Dividends!$A:$C, 3, FALSE) / VLOOKUP(A909, Prices!$A:$B, 2, FALSE), Inputs!$B$4)
        ) / 12,
        0)</f>
        <v>0</v>
      </c>
      <c r="L909" s="3">
        <f t="shared" si="3"/>
        <v>0</v>
      </c>
    </row>
    <row r="910" ht="15.75" customHeight="1">
      <c r="F910" s="3" t="str">
        <f>IFERROR(VLOOKUP(A910, Prices!A:B, 2, FALSE), )</f>
        <v/>
      </c>
      <c r="G910" s="3">
        <f>IFERROR(VLOOKUP(A910, Dividends!$A:$B, 2, FALSE),
       IFERROR( (VLOOKUP(A910, Dividends!$A:$C, 3, FALSE) / VLOOKUP(A910, Prices!$A:$B, 2, FALSE)) * 100,
                Inputs!$B$4*100 ))</f>
        <v>65</v>
      </c>
      <c r="H910" s="3">
        <f>IFERROR(SUMIF(Purchases!B:B, A910, Purchases!D:D), 0)</f>
        <v>0</v>
      </c>
      <c r="I910" s="3">
        <f t="shared" si="1"/>
        <v>0</v>
      </c>
      <c r="J910" s="3">
        <f t="shared" si="2"/>
        <v>0</v>
      </c>
      <c r="K910" s="3">
        <f>IF(J910&gt;0,
        J910 * IF(G910&gt;0, G910/100,
            IFERROR( VLOOKUP(A910, Dividends!$A:$C, 3, FALSE) / VLOOKUP(A910, Prices!$A:$B, 2, FALSE), Inputs!$B$4)
        ) / 12,
        0)</f>
        <v>0</v>
      </c>
      <c r="L910" s="3">
        <f t="shared" si="3"/>
        <v>0</v>
      </c>
    </row>
    <row r="911" ht="15.75" customHeight="1">
      <c r="F911" s="3" t="str">
        <f>IFERROR(VLOOKUP(A911, Prices!A:B, 2, FALSE), )</f>
        <v/>
      </c>
      <c r="G911" s="3">
        <f>IFERROR(VLOOKUP(A911, Dividends!$A:$B, 2, FALSE),
       IFERROR( (VLOOKUP(A911, Dividends!$A:$C, 3, FALSE) / VLOOKUP(A911, Prices!$A:$B, 2, FALSE)) * 100,
                Inputs!$B$4*100 ))</f>
        <v>65</v>
      </c>
      <c r="H911" s="3">
        <f>IFERROR(SUMIF(Purchases!B:B, A911, Purchases!D:D), 0)</f>
        <v>0</v>
      </c>
      <c r="I911" s="3">
        <f t="shared" si="1"/>
        <v>0</v>
      </c>
      <c r="J911" s="3">
        <f t="shared" si="2"/>
        <v>0</v>
      </c>
      <c r="K911" s="3">
        <f>IF(J911&gt;0,
        J911 * IF(G911&gt;0, G911/100,
            IFERROR( VLOOKUP(A911, Dividends!$A:$C, 3, FALSE) / VLOOKUP(A911, Prices!$A:$B, 2, FALSE), Inputs!$B$4)
        ) / 12,
        0)</f>
        <v>0</v>
      </c>
      <c r="L911" s="3">
        <f t="shared" si="3"/>
        <v>0</v>
      </c>
    </row>
    <row r="912" ht="15.75" customHeight="1">
      <c r="F912" s="3" t="str">
        <f>IFERROR(VLOOKUP(A912, Prices!A:B, 2, FALSE), )</f>
        <v/>
      </c>
      <c r="G912" s="3">
        <f>IFERROR(VLOOKUP(A912, Dividends!$A:$B, 2, FALSE),
       IFERROR( (VLOOKUP(A912, Dividends!$A:$C, 3, FALSE) / VLOOKUP(A912, Prices!$A:$B, 2, FALSE)) * 100,
                Inputs!$B$4*100 ))</f>
        <v>65</v>
      </c>
      <c r="H912" s="3">
        <f>IFERROR(SUMIF(Purchases!B:B, A912, Purchases!D:D), 0)</f>
        <v>0</v>
      </c>
      <c r="I912" s="3">
        <f t="shared" si="1"/>
        <v>0</v>
      </c>
      <c r="J912" s="3">
        <f t="shared" si="2"/>
        <v>0</v>
      </c>
      <c r="K912" s="3">
        <f>IF(J912&gt;0,
        J912 * IF(G912&gt;0, G912/100,
            IFERROR( VLOOKUP(A912, Dividends!$A:$C, 3, FALSE) / VLOOKUP(A912, Prices!$A:$B, 2, FALSE), Inputs!$B$4)
        ) / 12,
        0)</f>
        <v>0</v>
      </c>
      <c r="L912" s="3">
        <f t="shared" si="3"/>
        <v>0</v>
      </c>
    </row>
    <row r="913" ht="15.75" customHeight="1">
      <c r="F913" s="3" t="str">
        <f>IFERROR(VLOOKUP(A913, Prices!A:B, 2, FALSE), )</f>
        <v/>
      </c>
      <c r="G913" s="3">
        <f>IFERROR(VLOOKUP(A913, Dividends!$A:$B, 2, FALSE),
       IFERROR( (VLOOKUP(A913, Dividends!$A:$C, 3, FALSE) / VLOOKUP(A913, Prices!$A:$B, 2, FALSE)) * 100,
                Inputs!$B$4*100 ))</f>
        <v>65</v>
      </c>
      <c r="H913" s="3">
        <f>IFERROR(SUMIF(Purchases!B:B, A913, Purchases!D:D), 0)</f>
        <v>0</v>
      </c>
      <c r="I913" s="3">
        <f t="shared" si="1"/>
        <v>0</v>
      </c>
      <c r="J913" s="3">
        <f t="shared" si="2"/>
        <v>0</v>
      </c>
      <c r="K913" s="3">
        <f>IF(J913&gt;0,
        J913 * IF(G913&gt;0, G913/100,
            IFERROR( VLOOKUP(A913, Dividends!$A:$C, 3, FALSE) / VLOOKUP(A913, Prices!$A:$B, 2, FALSE), Inputs!$B$4)
        ) / 12,
        0)</f>
        <v>0</v>
      </c>
      <c r="L913" s="3">
        <f t="shared" si="3"/>
        <v>0</v>
      </c>
    </row>
    <row r="914" ht="15.75" customHeight="1">
      <c r="F914" s="3" t="str">
        <f>IFERROR(VLOOKUP(A914, Prices!A:B, 2, FALSE), )</f>
        <v/>
      </c>
      <c r="G914" s="3">
        <f>IFERROR(VLOOKUP(A914, Dividends!$A:$B, 2, FALSE),
       IFERROR( (VLOOKUP(A914, Dividends!$A:$C, 3, FALSE) / VLOOKUP(A914, Prices!$A:$B, 2, FALSE)) * 100,
                Inputs!$B$4*100 ))</f>
        <v>65</v>
      </c>
      <c r="H914" s="3">
        <f>IFERROR(SUMIF(Purchases!B:B, A914, Purchases!D:D), 0)</f>
        <v>0</v>
      </c>
      <c r="I914" s="3">
        <f t="shared" si="1"/>
        <v>0</v>
      </c>
      <c r="J914" s="3">
        <f t="shared" si="2"/>
        <v>0</v>
      </c>
      <c r="K914" s="3">
        <f>IF(J914&gt;0,
        J914 * IF(G914&gt;0, G914/100,
            IFERROR( VLOOKUP(A914, Dividends!$A:$C, 3, FALSE) / VLOOKUP(A914, Prices!$A:$B, 2, FALSE), Inputs!$B$4)
        ) / 12,
        0)</f>
        <v>0</v>
      </c>
      <c r="L914" s="3">
        <f t="shared" si="3"/>
        <v>0</v>
      </c>
    </row>
    <row r="915" ht="15.75" customHeight="1">
      <c r="F915" s="3" t="str">
        <f>IFERROR(VLOOKUP(A915, Prices!A:B, 2, FALSE), )</f>
        <v/>
      </c>
      <c r="G915" s="3">
        <f>IFERROR(VLOOKUP(A915, Dividends!$A:$B, 2, FALSE),
       IFERROR( (VLOOKUP(A915, Dividends!$A:$C, 3, FALSE) / VLOOKUP(A915, Prices!$A:$B, 2, FALSE)) * 100,
                Inputs!$B$4*100 ))</f>
        <v>65</v>
      </c>
      <c r="H915" s="3">
        <f>IFERROR(SUMIF(Purchases!B:B, A915, Purchases!D:D), 0)</f>
        <v>0</v>
      </c>
      <c r="I915" s="3">
        <f t="shared" si="1"/>
        <v>0</v>
      </c>
      <c r="J915" s="3">
        <f t="shared" si="2"/>
        <v>0</v>
      </c>
      <c r="K915" s="3">
        <f>IF(J915&gt;0,
        J915 * IF(G915&gt;0, G915/100,
            IFERROR( VLOOKUP(A915, Dividends!$A:$C, 3, FALSE) / VLOOKUP(A915, Prices!$A:$B, 2, FALSE), Inputs!$B$4)
        ) / 12,
        0)</f>
        <v>0</v>
      </c>
      <c r="L915" s="3">
        <f t="shared" si="3"/>
        <v>0</v>
      </c>
    </row>
    <row r="916" ht="15.75" customHeight="1">
      <c r="F916" s="3" t="str">
        <f>IFERROR(VLOOKUP(A916, Prices!A:B, 2, FALSE), )</f>
        <v/>
      </c>
      <c r="G916" s="3">
        <f>IFERROR(VLOOKUP(A916, Dividends!$A:$B, 2, FALSE),
       IFERROR( (VLOOKUP(A916, Dividends!$A:$C, 3, FALSE) / VLOOKUP(A916, Prices!$A:$B, 2, FALSE)) * 100,
                Inputs!$B$4*100 ))</f>
        <v>65</v>
      </c>
      <c r="H916" s="3">
        <f>IFERROR(SUMIF(Purchases!B:B, A916, Purchases!D:D), 0)</f>
        <v>0</v>
      </c>
      <c r="I916" s="3">
        <f t="shared" si="1"/>
        <v>0</v>
      </c>
      <c r="J916" s="3">
        <f t="shared" si="2"/>
        <v>0</v>
      </c>
      <c r="K916" s="3">
        <f>IF(J916&gt;0,
        J916 * IF(G916&gt;0, G916/100,
            IFERROR( VLOOKUP(A916, Dividends!$A:$C, 3, FALSE) / VLOOKUP(A916, Prices!$A:$B, 2, FALSE), Inputs!$B$4)
        ) / 12,
        0)</f>
        <v>0</v>
      </c>
      <c r="L916" s="3">
        <f t="shared" si="3"/>
        <v>0</v>
      </c>
    </row>
    <row r="917" ht="15.75" customHeight="1">
      <c r="F917" s="3" t="str">
        <f>IFERROR(VLOOKUP(A917, Prices!A:B, 2, FALSE), )</f>
        <v/>
      </c>
      <c r="G917" s="3">
        <f>IFERROR(VLOOKUP(A917, Dividends!$A:$B, 2, FALSE),
       IFERROR( (VLOOKUP(A917, Dividends!$A:$C, 3, FALSE) / VLOOKUP(A917, Prices!$A:$B, 2, FALSE)) * 100,
                Inputs!$B$4*100 ))</f>
        <v>65</v>
      </c>
      <c r="H917" s="3">
        <f>IFERROR(SUMIF(Purchases!B:B, A917, Purchases!D:D), 0)</f>
        <v>0</v>
      </c>
      <c r="I917" s="3">
        <f t="shared" si="1"/>
        <v>0</v>
      </c>
      <c r="J917" s="3">
        <f t="shared" si="2"/>
        <v>0</v>
      </c>
      <c r="K917" s="3">
        <f>IF(J917&gt;0,
        J917 * IF(G917&gt;0, G917/100,
            IFERROR( VLOOKUP(A917, Dividends!$A:$C, 3, FALSE) / VLOOKUP(A917, Prices!$A:$B, 2, FALSE), Inputs!$B$4)
        ) / 12,
        0)</f>
        <v>0</v>
      </c>
      <c r="L917" s="3">
        <f t="shared" si="3"/>
        <v>0</v>
      </c>
    </row>
    <row r="918" ht="15.75" customHeight="1">
      <c r="F918" s="3" t="str">
        <f>IFERROR(VLOOKUP(A918, Prices!A:B, 2, FALSE), )</f>
        <v/>
      </c>
      <c r="G918" s="3">
        <f>IFERROR(VLOOKUP(A918, Dividends!$A:$B, 2, FALSE),
       IFERROR( (VLOOKUP(A918, Dividends!$A:$C, 3, FALSE) / VLOOKUP(A918, Prices!$A:$B, 2, FALSE)) * 100,
                Inputs!$B$4*100 ))</f>
        <v>65</v>
      </c>
      <c r="H918" s="3">
        <f>IFERROR(SUMIF(Purchases!B:B, A918, Purchases!D:D), 0)</f>
        <v>0</v>
      </c>
      <c r="I918" s="3">
        <f t="shared" si="1"/>
        <v>0</v>
      </c>
      <c r="J918" s="3">
        <f t="shared" si="2"/>
        <v>0</v>
      </c>
      <c r="K918" s="3">
        <f>IF(J918&gt;0,
        J918 * IF(G918&gt;0, G918/100,
            IFERROR( VLOOKUP(A918, Dividends!$A:$C, 3, FALSE) / VLOOKUP(A918, Prices!$A:$B, 2, FALSE), Inputs!$B$4)
        ) / 12,
        0)</f>
        <v>0</v>
      </c>
      <c r="L918" s="3">
        <f t="shared" si="3"/>
        <v>0</v>
      </c>
    </row>
    <row r="919" ht="15.75" customHeight="1">
      <c r="F919" s="3" t="str">
        <f>IFERROR(VLOOKUP(A919, Prices!A:B, 2, FALSE), )</f>
        <v/>
      </c>
      <c r="G919" s="3">
        <f>IFERROR(VLOOKUP(A919, Dividends!$A:$B, 2, FALSE),
       IFERROR( (VLOOKUP(A919, Dividends!$A:$C, 3, FALSE) / VLOOKUP(A919, Prices!$A:$B, 2, FALSE)) * 100,
                Inputs!$B$4*100 ))</f>
        <v>65</v>
      </c>
      <c r="H919" s="3">
        <f>IFERROR(SUMIF(Purchases!B:B, A919, Purchases!D:D), 0)</f>
        <v>0</v>
      </c>
      <c r="I919" s="3">
        <f t="shared" si="1"/>
        <v>0</v>
      </c>
      <c r="J919" s="3">
        <f t="shared" si="2"/>
        <v>0</v>
      </c>
      <c r="K919" s="3">
        <f>IF(J919&gt;0,
        J919 * IF(G919&gt;0, G919/100,
            IFERROR( VLOOKUP(A919, Dividends!$A:$C, 3, FALSE) / VLOOKUP(A919, Prices!$A:$B, 2, FALSE), Inputs!$B$4)
        ) / 12,
        0)</f>
        <v>0</v>
      </c>
      <c r="L919" s="3">
        <f t="shared" si="3"/>
        <v>0</v>
      </c>
    </row>
    <row r="920" ht="15.75" customHeight="1">
      <c r="F920" s="3" t="str">
        <f>IFERROR(VLOOKUP(A920, Prices!A:B, 2, FALSE), )</f>
        <v/>
      </c>
      <c r="G920" s="3">
        <f>IFERROR(VLOOKUP(A920, Dividends!$A:$B, 2, FALSE),
       IFERROR( (VLOOKUP(A920, Dividends!$A:$C, 3, FALSE) / VLOOKUP(A920, Prices!$A:$B, 2, FALSE)) * 100,
                Inputs!$B$4*100 ))</f>
        <v>65</v>
      </c>
      <c r="H920" s="3">
        <f>IFERROR(SUMIF(Purchases!B:B, A920, Purchases!D:D), 0)</f>
        <v>0</v>
      </c>
      <c r="I920" s="3">
        <f t="shared" si="1"/>
        <v>0</v>
      </c>
      <c r="J920" s="3">
        <f t="shared" si="2"/>
        <v>0</v>
      </c>
      <c r="K920" s="3">
        <f>IF(J920&gt;0,
        J920 * IF(G920&gt;0, G920/100,
            IFERROR( VLOOKUP(A920, Dividends!$A:$C, 3, FALSE) / VLOOKUP(A920, Prices!$A:$B, 2, FALSE), Inputs!$B$4)
        ) / 12,
        0)</f>
        <v>0</v>
      </c>
      <c r="L920" s="3">
        <f t="shared" si="3"/>
        <v>0</v>
      </c>
    </row>
    <row r="921" ht="15.75" customHeight="1">
      <c r="F921" s="3" t="str">
        <f>IFERROR(VLOOKUP(A921, Prices!A:B, 2, FALSE), )</f>
        <v/>
      </c>
      <c r="G921" s="3">
        <f>IFERROR(VLOOKUP(A921, Dividends!$A:$B, 2, FALSE),
       IFERROR( (VLOOKUP(A921, Dividends!$A:$C, 3, FALSE) / VLOOKUP(A921, Prices!$A:$B, 2, FALSE)) * 100,
                Inputs!$B$4*100 ))</f>
        <v>65</v>
      </c>
      <c r="H921" s="3">
        <f>IFERROR(SUMIF(Purchases!B:B, A921, Purchases!D:D), 0)</f>
        <v>0</v>
      </c>
      <c r="I921" s="3">
        <f t="shared" si="1"/>
        <v>0</v>
      </c>
      <c r="J921" s="3">
        <f t="shared" si="2"/>
        <v>0</v>
      </c>
      <c r="K921" s="3">
        <f>IF(J921&gt;0,
        J921 * IF(G921&gt;0, G921/100,
            IFERROR( VLOOKUP(A921, Dividends!$A:$C, 3, FALSE) / VLOOKUP(A921, Prices!$A:$B, 2, FALSE), Inputs!$B$4)
        ) / 12,
        0)</f>
        <v>0</v>
      </c>
      <c r="L921" s="3">
        <f t="shared" si="3"/>
        <v>0</v>
      </c>
    </row>
    <row r="922" ht="15.75" customHeight="1">
      <c r="F922" s="3" t="str">
        <f>IFERROR(VLOOKUP(A922, Prices!A:B, 2, FALSE), )</f>
        <v/>
      </c>
      <c r="G922" s="3">
        <f>IFERROR(VLOOKUP(A922, Dividends!$A:$B, 2, FALSE),
       IFERROR( (VLOOKUP(A922, Dividends!$A:$C, 3, FALSE) / VLOOKUP(A922, Prices!$A:$B, 2, FALSE)) * 100,
                Inputs!$B$4*100 ))</f>
        <v>65</v>
      </c>
      <c r="H922" s="3">
        <f>IFERROR(SUMIF(Purchases!B:B, A922, Purchases!D:D), 0)</f>
        <v>0</v>
      </c>
      <c r="I922" s="3">
        <f t="shared" si="1"/>
        <v>0</v>
      </c>
      <c r="J922" s="3">
        <f t="shared" si="2"/>
        <v>0</v>
      </c>
      <c r="K922" s="3">
        <f>IF(J922&gt;0,
        J922 * IF(G922&gt;0, G922/100,
            IFERROR( VLOOKUP(A922, Dividends!$A:$C, 3, FALSE) / VLOOKUP(A922, Prices!$A:$B, 2, FALSE), Inputs!$B$4)
        ) / 12,
        0)</f>
        <v>0</v>
      </c>
      <c r="L922" s="3">
        <f t="shared" si="3"/>
        <v>0</v>
      </c>
    </row>
    <row r="923" ht="15.75" customHeight="1">
      <c r="F923" s="3" t="str">
        <f>IFERROR(VLOOKUP(A923, Prices!A:B, 2, FALSE), )</f>
        <v/>
      </c>
      <c r="G923" s="3">
        <f>IFERROR(VLOOKUP(A923, Dividends!$A:$B, 2, FALSE),
       IFERROR( (VLOOKUP(A923, Dividends!$A:$C, 3, FALSE) / VLOOKUP(A923, Prices!$A:$B, 2, FALSE)) * 100,
                Inputs!$B$4*100 ))</f>
        <v>65</v>
      </c>
      <c r="H923" s="3">
        <f>IFERROR(SUMIF(Purchases!B:B, A923, Purchases!D:D), 0)</f>
        <v>0</v>
      </c>
      <c r="I923" s="3">
        <f t="shared" si="1"/>
        <v>0</v>
      </c>
      <c r="J923" s="3">
        <f t="shared" si="2"/>
        <v>0</v>
      </c>
      <c r="K923" s="3">
        <f>IF(J923&gt;0,
        J923 * IF(G923&gt;0, G923/100,
            IFERROR( VLOOKUP(A923, Dividends!$A:$C, 3, FALSE) / VLOOKUP(A923, Prices!$A:$B, 2, FALSE), Inputs!$B$4)
        ) / 12,
        0)</f>
        <v>0</v>
      </c>
      <c r="L923" s="3">
        <f t="shared" si="3"/>
        <v>0</v>
      </c>
    </row>
    <row r="924" ht="15.75" customHeight="1">
      <c r="F924" s="3" t="str">
        <f>IFERROR(VLOOKUP(A924, Prices!A:B, 2, FALSE), )</f>
        <v/>
      </c>
      <c r="G924" s="3">
        <f>IFERROR(VLOOKUP(A924, Dividends!$A:$B, 2, FALSE),
       IFERROR( (VLOOKUP(A924, Dividends!$A:$C, 3, FALSE) / VLOOKUP(A924, Prices!$A:$B, 2, FALSE)) * 100,
                Inputs!$B$4*100 ))</f>
        <v>65</v>
      </c>
      <c r="H924" s="3">
        <f>IFERROR(SUMIF(Purchases!B:B, A924, Purchases!D:D), 0)</f>
        <v>0</v>
      </c>
      <c r="I924" s="3">
        <f t="shared" si="1"/>
        <v>0</v>
      </c>
      <c r="J924" s="3">
        <f t="shared" si="2"/>
        <v>0</v>
      </c>
      <c r="K924" s="3">
        <f>IF(J924&gt;0,
        J924 * IF(G924&gt;0, G924/100,
            IFERROR( VLOOKUP(A924, Dividends!$A:$C, 3, FALSE) / VLOOKUP(A924, Prices!$A:$B, 2, FALSE), Inputs!$B$4)
        ) / 12,
        0)</f>
        <v>0</v>
      </c>
      <c r="L924" s="3">
        <f t="shared" si="3"/>
        <v>0</v>
      </c>
    </row>
    <row r="925" ht="15.75" customHeight="1">
      <c r="F925" s="3" t="str">
        <f>IFERROR(VLOOKUP(A925, Prices!A:B, 2, FALSE), )</f>
        <v/>
      </c>
      <c r="G925" s="3">
        <f>IFERROR(VLOOKUP(A925, Dividends!$A:$B, 2, FALSE),
       IFERROR( (VLOOKUP(A925, Dividends!$A:$C, 3, FALSE) / VLOOKUP(A925, Prices!$A:$B, 2, FALSE)) * 100,
                Inputs!$B$4*100 ))</f>
        <v>65</v>
      </c>
      <c r="H925" s="3">
        <f>IFERROR(SUMIF(Purchases!B:B, A925, Purchases!D:D), 0)</f>
        <v>0</v>
      </c>
      <c r="I925" s="3">
        <f t="shared" si="1"/>
        <v>0</v>
      </c>
      <c r="J925" s="3">
        <f t="shared" si="2"/>
        <v>0</v>
      </c>
      <c r="K925" s="3">
        <f>IF(J925&gt;0,
        J925 * IF(G925&gt;0, G925/100,
            IFERROR( VLOOKUP(A925, Dividends!$A:$C, 3, FALSE) / VLOOKUP(A925, Prices!$A:$B, 2, FALSE), Inputs!$B$4)
        ) / 12,
        0)</f>
        <v>0</v>
      </c>
      <c r="L925" s="3">
        <f t="shared" si="3"/>
        <v>0</v>
      </c>
    </row>
    <row r="926" ht="15.75" customHeight="1">
      <c r="F926" s="3" t="str">
        <f>IFERROR(VLOOKUP(A926, Prices!A:B, 2, FALSE), )</f>
        <v/>
      </c>
      <c r="G926" s="3">
        <f>IFERROR(VLOOKUP(A926, Dividends!$A:$B, 2, FALSE),
       IFERROR( (VLOOKUP(A926, Dividends!$A:$C, 3, FALSE) / VLOOKUP(A926, Prices!$A:$B, 2, FALSE)) * 100,
                Inputs!$B$4*100 ))</f>
        <v>65</v>
      </c>
      <c r="H926" s="3">
        <f>IFERROR(SUMIF(Purchases!B:B, A926, Purchases!D:D), 0)</f>
        <v>0</v>
      </c>
      <c r="I926" s="3">
        <f t="shared" si="1"/>
        <v>0</v>
      </c>
      <c r="J926" s="3">
        <f t="shared" si="2"/>
        <v>0</v>
      </c>
      <c r="K926" s="3">
        <f>IF(J926&gt;0,
        J926 * IF(G926&gt;0, G926/100,
            IFERROR( VLOOKUP(A926, Dividends!$A:$C, 3, FALSE) / VLOOKUP(A926, Prices!$A:$B, 2, FALSE), Inputs!$B$4)
        ) / 12,
        0)</f>
        <v>0</v>
      </c>
      <c r="L926" s="3">
        <f t="shared" si="3"/>
        <v>0</v>
      </c>
    </row>
    <row r="927" ht="15.75" customHeight="1">
      <c r="F927" s="3" t="str">
        <f>IFERROR(VLOOKUP(A927, Prices!A:B, 2, FALSE), )</f>
        <v/>
      </c>
      <c r="G927" s="3">
        <f>IFERROR(VLOOKUP(A927, Dividends!$A:$B, 2, FALSE),
       IFERROR( (VLOOKUP(A927, Dividends!$A:$C, 3, FALSE) / VLOOKUP(A927, Prices!$A:$B, 2, FALSE)) * 100,
                Inputs!$B$4*100 ))</f>
        <v>65</v>
      </c>
      <c r="H927" s="3">
        <f>IFERROR(SUMIF(Purchases!B:B, A927, Purchases!D:D), 0)</f>
        <v>0</v>
      </c>
      <c r="I927" s="3">
        <f t="shared" si="1"/>
        <v>0</v>
      </c>
      <c r="J927" s="3">
        <f t="shared" si="2"/>
        <v>0</v>
      </c>
      <c r="K927" s="3">
        <f>IF(J927&gt;0,
        J927 * IF(G927&gt;0, G927/100,
            IFERROR( VLOOKUP(A927, Dividends!$A:$C, 3, FALSE) / VLOOKUP(A927, Prices!$A:$B, 2, FALSE), Inputs!$B$4)
        ) / 12,
        0)</f>
        <v>0</v>
      </c>
      <c r="L927" s="3">
        <f t="shared" si="3"/>
        <v>0</v>
      </c>
    </row>
    <row r="928" ht="15.75" customHeight="1">
      <c r="F928" s="3" t="str">
        <f>IFERROR(VLOOKUP(A928, Prices!A:B, 2, FALSE), )</f>
        <v/>
      </c>
      <c r="G928" s="3">
        <f>IFERROR(VLOOKUP(A928, Dividends!$A:$B, 2, FALSE),
       IFERROR( (VLOOKUP(A928, Dividends!$A:$C, 3, FALSE) / VLOOKUP(A928, Prices!$A:$B, 2, FALSE)) * 100,
                Inputs!$B$4*100 ))</f>
        <v>65</v>
      </c>
      <c r="H928" s="3">
        <f>IFERROR(SUMIF(Purchases!B:B, A928, Purchases!D:D), 0)</f>
        <v>0</v>
      </c>
      <c r="I928" s="3">
        <f t="shared" si="1"/>
        <v>0</v>
      </c>
      <c r="J928" s="3">
        <f t="shared" si="2"/>
        <v>0</v>
      </c>
      <c r="K928" s="3">
        <f>IF(J928&gt;0,
        J928 * IF(G928&gt;0, G928/100,
            IFERROR( VLOOKUP(A928, Dividends!$A:$C, 3, FALSE) / VLOOKUP(A928, Prices!$A:$B, 2, FALSE), Inputs!$B$4)
        ) / 12,
        0)</f>
        <v>0</v>
      </c>
      <c r="L928" s="3">
        <f t="shared" si="3"/>
        <v>0</v>
      </c>
    </row>
    <row r="929" ht="15.75" customHeight="1">
      <c r="F929" s="3" t="str">
        <f>IFERROR(VLOOKUP(A929, Prices!A:B, 2, FALSE), )</f>
        <v/>
      </c>
      <c r="G929" s="3">
        <f>IFERROR(VLOOKUP(A929, Dividends!$A:$B, 2, FALSE),
       IFERROR( (VLOOKUP(A929, Dividends!$A:$C, 3, FALSE) / VLOOKUP(A929, Prices!$A:$B, 2, FALSE)) * 100,
                Inputs!$B$4*100 ))</f>
        <v>65</v>
      </c>
      <c r="H929" s="3">
        <f>IFERROR(SUMIF(Purchases!B:B, A929, Purchases!D:D), 0)</f>
        <v>0</v>
      </c>
      <c r="I929" s="3">
        <f t="shared" si="1"/>
        <v>0</v>
      </c>
      <c r="J929" s="3">
        <f t="shared" si="2"/>
        <v>0</v>
      </c>
      <c r="K929" s="3">
        <f>IF(J929&gt;0,
        J929 * IF(G929&gt;0, G929/100,
            IFERROR( VLOOKUP(A929, Dividends!$A:$C, 3, FALSE) / VLOOKUP(A929, Prices!$A:$B, 2, FALSE), Inputs!$B$4)
        ) / 12,
        0)</f>
        <v>0</v>
      </c>
      <c r="L929" s="3">
        <f t="shared" si="3"/>
        <v>0</v>
      </c>
    </row>
    <row r="930" ht="15.75" customHeight="1">
      <c r="F930" s="3" t="str">
        <f>IFERROR(VLOOKUP(A930, Prices!A:B, 2, FALSE), )</f>
        <v/>
      </c>
      <c r="G930" s="3">
        <f>IFERROR(VLOOKUP(A930, Dividends!$A:$B, 2, FALSE),
       IFERROR( (VLOOKUP(A930, Dividends!$A:$C, 3, FALSE) / VLOOKUP(A930, Prices!$A:$B, 2, FALSE)) * 100,
                Inputs!$B$4*100 ))</f>
        <v>65</v>
      </c>
      <c r="H930" s="3">
        <f>IFERROR(SUMIF(Purchases!B:B, A930, Purchases!D:D), 0)</f>
        <v>0</v>
      </c>
      <c r="I930" s="3">
        <f t="shared" si="1"/>
        <v>0</v>
      </c>
      <c r="J930" s="3">
        <f t="shared" si="2"/>
        <v>0</v>
      </c>
      <c r="K930" s="3">
        <f>IF(J930&gt;0,
        J930 * IF(G930&gt;0, G930/100,
            IFERROR( VLOOKUP(A930, Dividends!$A:$C, 3, FALSE) / VLOOKUP(A930, Prices!$A:$B, 2, FALSE), Inputs!$B$4)
        ) / 12,
        0)</f>
        <v>0</v>
      </c>
      <c r="L930" s="3">
        <f t="shared" si="3"/>
        <v>0</v>
      </c>
    </row>
    <row r="931" ht="15.75" customHeight="1">
      <c r="F931" s="3" t="str">
        <f>IFERROR(VLOOKUP(A931, Prices!A:B, 2, FALSE), )</f>
        <v/>
      </c>
      <c r="G931" s="3">
        <f>IFERROR(VLOOKUP(A931, Dividends!$A:$B, 2, FALSE),
       IFERROR( (VLOOKUP(A931, Dividends!$A:$C, 3, FALSE) / VLOOKUP(A931, Prices!$A:$B, 2, FALSE)) * 100,
                Inputs!$B$4*100 ))</f>
        <v>65</v>
      </c>
      <c r="H931" s="3">
        <f>IFERROR(SUMIF(Purchases!B:B, A931, Purchases!D:D), 0)</f>
        <v>0</v>
      </c>
      <c r="I931" s="3">
        <f t="shared" si="1"/>
        <v>0</v>
      </c>
      <c r="J931" s="3">
        <f t="shared" si="2"/>
        <v>0</v>
      </c>
      <c r="K931" s="3">
        <f>IF(J931&gt;0,
        J931 * IF(G931&gt;0, G931/100,
            IFERROR( VLOOKUP(A931, Dividends!$A:$C, 3, FALSE) / VLOOKUP(A931, Prices!$A:$B, 2, FALSE), Inputs!$B$4)
        ) / 12,
        0)</f>
        <v>0</v>
      </c>
      <c r="L931" s="3">
        <f t="shared" si="3"/>
        <v>0</v>
      </c>
    </row>
    <row r="932" ht="15.75" customHeight="1">
      <c r="F932" s="3" t="str">
        <f>IFERROR(VLOOKUP(A932, Prices!A:B, 2, FALSE), )</f>
        <v/>
      </c>
      <c r="G932" s="3">
        <f>IFERROR(VLOOKUP(A932, Dividends!$A:$B, 2, FALSE),
       IFERROR( (VLOOKUP(A932, Dividends!$A:$C, 3, FALSE) / VLOOKUP(A932, Prices!$A:$B, 2, FALSE)) * 100,
                Inputs!$B$4*100 ))</f>
        <v>65</v>
      </c>
      <c r="H932" s="3">
        <f>IFERROR(SUMIF(Purchases!B:B, A932, Purchases!D:D), 0)</f>
        <v>0</v>
      </c>
      <c r="I932" s="3">
        <f t="shared" si="1"/>
        <v>0</v>
      </c>
      <c r="J932" s="3">
        <f t="shared" si="2"/>
        <v>0</v>
      </c>
      <c r="K932" s="3">
        <f>IF(J932&gt;0,
        J932 * IF(G932&gt;0, G932/100,
            IFERROR( VLOOKUP(A932, Dividends!$A:$C, 3, FALSE) / VLOOKUP(A932, Prices!$A:$B, 2, FALSE), Inputs!$B$4)
        ) / 12,
        0)</f>
        <v>0</v>
      </c>
      <c r="L932" s="3">
        <f t="shared" si="3"/>
        <v>0</v>
      </c>
    </row>
    <row r="933" ht="15.75" customHeight="1">
      <c r="F933" s="3" t="str">
        <f>IFERROR(VLOOKUP(A933, Prices!A:B, 2, FALSE), )</f>
        <v/>
      </c>
      <c r="G933" s="3">
        <f>IFERROR(VLOOKUP(A933, Dividends!$A:$B, 2, FALSE),
       IFERROR( (VLOOKUP(A933, Dividends!$A:$C, 3, FALSE) / VLOOKUP(A933, Prices!$A:$B, 2, FALSE)) * 100,
                Inputs!$B$4*100 ))</f>
        <v>65</v>
      </c>
      <c r="H933" s="3">
        <f>IFERROR(SUMIF(Purchases!B:B, A933, Purchases!D:D), 0)</f>
        <v>0</v>
      </c>
      <c r="I933" s="3">
        <f t="shared" si="1"/>
        <v>0</v>
      </c>
      <c r="J933" s="3">
        <f t="shared" si="2"/>
        <v>0</v>
      </c>
      <c r="K933" s="3">
        <f>IF(J933&gt;0,
        J933 * IF(G933&gt;0, G933/100,
            IFERROR( VLOOKUP(A933, Dividends!$A:$C, 3, FALSE) / VLOOKUP(A933, Prices!$A:$B, 2, FALSE), Inputs!$B$4)
        ) / 12,
        0)</f>
        <v>0</v>
      </c>
      <c r="L933" s="3">
        <f t="shared" si="3"/>
        <v>0</v>
      </c>
    </row>
    <row r="934" ht="15.75" customHeight="1">
      <c r="F934" s="3" t="str">
        <f>IFERROR(VLOOKUP(A934, Prices!A:B, 2, FALSE), )</f>
        <v/>
      </c>
      <c r="G934" s="3">
        <f>IFERROR(VLOOKUP(A934, Dividends!$A:$B, 2, FALSE),
       IFERROR( (VLOOKUP(A934, Dividends!$A:$C, 3, FALSE) / VLOOKUP(A934, Prices!$A:$B, 2, FALSE)) * 100,
                Inputs!$B$4*100 ))</f>
        <v>65</v>
      </c>
      <c r="H934" s="3">
        <f>IFERROR(SUMIF(Purchases!B:B, A934, Purchases!D:D), 0)</f>
        <v>0</v>
      </c>
      <c r="I934" s="3">
        <f t="shared" si="1"/>
        <v>0</v>
      </c>
      <c r="J934" s="3">
        <f t="shared" si="2"/>
        <v>0</v>
      </c>
      <c r="K934" s="3">
        <f>IF(J934&gt;0,
        J934 * IF(G934&gt;0, G934/100,
            IFERROR( VLOOKUP(A934, Dividends!$A:$C, 3, FALSE) / VLOOKUP(A934, Prices!$A:$B, 2, FALSE), Inputs!$B$4)
        ) / 12,
        0)</f>
        <v>0</v>
      </c>
      <c r="L934" s="3">
        <f t="shared" si="3"/>
        <v>0</v>
      </c>
    </row>
    <row r="935" ht="15.75" customHeight="1">
      <c r="F935" s="3" t="str">
        <f>IFERROR(VLOOKUP(A935, Prices!A:B, 2, FALSE), )</f>
        <v/>
      </c>
      <c r="G935" s="3">
        <f>IFERROR(VLOOKUP(A935, Dividends!$A:$B, 2, FALSE),
       IFERROR( (VLOOKUP(A935, Dividends!$A:$C, 3, FALSE) / VLOOKUP(A935, Prices!$A:$B, 2, FALSE)) * 100,
                Inputs!$B$4*100 ))</f>
        <v>65</v>
      </c>
      <c r="H935" s="3">
        <f>IFERROR(SUMIF(Purchases!B:B, A935, Purchases!D:D), 0)</f>
        <v>0</v>
      </c>
      <c r="I935" s="3">
        <f t="shared" si="1"/>
        <v>0</v>
      </c>
      <c r="J935" s="3">
        <f t="shared" si="2"/>
        <v>0</v>
      </c>
      <c r="K935" s="3">
        <f>IF(J935&gt;0,
        J935 * IF(G935&gt;0, G935/100,
            IFERROR( VLOOKUP(A935, Dividends!$A:$C, 3, FALSE) / VLOOKUP(A935, Prices!$A:$B, 2, FALSE), Inputs!$B$4)
        ) / 12,
        0)</f>
        <v>0</v>
      </c>
      <c r="L935" s="3">
        <f t="shared" si="3"/>
        <v>0</v>
      </c>
    </row>
    <row r="936" ht="15.75" customHeight="1">
      <c r="F936" s="3" t="str">
        <f>IFERROR(VLOOKUP(A936, Prices!A:B, 2, FALSE), )</f>
        <v/>
      </c>
      <c r="G936" s="3">
        <f>IFERROR(VLOOKUP(A936, Dividends!$A:$B, 2, FALSE),
       IFERROR( (VLOOKUP(A936, Dividends!$A:$C, 3, FALSE) / VLOOKUP(A936, Prices!$A:$B, 2, FALSE)) * 100,
                Inputs!$B$4*100 ))</f>
        <v>65</v>
      </c>
      <c r="H936" s="3">
        <f>IFERROR(SUMIF(Purchases!B:B, A936, Purchases!D:D), 0)</f>
        <v>0</v>
      </c>
      <c r="I936" s="3">
        <f t="shared" si="1"/>
        <v>0</v>
      </c>
      <c r="J936" s="3">
        <f t="shared" si="2"/>
        <v>0</v>
      </c>
      <c r="K936" s="3">
        <f>IF(J936&gt;0,
        J936 * IF(G936&gt;0, G936/100,
            IFERROR( VLOOKUP(A936, Dividends!$A:$C, 3, FALSE) / VLOOKUP(A936, Prices!$A:$B, 2, FALSE), Inputs!$B$4)
        ) / 12,
        0)</f>
        <v>0</v>
      </c>
      <c r="L936" s="3">
        <f t="shared" si="3"/>
        <v>0</v>
      </c>
    </row>
    <row r="937" ht="15.75" customHeight="1">
      <c r="F937" s="3" t="str">
        <f>IFERROR(VLOOKUP(A937, Prices!A:B, 2, FALSE), )</f>
        <v/>
      </c>
      <c r="G937" s="3">
        <f>IFERROR(VLOOKUP(A937, Dividends!$A:$B, 2, FALSE),
       IFERROR( (VLOOKUP(A937, Dividends!$A:$C, 3, FALSE) / VLOOKUP(A937, Prices!$A:$B, 2, FALSE)) * 100,
                Inputs!$B$4*100 ))</f>
        <v>65</v>
      </c>
      <c r="H937" s="3">
        <f>IFERROR(SUMIF(Purchases!B:B, A937, Purchases!D:D), 0)</f>
        <v>0</v>
      </c>
      <c r="I937" s="3">
        <f t="shared" si="1"/>
        <v>0</v>
      </c>
      <c r="J937" s="3">
        <f t="shared" si="2"/>
        <v>0</v>
      </c>
      <c r="K937" s="3">
        <f>IF(J937&gt;0,
        J937 * IF(G937&gt;0, G937/100,
            IFERROR( VLOOKUP(A937, Dividends!$A:$C, 3, FALSE) / VLOOKUP(A937, Prices!$A:$B, 2, FALSE), Inputs!$B$4)
        ) / 12,
        0)</f>
        <v>0</v>
      </c>
      <c r="L937" s="3">
        <f t="shared" si="3"/>
        <v>0</v>
      </c>
    </row>
    <row r="938" ht="15.75" customHeight="1">
      <c r="F938" s="3" t="str">
        <f>IFERROR(VLOOKUP(A938, Prices!A:B, 2, FALSE), )</f>
        <v/>
      </c>
      <c r="G938" s="3">
        <f>IFERROR(VLOOKUP(A938, Dividends!$A:$B, 2, FALSE),
       IFERROR( (VLOOKUP(A938, Dividends!$A:$C, 3, FALSE) / VLOOKUP(A938, Prices!$A:$B, 2, FALSE)) * 100,
                Inputs!$B$4*100 ))</f>
        <v>65</v>
      </c>
      <c r="H938" s="3">
        <f>IFERROR(SUMIF(Purchases!B:B, A938, Purchases!D:D), 0)</f>
        <v>0</v>
      </c>
      <c r="I938" s="3">
        <f t="shared" si="1"/>
        <v>0</v>
      </c>
      <c r="J938" s="3">
        <f t="shared" si="2"/>
        <v>0</v>
      </c>
      <c r="K938" s="3">
        <f>IF(J938&gt;0,
        J938 * IF(G938&gt;0, G938/100,
            IFERROR( VLOOKUP(A938, Dividends!$A:$C, 3, FALSE) / VLOOKUP(A938, Prices!$A:$B, 2, FALSE), Inputs!$B$4)
        ) / 12,
        0)</f>
        <v>0</v>
      </c>
      <c r="L938" s="3">
        <f t="shared" si="3"/>
        <v>0</v>
      </c>
    </row>
    <row r="939" ht="15.75" customHeight="1">
      <c r="F939" s="3" t="str">
        <f>IFERROR(VLOOKUP(A939, Prices!A:B, 2, FALSE), )</f>
        <v/>
      </c>
      <c r="G939" s="3">
        <f>IFERROR(VLOOKUP(A939, Dividends!$A:$B, 2, FALSE),
       IFERROR( (VLOOKUP(A939, Dividends!$A:$C, 3, FALSE) / VLOOKUP(A939, Prices!$A:$B, 2, FALSE)) * 100,
                Inputs!$B$4*100 ))</f>
        <v>65</v>
      </c>
      <c r="H939" s="3">
        <f>IFERROR(SUMIF(Purchases!B:B, A939, Purchases!D:D), 0)</f>
        <v>0</v>
      </c>
      <c r="I939" s="3">
        <f t="shared" si="1"/>
        <v>0</v>
      </c>
      <c r="J939" s="3">
        <f t="shared" si="2"/>
        <v>0</v>
      </c>
      <c r="K939" s="3">
        <f>IF(J939&gt;0,
        J939 * IF(G939&gt;0, G939/100,
            IFERROR( VLOOKUP(A939, Dividends!$A:$C, 3, FALSE) / VLOOKUP(A939, Prices!$A:$B, 2, FALSE), Inputs!$B$4)
        ) / 12,
        0)</f>
        <v>0</v>
      </c>
      <c r="L939" s="3">
        <f t="shared" si="3"/>
        <v>0</v>
      </c>
    </row>
    <row r="940" ht="15.75" customHeight="1">
      <c r="F940" s="3" t="str">
        <f>IFERROR(VLOOKUP(A940, Prices!A:B, 2, FALSE), )</f>
        <v/>
      </c>
      <c r="G940" s="3">
        <f>IFERROR(VLOOKUP(A940, Dividends!$A:$B, 2, FALSE),
       IFERROR( (VLOOKUP(A940, Dividends!$A:$C, 3, FALSE) / VLOOKUP(A940, Prices!$A:$B, 2, FALSE)) * 100,
                Inputs!$B$4*100 ))</f>
        <v>65</v>
      </c>
      <c r="H940" s="3">
        <f>IFERROR(SUMIF(Purchases!B:B, A940, Purchases!D:D), 0)</f>
        <v>0</v>
      </c>
      <c r="I940" s="3">
        <f t="shared" si="1"/>
        <v>0</v>
      </c>
      <c r="J940" s="3">
        <f t="shared" si="2"/>
        <v>0</v>
      </c>
      <c r="K940" s="3">
        <f>IF(J940&gt;0,
        J940 * IF(G940&gt;0, G940/100,
            IFERROR( VLOOKUP(A940, Dividends!$A:$C, 3, FALSE) / VLOOKUP(A940, Prices!$A:$B, 2, FALSE), Inputs!$B$4)
        ) / 12,
        0)</f>
        <v>0</v>
      </c>
      <c r="L940" s="3">
        <f t="shared" si="3"/>
        <v>0</v>
      </c>
    </row>
    <row r="941" ht="15.75" customHeight="1">
      <c r="F941" s="3" t="str">
        <f>IFERROR(VLOOKUP(A941, Prices!A:B, 2, FALSE), )</f>
        <v/>
      </c>
      <c r="G941" s="3">
        <f>IFERROR(VLOOKUP(A941, Dividends!$A:$B, 2, FALSE),
       IFERROR( (VLOOKUP(A941, Dividends!$A:$C, 3, FALSE) / VLOOKUP(A941, Prices!$A:$B, 2, FALSE)) * 100,
                Inputs!$B$4*100 ))</f>
        <v>65</v>
      </c>
      <c r="H941" s="3">
        <f>IFERROR(SUMIF(Purchases!B:B, A941, Purchases!D:D), 0)</f>
        <v>0</v>
      </c>
      <c r="I941" s="3">
        <f t="shared" si="1"/>
        <v>0</v>
      </c>
      <c r="J941" s="3">
        <f t="shared" si="2"/>
        <v>0</v>
      </c>
      <c r="K941" s="3">
        <f>IF(J941&gt;0,
        J941 * IF(G941&gt;0, G941/100,
            IFERROR( VLOOKUP(A941, Dividends!$A:$C, 3, FALSE) / VLOOKUP(A941, Prices!$A:$B, 2, FALSE), Inputs!$B$4)
        ) / 12,
        0)</f>
        <v>0</v>
      </c>
      <c r="L941" s="3">
        <f t="shared" si="3"/>
        <v>0</v>
      </c>
    </row>
    <row r="942" ht="15.75" customHeight="1">
      <c r="F942" s="3" t="str">
        <f>IFERROR(VLOOKUP(A942, Prices!A:B, 2, FALSE), )</f>
        <v/>
      </c>
      <c r="G942" s="3">
        <f>IFERROR(VLOOKUP(A942, Dividends!$A:$B, 2, FALSE),
       IFERROR( (VLOOKUP(A942, Dividends!$A:$C, 3, FALSE) / VLOOKUP(A942, Prices!$A:$B, 2, FALSE)) * 100,
                Inputs!$B$4*100 ))</f>
        <v>65</v>
      </c>
      <c r="H942" s="3">
        <f>IFERROR(SUMIF(Purchases!B:B, A942, Purchases!D:D), 0)</f>
        <v>0</v>
      </c>
      <c r="I942" s="3">
        <f t="shared" si="1"/>
        <v>0</v>
      </c>
      <c r="J942" s="3">
        <f t="shared" si="2"/>
        <v>0</v>
      </c>
      <c r="K942" s="3">
        <f>IF(J942&gt;0,
        J942 * IF(G942&gt;0, G942/100,
            IFERROR( VLOOKUP(A942, Dividends!$A:$C, 3, FALSE) / VLOOKUP(A942, Prices!$A:$B, 2, FALSE), Inputs!$B$4)
        ) / 12,
        0)</f>
        <v>0</v>
      </c>
      <c r="L942" s="3">
        <f t="shared" si="3"/>
        <v>0</v>
      </c>
    </row>
    <row r="943" ht="15.75" customHeight="1">
      <c r="F943" s="3" t="str">
        <f>IFERROR(VLOOKUP(A943, Prices!A:B, 2, FALSE), )</f>
        <v/>
      </c>
      <c r="G943" s="3">
        <f>IFERROR(VLOOKUP(A943, Dividends!$A:$B, 2, FALSE),
       IFERROR( (VLOOKUP(A943, Dividends!$A:$C, 3, FALSE) / VLOOKUP(A943, Prices!$A:$B, 2, FALSE)) * 100,
                Inputs!$B$4*100 ))</f>
        <v>65</v>
      </c>
      <c r="H943" s="3">
        <f>IFERROR(SUMIF(Purchases!B:B, A943, Purchases!D:D), 0)</f>
        <v>0</v>
      </c>
      <c r="I943" s="3">
        <f t="shared" si="1"/>
        <v>0</v>
      </c>
      <c r="J943" s="3">
        <f t="shared" si="2"/>
        <v>0</v>
      </c>
      <c r="K943" s="3">
        <f>IF(J943&gt;0,
        J943 * IF(G943&gt;0, G943/100,
            IFERROR( VLOOKUP(A943, Dividends!$A:$C, 3, FALSE) / VLOOKUP(A943, Prices!$A:$B, 2, FALSE), Inputs!$B$4)
        ) / 12,
        0)</f>
        <v>0</v>
      </c>
      <c r="L943" s="3">
        <f t="shared" si="3"/>
        <v>0</v>
      </c>
    </row>
    <row r="944" ht="15.75" customHeight="1">
      <c r="F944" s="3" t="str">
        <f>IFERROR(VLOOKUP(A944, Prices!A:B, 2, FALSE), )</f>
        <v/>
      </c>
      <c r="G944" s="3">
        <f>IFERROR(VLOOKUP(A944, Dividends!$A:$B, 2, FALSE),
       IFERROR( (VLOOKUP(A944, Dividends!$A:$C, 3, FALSE) / VLOOKUP(A944, Prices!$A:$B, 2, FALSE)) * 100,
                Inputs!$B$4*100 ))</f>
        <v>65</v>
      </c>
      <c r="H944" s="3">
        <f>IFERROR(SUMIF(Purchases!B:B, A944, Purchases!D:D), 0)</f>
        <v>0</v>
      </c>
      <c r="I944" s="3">
        <f t="shared" si="1"/>
        <v>0</v>
      </c>
      <c r="J944" s="3">
        <f t="shared" si="2"/>
        <v>0</v>
      </c>
      <c r="K944" s="3">
        <f>IF(J944&gt;0,
        J944 * IF(G944&gt;0, G944/100,
            IFERROR( VLOOKUP(A944, Dividends!$A:$C, 3, FALSE) / VLOOKUP(A944, Prices!$A:$B, 2, FALSE), Inputs!$B$4)
        ) / 12,
        0)</f>
        <v>0</v>
      </c>
      <c r="L944" s="3">
        <f t="shared" si="3"/>
        <v>0</v>
      </c>
    </row>
    <row r="945" ht="15.75" customHeight="1">
      <c r="F945" s="3" t="str">
        <f>IFERROR(VLOOKUP(A945, Prices!A:B, 2, FALSE), )</f>
        <v/>
      </c>
      <c r="G945" s="3">
        <f>IFERROR(VLOOKUP(A945, Dividends!$A:$B, 2, FALSE),
       IFERROR( (VLOOKUP(A945, Dividends!$A:$C, 3, FALSE) / VLOOKUP(A945, Prices!$A:$B, 2, FALSE)) * 100,
                Inputs!$B$4*100 ))</f>
        <v>65</v>
      </c>
      <c r="H945" s="3">
        <f>IFERROR(SUMIF(Purchases!B:B, A945, Purchases!D:D), 0)</f>
        <v>0</v>
      </c>
      <c r="I945" s="3">
        <f t="shared" si="1"/>
        <v>0</v>
      </c>
      <c r="J945" s="3">
        <f t="shared" si="2"/>
        <v>0</v>
      </c>
      <c r="K945" s="3">
        <f>IF(J945&gt;0,
        J945 * IF(G945&gt;0, G945/100,
            IFERROR( VLOOKUP(A945, Dividends!$A:$C, 3, FALSE) / VLOOKUP(A945, Prices!$A:$B, 2, FALSE), Inputs!$B$4)
        ) / 12,
        0)</f>
        <v>0</v>
      </c>
      <c r="L945" s="3">
        <f t="shared" si="3"/>
        <v>0</v>
      </c>
    </row>
    <row r="946" ht="15.75" customHeight="1">
      <c r="F946" s="3" t="str">
        <f>IFERROR(VLOOKUP(A946, Prices!A:B, 2, FALSE), )</f>
        <v/>
      </c>
      <c r="G946" s="3">
        <f>IFERROR(VLOOKUP(A946, Dividends!$A:$B, 2, FALSE),
       IFERROR( (VLOOKUP(A946, Dividends!$A:$C, 3, FALSE) / VLOOKUP(A946, Prices!$A:$B, 2, FALSE)) * 100,
                Inputs!$B$4*100 ))</f>
        <v>65</v>
      </c>
      <c r="H946" s="3">
        <f>IFERROR(SUMIF(Purchases!B:B, A946, Purchases!D:D), 0)</f>
        <v>0</v>
      </c>
      <c r="I946" s="3">
        <f t="shared" si="1"/>
        <v>0</v>
      </c>
      <c r="J946" s="3">
        <f t="shared" si="2"/>
        <v>0</v>
      </c>
      <c r="K946" s="3">
        <f>IF(J946&gt;0,
        J946 * IF(G946&gt;0, G946/100,
            IFERROR( VLOOKUP(A946, Dividends!$A:$C, 3, FALSE) / VLOOKUP(A946, Prices!$A:$B, 2, FALSE), Inputs!$B$4)
        ) / 12,
        0)</f>
        <v>0</v>
      </c>
      <c r="L946" s="3">
        <f t="shared" si="3"/>
        <v>0</v>
      </c>
    </row>
    <row r="947" ht="15.75" customHeight="1">
      <c r="F947" s="3" t="str">
        <f>IFERROR(VLOOKUP(A947, Prices!A:B, 2, FALSE), )</f>
        <v/>
      </c>
      <c r="G947" s="3">
        <f>IFERROR(VLOOKUP(A947, Dividends!$A:$B, 2, FALSE),
       IFERROR( (VLOOKUP(A947, Dividends!$A:$C, 3, FALSE) / VLOOKUP(A947, Prices!$A:$B, 2, FALSE)) * 100,
                Inputs!$B$4*100 ))</f>
        <v>65</v>
      </c>
      <c r="H947" s="3">
        <f>IFERROR(SUMIF(Purchases!B:B, A947, Purchases!D:D), 0)</f>
        <v>0</v>
      </c>
      <c r="I947" s="3">
        <f t="shared" si="1"/>
        <v>0</v>
      </c>
      <c r="J947" s="3">
        <f t="shared" si="2"/>
        <v>0</v>
      </c>
      <c r="K947" s="3">
        <f>IF(J947&gt;0,
        J947 * IF(G947&gt;0, G947/100,
            IFERROR( VLOOKUP(A947, Dividends!$A:$C, 3, FALSE) / VLOOKUP(A947, Prices!$A:$B, 2, FALSE), Inputs!$B$4)
        ) / 12,
        0)</f>
        <v>0</v>
      </c>
      <c r="L947" s="3">
        <f t="shared" si="3"/>
        <v>0</v>
      </c>
    </row>
    <row r="948" ht="15.75" customHeight="1">
      <c r="F948" s="3" t="str">
        <f>IFERROR(VLOOKUP(A948, Prices!A:B, 2, FALSE), )</f>
        <v/>
      </c>
      <c r="G948" s="3">
        <f>IFERROR(VLOOKUP(A948, Dividends!$A:$B, 2, FALSE),
       IFERROR( (VLOOKUP(A948, Dividends!$A:$C, 3, FALSE) / VLOOKUP(A948, Prices!$A:$B, 2, FALSE)) * 100,
                Inputs!$B$4*100 ))</f>
        <v>65</v>
      </c>
      <c r="H948" s="3">
        <f>IFERROR(SUMIF(Purchases!B:B, A948, Purchases!D:D), 0)</f>
        <v>0</v>
      </c>
      <c r="I948" s="3">
        <f t="shared" si="1"/>
        <v>0</v>
      </c>
      <c r="J948" s="3">
        <f t="shared" si="2"/>
        <v>0</v>
      </c>
      <c r="K948" s="3">
        <f>IF(J948&gt;0,
        J948 * IF(G948&gt;0, G948/100,
            IFERROR( VLOOKUP(A948, Dividends!$A:$C, 3, FALSE) / VLOOKUP(A948, Prices!$A:$B, 2, FALSE), Inputs!$B$4)
        ) / 12,
        0)</f>
        <v>0</v>
      </c>
      <c r="L948" s="3">
        <f t="shared" si="3"/>
        <v>0</v>
      </c>
    </row>
    <row r="949" ht="15.75" customHeight="1">
      <c r="F949" s="3" t="str">
        <f>IFERROR(VLOOKUP(A949, Prices!A:B, 2, FALSE), )</f>
        <v/>
      </c>
      <c r="G949" s="3">
        <f>IFERROR(VLOOKUP(A949, Dividends!$A:$B, 2, FALSE),
       IFERROR( (VLOOKUP(A949, Dividends!$A:$C, 3, FALSE) / VLOOKUP(A949, Prices!$A:$B, 2, FALSE)) * 100,
                Inputs!$B$4*100 ))</f>
        <v>65</v>
      </c>
      <c r="H949" s="3">
        <f>IFERROR(SUMIF(Purchases!B:B, A949, Purchases!D:D), 0)</f>
        <v>0</v>
      </c>
      <c r="I949" s="3">
        <f t="shared" si="1"/>
        <v>0</v>
      </c>
      <c r="J949" s="3">
        <f t="shared" si="2"/>
        <v>0</v>
      </c>
      <c r="K949" s="3">
        <f>IF(J949&gt;0,
        J949 * IF(G949&gt;0, G949/100,
            IFERROR( VLOOKUP(A949, Dividends!$A:$C, 3, FALSE) / VLOOKUP(A949, Prices!$A:$B, 2, FALSE), Inputs!$B$4)
        ) / 12,
        0)</f>
        <v>0</v>
      </c>
      <c r="L949" s="3">
        <f t="shared" si="3"/>
        <v>0</v>
      </c>
    </row>
    <row r="950" ht="15.75" customHeight="1">
      <c r="F950" s="3" t="str">
        <f>IFERROR(VLOOKUP(A950, Prices!A:B, 2, FALSE), )</f>
        <v/>
      </c>
      <c r="G950" s="3">
        <f>IFERROR(VLOOKUP(A950, Dividends!$A:$B, 2, FALSE),
       IFERROR( (VLOOKUP(A950, Dividends!$A:$C, 3, FALSE) / VLOOKUP(A950, Prices!$A:$B, 2, FALSE)) * 100,
                Inputs!$B$4*100 ))</f>
        <v>65</v>
      </c>
      <c r="H950" s="3">
        <f>IFERROR(SUMIF(Purchases!B:B, A950, Purchases!D:D), 0)</f>
        <v>0</v>
      </c>
      <c r="I950" s="3">
        <f t="shared" si="1"/>
        <v>0</v>
      </c>
      <c r="J950" s="3">
        <f t="shared" si="2"/>
        <v>0</v>
      </c>
      <c r="K950" s="3">
        <f>IF(J950&gt;0,
        J950 * IF(G950&gt;0, G950/100,
            IFERROR( VLOOKUP(A950, Dividends!$A:$C, 3, FALSE) / VLOOKUP(A950, Prices!$A:$B, 2, FALSE), Inputs!$B$4)
        ) / 12,
        0)</f>
        <v>0</v>
      </c>
      <c r="L950" s="3">
        <f t="shared" si="3"/>
        <v>0</v>
      </c>
    </row>
    <row r="951" ht="15.75" customHeight="1">
      <c r="F951" s="3" t="str">
        <f>IFERROR(VLOOKUP(A951, Prices!A:B, 2, FALSE), )</f>
        <v/>
      </c>
      <c r="G951" s="3">
        <f>IFERROR(VLOOKUP(A951, Dividends!$A:$B, 2, FALSE),
       IFERROR( (VLOOKUP(A951, Dividends!$A:$C, 3, FALSE) / VLOOKUP(A951, Prices!$A:$B, 2, FALSE)) * 100,
                Inputs!$B$4*100 ))</f>
        <v>65</v>
      </c>
      <c r="H951" s="3">
        <f>IFERROR(SUMIF(Purchases!B:B, A951, Purchases!D:D), 0)</f>
        <v>0</v>
      </c>
      <c r="I951" s="3">
        <f t="shared" si="1"/>
        <v>0</v>
      </c>
      <c r="J951" s="3">
        <f t="shared" si="2"/>
        <v>0</v>
      </c>
      <c r="K951" s="3">
        <f>IF(J951&gt;0,
        J951 * IF(G951&gt;0, G951/100,
            IFERROR( VLOOKUP(A951, Dividends!$A:$C, 3, FALSE) / VLOOKUP(A951, Prices!$A:$B, 2, FALSE), Inputs!$B$4)
        ) / 12,
        0)</f>
        <v>0</v>
      </c>
      <c r="L951" s="3">
        <f t="shared" si="3"/>
        <v>0</v>
      </c>
    </row>
    <row r="952" ht="15.75" customHeight="1">
      <c r="F952" s="3" t="str">
        <f>IFERROR(VLOOKUP(A952, Prices!A:B, 2, FALSE), )</f>
        <v/>
      </c>
      <c r="G952" s="3">
        <f>IFERROR(VLOOKUP(A952, Dividends!$A:$B, 2, FALSE),
       IFERROR( (VLOOKUP(A952, Dividends!$A:$C, 3, FALSE) / VLOOKUP(A952, Prices!$A:$B, 2, FALSE)) * 100,
                Inputs!$B$4*100 ))</f>
        <v>65</v>
      </c>
      <c r="H952" s="3">
        <f>IFERROR(SUMIF(Purchases!B:B, A952, Purchases!D:D), 0)</f>
        <v>0</v>
      </c>
      <c r="I952" s="3">
        <f t="shared" si="1"/>
        <v>0</v>
      </c>
      <c r="J952" s="3">
        <f t="shared" si="2"/>
        <v>0</v>
      </c>
      <c r="K952" s="3">
        <f>IF(J952&gt;0,
        J952 * IF(G952&gt;0, G952/100,
            IFERROR( VLOOKUP(A952, Dividends!$A:$C, 3, FALSE) / VLOOKUP(A952, Prices!$A:$B, 2, FALSE), Inputs!$B$4)
        ) / 12,
        0)</f>
        <v>0</v>
      </c>
      <c r="L952" s="3">
        <f t="shared" si="3"/>
        <v>0</v>
      </c>
    </row>
    <row r="953" ht="15.75" customHeight="1">
      <c r="F953" s="3" t="str">
        <f>IFERROR(VLOOKUP(A953, Prices!A:B, 2, FALSE), )</f>
        <v/>
      </c>
      <c r="G953" s="3">
        <f>IFERROR(VLOOKUP(A953, Dividends!$A:$B, 2, FALSE),
       IFERROR( (VLOOKUP(A953, Dividends!$A:$C, 3, FALSE) / VLOOKUP(A953, Prices!$A:$B, 2, FALSE)) * 100,
                Inputs!$B$4*100 ))</f>
        <v>65</v>
      </c>
      <c r="H953" s="3">
        <f>IFERROR(SUMIF(Purchases!B:B, A953, Purchases!D:D), 0)</f>
        <v>0</v>
      </c>
      <c r="I953" s="3">
        <f t="shared" si="1"/>
        <v>0</v>
      </c>
      <c r="J953" s="3">
        <f t="shared" si="2"/>
        <v>0</v>
      </c>
      <c r="K953" s="3">
        <f>IF(J953&gt;0,
        J953 * IF(G953&gt;0, G953/100,
            IFERROR( VLOOKUP(A953, Dividends!$A:$C, 3, FALSE) / VLOOKUP(A953, Prices!$A:$B, 2, FALSE), Inputs!$B$4)
        ) / 12,
        0)</f>
        <v>0</v>
      </c>
      <c r="L953" s="3">
        <f t="shared" si="3"/>
        <v>0</v>
      </c>
    </row>
    <row r="954" ht="15.75" customHeight="1">
      <c r="F954" s="3" t="str">
        <f>IFERROR(VLOOKUP(A954, Prices!A:B, 2, FALSE), )</f>
        <v/>
      </c>
      <c r="G954" s="3">
        <f>IFERROR(VLOOKUP(A954, Dividends!$A:$B, 2, FALSE),
       IFERROR( (VLOOKUP(A954, Dividends!$A:$C, 3, FALSE) / VLOOKUP(A954, Prices!$A:$B, 2, FALSE)) * 100,
                Inputs!$B$4*100 ))</f>
        <v>65</v>
      </c>
      <c r="H954" s="3">
        <f>IFERROR(SUMIF(Purchases!B:B, A954, Purchases!D:D), 0)</f>
        <v>0</v>
      </c>
      <c r="I954" s="3">
        <f t="shared" si="1"/>
        <v>0</v>
      </c>
      <c r="J954" s="3">
        <f t="shared" si="2"/>
        <v>0</v>
      </c>
      <c r="K954" s="3">
        <f>IF(J954&gt;0,
        J954 * IF(G954&gt;0, G954/100,
            IFERROR( VLOOKUP(A954, Dividends!$A:$C, 3, FALSE) / VLOOKUP(A954, Prices!$A:$B, 2, FALSE), Inputs!$B$4)
        ) / 12,
        0)</f>
        <v>0</v>
      </c>
      <c r="L954" s="3">
        <f t="shared" si="3"/>
        <v>0</v>
      </c>
    </row>
    <row r="955" ht="15.75" customHeight="1">
      <c r="F955" s="3" t="str">
        <f>IFERROR(VLOOKUP(A955, Prices!A:B, 2, FALSE), )</f>
        <v/>
      </c>
      <c r="G955" s="3">
        <f>IFERROR(VLOOKUP(A955, Dividends!$A:$B, 2, FALSE),
       IFERROR( (VLOOKUP(A955, Dividends!$A:$C, 3, FALSE) / VLOOKUP(A955, Prices!$A:$B, 2, FALSE)) * 100,
                Inputs!$B$4*100 ))</f>
        <v>65</v>
      </c>
      <c r="H955" s="3">
        <f>IFERROR(SUMIF(Purchases!B:B, A955, Purchases!D:D), 0)</f>
        <v>0</v>
      </c>
      <c r="I955" s="3">
        <f t="shared" si="1"/>
        <v>0</v>
      </c>
      <c r="J955" s="3">
        <f t="shared" si="2"/>
        <v>0</v>
      </c>
      <c r="K955" s="3">
        <f>IF(J955&gt;0,
        J955 * IF(G955&gt;0, G955/100,
            IFERROR( VLOOKUP(A955, Dividends!$A:$C, 3, FALSE) / VLOOKUP(A955, Prices!$A:$B, 2, FALSE), Inputs!$B$4)
        ) / 12,
        0)</f>
        <v>0</v>
      </c>
      <c r="L955" s="3">
        <f t="shared" si="3"/>
        <v>0</v>
      </c>
    </row>
    <row r="956" ht="15.75" customHeight="1">
      <c r="F956" s="3" t="str">
        <f>IFERROR(VLOOKUP(A956, Prices!A:B, 2, FALSE), )</f>
        <v/>
      </c>
      <c r="G956" s="3">
        <f>IFERROR(VLOOKUP(A956, Dividends!$A:$B, 2, FALSE),
       IFERROR( (VLOOKUP(A956, Dividends!$A:$C, 3, FALSE) / VLOOKUP(A956, Prices!$A:$B, 2, FALSE)) * 100,
                Inputs!$B$4*100 ))</f>
        <v>65</v>
      </c>
      <c r="H956" s="3">
        <f>IFERROR(SUMIF(Purchases!B:B, A956, Purchases!D:D), 0)</f>
        <v>0</v>
      </c>
      <c r="I956" s="3">
        <f t="shared" si="1"/>
        <v>0</v>
      </c>
      <c r="J956" s="3">
        <f t="shared" si="2"/>
        <v>0</v>
      </c>
      <c r="K956" s="3">
        <f>IF(J956&gt;0,
        J956 * IF(G956&gt;0, G956/100,
            IFERROR( VLOOKUP(A956, Dividends!$A:$C, 3, FALSE) / VLOOKUP(A956, Prices!$A:$B, 2, FALSE), Inputs!$B$4)
        ) / 12,
        0)</f>
        <v>0</v>
      </c>
      <c r="L956" s="3">
        <f t="shared" si="3"/>
        <v>0</v>
      </c>
    </row>
    <row r="957" ht="15.75" customHeight="1">
      <c r="F957" s="3" t="str">
        <f>IFERROR(VLOOKUP(A957, Prices!A:B, 2, FALSE), )</f>
        <v/>
      </c>
      <c r="G957" s="3">
        <f>IFERROR(VLOOKUP(A957, Dividends!$A:$B, 2, FALSE),
       IFERROR( (VLOOKUP(A957, Dividends!$A:$C, 3, FALSE) / VLOOKUP(A957, Prices!$A:$B, 2, FALSE)) * 100,
                Inputs!$B$4*100 ))</f>
        <v>65</v>
      </c>
      <c r="H957" s="3">
        <f>IFERROR(SUMIF(Purchases!B:B, A957, Purchases!D:D), 0)</f>
        <v>0</v>
      </c>
      <c r="I957" s="3">
        <f t="shared" si="1"/>
        <v>0</v>
      </c>
      <c r="J957" s="3">
        <f t="shared" si="2"/>
        <v>0</v>
      </c>
      <c r="K957" s="3">
        <f>IF(J957&gt;0,
        J957 * IF(G957&gt;0, G957/100,
            IFERROR( VLOOKUP(A957, Dividends!$A:$C, 3, FALSE) / VLOOKUP(A957, Prices!$A:$B, 2, FALSE), Inputs!$B$4)
        ) / 12,
        0)</f>
        <v>0</v>
      </c>
      <c r="L957" s="3">
        <f t="shared" si="3"/>
        <v>0</v>
      </c>
    </row>
    <row r="958" ht="15.75" customHeight="1">
      <c r="F958" s="3" t="str">
        <f>IFERROR(VLOOKUP(A958, Prices!A:B, 2, FALSE), )</f>
        <v/>
      </c>
      <c r="G958" s="3">
        <f>IFERROR(VLOOKUP(A958, Dividends!$A:$B, 2, FALSE),
       IFERROR( (VLOOKUP(A958, Dividends!$A:$C, 3, FALSE) / VLOOKUP(A958, Prices!$A:$B, 2, FALSE)) * 100,
                Inputs!$B$4*100 ))</f>
        <v>65</v>
      </c>
      <c r="H958" s="3">
        <f>IFERROR(SUMIF(Purchases!B:B, A958, Purchases!D:D), 0)</f>
        <v>0</v>
      </c>
      <c r="I958" s="3">
        <f t="shared" si="1"/>
        <v>0</v>
      </c>
      <c r="J958" s="3">
        <f t="shared" si="2"/>
        <v>0</v>
      </c>
      <c r="K958" s="3">
        <f>IF(J958&gt;0,
        J958 * IF(G958&gt;0, G958/100,
            IFERROR( VLOOKUP(A958, Dividends!$A:$C, 3, FALSE) / VLOOKUP(A958, Prices!$A:$B, 2, FALSE), Inputs!$B$4)
        ) / 12,
        0)</f>
        <v>0</v>
      </c>
      <c r="L958" s="3">
        <f t="shared" si="3"/>
        <v>0</v>
      </c>
    </row>
    <row r="959" ht="15.75" customHeight="1">
      <c r="F959" s="3" t="str">
        <f>IFERROR(VLOOKUP(A959, Prices!A:B, 2, FALSE), )</f>
        <v/>
      </c>
      <c r="G959" s="3">
        <f>IFERROR(VLOOKUP(A959, Dividends!$A:$B, 2, FALSE),
       IFERROR( (VLOOKUP(A959, Dividends!$A:$C, 3, FALSE) / VLOOKUP(A959, Prices!$A:$B, 2, FALSE)) * 100,
                Inputs!$B$4*100 ))</f>
        <v>65</v>
      </c>
      <c r="H959" s="3">
        <f>IFERROR(SUMIF(Purchases!B:B, A959, Purchases!D:D), 0)</f>
        <v>0</v>
      </c>
      <c r="I959" s="3">
        <f t="shared" si="1"/>
        <v>0</v>
      </c>
      <c r="J959" s="3">
        <f t="shared" si="2"/>
        <v>0</v>
      </c>
      <c r="K959" s="3">
        <f>IF(J959&gt;0,
        J959 * IF(G959&gt;0, G959/100,
            IFERROR( VLOOKUP(A959, Dividends!$A:$C, 3, FALSE) / VLOOKUP(A959, Prices!$A:$B, 2, FALSE), Inputs!$B$4)
        ) / 12,
        0)</f>
        <v>0</v>
      </c>
      <c r="L959" s="3">
        <f t="shared" si="3"/>
        <v>0</v>
      </c>
    </row>
    <row r="960" ht="15.75" customHeight="1">
      <c r="F960" s="3" t="str">
        <f>IFERROR(VLOOKUP(A960, Prices!A:B, 2, FALSE), )</f>
        <v/>
      </c>
      <c r="G960" s="3">
        <f>IFERROR(VLOOKUP(A960, Dividends!$A:$B, 2, FALSE),
       IFERROR( (VLOOKUP(A960, Dividends!$A:$C, 3, FALSE) / VLOOKUP(A960, Prices!$A:$B, 2, FALSE)) * 100,
                Inputs!$B$4*100 ))</f>
        <v>65</v>
      </c>
      <c r="H960" s="3">
        <f>IFERROR(SUMIF(Purchases!B:B, A960, Purchases!D:D), 0)</f>
        <v>0</v>
      </c>
      <c r="I960" s="3">
        <f t="shared" si="1"/>
        <v>0</v>
      </c>
      <c r="J960" s="3">
        <f t="shared" si="2"/>
        <v>0</v>
      </c>
      <c r="K960" s="3">
        <f>IF(J960&gt;0,
        J960 * IF(G960&gt;0, G960/100,
            IFERROR( VLOOKUP(A960, Dividends!$A:$C, 3, FALSE) / VLOOKUP(A960, Prices!$A:$B, 2, FALSE), Inputs!$B$4)
        ) / 12,
        0)</f>
        <v>0</v>
      </c>
      <c r="L960" s="3">
        <f t="shared" si="3"/>
        <v>0</v>
      </c>
    </row>
    <row r="961" ht="15.75" customHeight="1">
      <c r="F961" s="3" t="str">
        <f>IFERROR(VLOOKUP(A961, Prices!A:B, 2, FALSE), )</f>
        <v/>
      </c>
      <c r="G961" s="3">
        <f>IFERROR(VLOOKUP(A961, Dividends!$A:$B, 2, FALSE),
       IFERROR( (VLOOKUP(A961, Dividends!$A:$C, 3, FALSE) / VLOOKUP(A961, Prices!$A:$B, 2, FALSE)) * 100,
                Inputs!$B$4*100 ))</f>
        <v>65</v>
      </c>
      <c r="H961" s="3">
        <f>IFERROR(SUMIF(Purchases!B:B, A961, Purchases!D:D), 0)</f>
        <v>0</v>
      </c>
      <c r="I961" s="3">
        <f t="shared" si="1"/>
        <v>0</v>
      </c>
      <c r="J961" s="3">
        <f t="shared" si="2"/>
        <v>0</v>
      </c>
      <c r="K961" s="3">
        <f>IF(J961&gt;0,
        J961 * IF(G961&gt;0, G961/100,
            IFERROR( VLOOKUP(A961, Dividends!$A:$C, 3, FALSE) / VLOOKUP(A961, Prices!$A:$B, 2, FALSE), Inputs!$B$4)
        ) / 12,
        0)</f>
        <v>0</v>
      </c>
      <c r="L961" s="3">
        <f t="shared" si="3"/>
        <v>0</v>
      </c>
    </row>
    <row r="962" ht="15.75" customHeight="1">
      <c r="F962" s="3" t="str">
        <f>IFERROR(VLOOKUP(A962, Prices!A:B, 2, FALSE), )</f>
        <v/>
      </c>
      <c r="G962" s="3">
        <f>IFERROR(VLOOKUP(A962, Dividends!$A:$B, 2, FALSE),
       IFERROR( (VLOOKUP(A962, Dividends!$A:$C, 3, FALSE) / VLOOKUP(A962, Prices!$A:$B, 2, FALSE)) * 100,
                Inputs!$B$4*100 ))</f>
        <v>65</v>
      </c>
      <c r="H962" s="3">
        <f>IFERROR(SUMIF(Purchases!B:B, A962, Purchases!D:D), 0)</f>
        <v>0</v>
      </c>
      <c r="I962" s="3">
        <f t="shared" si="1"/>
        <v>0</v>
      </c>
      <c r="J962" s="3">
        <f t="shared" si="2"/>
        <v>0</v>
      </c>
      <c r="K962" s="3">
        <f>IF(J962&gt;0,
        J962 * IF(G962&gt;0, G962/100,
            IFERROR( VLOOKUP(A962, Dividends!$A:$C, 3, FALSE) / VLOOKUP(A962, Prices!$A:$B, 2, FALSE), Inputs!$B$4)
        ) / 12,
        0)</f>
        <v>0</v>
      </c>
      <c r="L962" s="3">
        <f t="shared" si="3"/>
        <v>0</v>
      </c>
    </row>
    <row r="963" ht="15.75" customHeight="1">
      <c r="F963" s="3" t="str">
        <f>IFERROR(VLOOKUP(A963, Prices!A:B, 2, FALSE), )</f>
        <v/>
      </c>
      <c r="G963" s="3">
        <f>IFERROR(VLOOKUP(A963, Dividends!$A:$B, 2, FALSE),
       IFERROR( (VLOOKUP(A963, Dividends!$A:$C, 3, FALSE) / VLOOKUP(A963, Prices!$A:$B, 2, FALSE)) * 100,
                Inputs!$B$4*100 ))</f>
        <v>65</v>
      </c>
      <c r="H963" s="3">
        <f>IFERROR(SUMIF(Purchases!B:B, A963, Purchases!D:D), 0)</f>
        <v>0</v>
      </c>
      <c r="I963" s="3">
        <f t="shared" si="1"/>
        <v>0</v>
      </c>
      <c r="J963" s="3">
        <f t="shared" si="2"/>
        <v>0</v>
      </c>
      <c r="K963" s="3">
        <f>IF(J963&gt;0,
        J963 * IF(G963&gt;0, G963/100,
            IFERROR( VLOOKUP(A963, Dividends!$A:$C, 3, FALSE) / VLOOKUP(A963, Prices!$A:$B, 2, FALSE), Inputs!$B$4)
        ) / 12,
        0)</f>
        <v>0</v>
      </c>
      <c r="L963" s="3">
        <f t="shared" si="3"/>
        <v>0</v>
      </c>
    </row>
    <row r="964" ht="15.75" customHeight="1">
      <c r="F964" s="3" t="str">
        <f>IFERROR(VLOOKUP(A964, Prices!A:B, 2, FALSE), )</f>
        <v/>
      </c>
      <c r="G964" s="3">
        <f>IFERROR(VLOOKUP(A964, Dividends!$A:$B, 2, FALSE),
       IFERROR( (VLOOKUP(A964, Dividends!$A:$C, 3, FALSE) / VLOOKUP(A964, Prices!$A:$B, 2, FALSE)) * 100,
                Inputs!$B$4*100 ))</f>
        <v>65</v>
      </c>
      <c r="H964" s="3">
        <f>IFERROR(SUMIF(Purchases!B:B, A964, Purchases!D:D), 0)</f>
        <v>0</v>
      </c>
      <c r="I964" s="3">
        <f t="shared" si="1"/>
        <v>0</v>
      </c>
      <c r="J964" s="3">
        <f t="shared" si="2"/>
        <v>0</v>
      </c>
      <c r="K964" s="3">
        <f>IF(J964&gt;0,
        J964 * IF(G964&gt;0, G964/100,
            IFERROR( VLOOKUP(A964, Dividends!$A:$C, 3, FALSE) / VLOOKUP(A964, Prices!$A:$B, 2, FALSE), Inputs!$B$4)
        ) / 12,
        0)</f>
        <v>0</v>
      </c>
      <c r="L964" s="3">
        <f t="shared" si="3"/>
        <v>0</v>
      </c>
    </row>
    <row r="965" ht="15.75" customHeight="1">
      <c r="F965" s="3" t="str">
        <f>IFERROR(VLOOKUP(A965, Prices!A:B, 2, FALSE), )</f>
        <v/>
      </c>
      <c r="G965" s="3">
        <f>IFERROR(VLOOKUP(A965, Dividends!$A:$B, 2, FALSE),
       IFERROR( (VLOOKUP(A965, Dividends!$A:$C, 3, FALSE) / VLOOKUP(A965, Prices!$A:$B, 2, FALSE)) * 100,
                Inputs!$B$4*100 ))</f>
        <v>65</v>
      </c>
      <c r="H965" s="3">
        <f>IFERROR(SUMIF(Purchases!B:B, A965, Purchases!D:D), 0)</f>
        <v>0</v>
      </c>
      <c r="I965" s="3">
        <f t="shared" si="1"/>
        <v>0</v>
      </c>
      <c r="J965" s="3">
        <f t="shared" si="2"/>
        <v>0</v>
      </c>
      <c r="K965" s="3">
        <f>IF(J965&gt;0,
        J965 * IF(G965&gt;0, G965/100,
            IFERROR( VLOOKUP(A965, Dividends!$A:$C, 3, FALSE) / VLOOKUP(A965, Prices!$A:$B, 2, FALSE), Inputs!$B$4)
        ) / 12,
        0)</f>
        <v>0</v>
      </c>
      <c r="L965" s="3">
        <f t="shared" si="3"/>
        <v>0</v>
      </c>
    </row>
    <row r="966" ht="15.75" customHeight="1">
      <c r="F966" s="3" t="str">
        <f>IFERROR(VLOOKUP(A966, Prices!A:B, 2, FALSE), )</f>
        <v/>
      </c>
      <c r="G966" s="3">
        <f>IFERROR(VLOOKUP(A966, Dividends!$A:$B, 2, FALSE),
       IFERROR( (VLOOKUP(A966, Dividends!$A:$C, 3, FALSE) / VLOOKUP(A966, Prices!$A:$B, 2, FALSE)) * 100,
                Inputs!$B$4*100 ))</f>
        <v>65</v>
      </c>
      <c r="H966" s="3">
        <f>IFERROR(SUMIF(Purchases!B:B, A966, Purchases!D:D), 0)</f>
        <v>0</v>
      </c>
      <c r="I966" s="3">
        <f t="shared" si="1"/>
        <v>0</v>
      </c>
      <c r="J966" s="3">
        <f t="shared" si="2"/>
        <v>0</v>
      </c>
      <c r="K966" s="3">
        <f>IF(J966&gt;0,
        J966 * IF(G966&gt;0, G966/100,
            IFERROR( VLOOKUP(A966, Dividends!$A:$C, 3, FALSE) / VLOOKUP(A966, Prices!$A:$B, 2, FALSE), Inputs!$B$4)
        ) / 12,
        0)</f>
        <v>0</v>
      </c>
      <c r="L966" s="3">
        <f t="shared" si="3"/>
        <v>0</v>
      </c>
    </row>
    <row r="967" ht="15.75" customHeight="1">
      <c r="F967" s="3" t="str">
        <f>IFERROR(VLOOKUP(A967, Prices!A:B, 2, FALSE), )</f>
        <v/>
      </c>
      <c r="G967" s="3">
        <f>IFERROR(VLOOKUP(A967, Dividends!$A:$B, 2, FALSE),
       IFERROR( (VLOOKUP(A967, Dividends!$A:$C, 3, FALSE) / VLOOKUP(A967, Prices!$A:$B, 2, FALSE)) * 100,
                Inputs!$B$4*100 ))</f>
        <v>65</v>
      </c>
      <c r="H967" s="3">
        <f>IFERROR(SUMIF(Purchases!B:B, A967, Purchases!D:D), 0)</f>
        <v>0</v>
      </c>
      <c r="I967" s="3">
        <f t="shared" si="1"/>
        <v>0</v>
      </c>
      <c r="J967" s="3">
        <f t="shared" si="2"/>
        <v>0</v>
      </c>
      <c r="K967" s="3">
        <f>IF(J967&gt;0,
        J967 * IF(G967&gt;0, G967/100,
            IFERROR( VLOOKUP(A967, Dividends!$A:$C, 3, FALSE) / VLOOKUP(A967, Prices!$A:$B, 2, FALSE), Inputs!$B$4)
        ) / 12,
        0)</f>
        <v>0</v>
      </c>
      <c r="L967" s="3">
        <f t="shared" si="3"/>
        <v>0</v>
      </c>
    </row>
    <row r="968" ht="15.75" customHeight="1">
      <c r="F968" s="3" t="str">
        <f>IFERROR(VLOOKUP(A968, Prices!A:B, 2, FALSE), )</f>
        <v/>
      </c>
      <c r="G968" s="3">
        <f>IFERROR(VLOOKUP(A968, Dividends!$A:$B, 2, FALSE),
       IFERROR( (VLOOKUP(A968, Dividends!$A:$C, 3, FALSE) / VLOOKUP(A968, Prices!$A:$B, 2, FALSE)) * 100,
                Inputs!$B$4*100 ))</f>
        <v>65</v>
      </c>
      <c r="H968" s="3">
        <f>IFERROR(SUMIF(Purchases!B:B, A968, Purchases!D:D), 0)</f>
        <v>0</v>
      </c>
      <c r="I968" s="3">
        <f t="shared" si="1"/>
        <v>0</v>
      </c>
      <c r="J968" s="3">
        <f t="shared" si="2"/>
        <v>0</v>
      </c>
      <c r="K968" s="3">
        <f>IF(J968&gt;0,
        J968 * IF(G968&gt;0, G968/100,
            IFERROR( VLOOKUP(A968, Dividends!$A:$C, 3, FALSE) / VLOOKUP(A968, Prices!$A:$B, 2, FALSE), Inputs!$B$4)
        ) / 12,
        0)</f>
        <v>0</v>
      </c>
      <c r="L968" s="3">
        <f t="shared" si="3"/>
        <v>0</v>
      </c>
    </row>
    <row r="969" ht="15.75" customHeight="1">
      <c r="F969" s="3" t="str">
        <f>IFERROR(VLOOKUP(A969, Prices!A:B, 2, FALSE), )</f>
        <v/>
      </c>
      <c r="G969" s="3">
        <f>IFERROR(VLOOKUP(A969, Dividends!$A:$B, 2, FALSE),
       IFERROR( (VLOOKUP(A969, Dividends!$A:$C, 3, FALSE) / VLOOKUP(A969, Prices!$A:$B, 2, FALSE)) * 100,
                Inputs!$B$4*100 ))</f>
        <v>65</v>
      </c>
      <c r="H969" s="3">
        <f>IFERROR(SUMIF(Purchases!B:B, A969, Purchases!D:D), 0)</f>
        <v>0</v>
      </c>
      <c r="I969" s="3">
        <f t="shared" si="1"/>
        <v>0</v>
      </c>
      <c r="J969" s="3">
        <f t="shared" si="2"/>
        <v>0</v>
      </c>
      <c r="K969" s="3">
        <f>IF(J969&gt;0,
        J969 * IF(G969&gt;0, G969/100,
            IFERROR( VLOOKUP(A969, Dividends!$A:$C, 3, FALSE) / VLOOKUP(A969, Prices!$A:$B, 2, FALSE), Inputs!$B$4)
        ) / 12,
        0)</f>
        <v>0</v>
      </c>
      <c r="L969" s="3">
        <f t="shared" si="3"/>
        <v>0</v>
      </c>
    </row>
    <row r="970" ht="15.75" customHeight="1">
      <c r="F970" s="3" t="str">
        <f>IFERROR(VLOOKUP(A970, Prices!A:B, 2, FALSE), )</f>
        <v/>
      </c>
      <c r="G970" s="3">
        <f>IFERROR(VLOOKUP(A970, Dividends!$A:$B, 2, FALSE),
       IFERROR( (VLOOKUP(A970, Dividends!$A:$C, 3, FALSE) / VLOOKUP(A970, Prices!$A:$B, 2, FALSE)) * 100,
                Inputs!$B$4*100 ))</f>
        <v>65</v>
      </c>
      <c r="H970" s="3">
        <f>IFERROR(SUMIF(Purchases!B:B, A970, Purchases!D:D), 0)</f>
        <v>0</v>
      </c>
      <c r="I970" s="3">
        <f t="shared" si="1"/>
        <v>0</v>
      </c>
      <c r="J970" s="3">
        <f t="shared" si="2"/>
        <v>0</v>
      </c>
      <c r="K970" s="3">
        <f>IF(J970&gt;0,
        J970 * IF(G970&gt;0, G970/100,
            IFERROR( VLOOKUP(A970, Dividends!$A:$C, 3, FALSE) / VLOOKUP(A970, Prices!$A:$B, 2, FALSE), Inputs!$B$4)
        ) / 12,
        0)</f>
        <v>0</v>
      </c>
      <c r="L970" s="3">
        <f t="shared" si="3"/>
        <v>0</v>
      </c>
    </row>
    <row r="971" ht="15.75" customHeight="1">
      <c r="F971" s="3" t="str">
        <f>IFERROR(VLOOKUP(A971, Prices!A:B, 2, FALSE), )</f>
        <v/>
      </c>
      <c r="G971" s="3">
        <f>IFERROR(VLOOKUP(A971, Dividends!$A:$B, 2, FALSE),
       IFERROR( (VLOOKUP(A971, Dividends!$A:$C, 3, FALSE) / VLOOKUP(A971, Prices!$A:$B, 2, FALSE)) * 100,
                Inputs!$B$4*100 ))</f>
        <v>65</v>
      </c>
      <c r="H971" s="3">
        <f>IFERROR(SUMIF(Purchases!B:B, A971, Purchases!D:D), 0)</f>
        <v>0</v>
      </c>
      <c r="I971" s="3">
        <f t="shared" si="1"/>
        <v>0</v>
      </c>
      <c r="J971" s="3">
        <f t="shared" si="2"/>
        <v>0</v>
      </c>
      <c r="K971" s="3">
        <f>IF(J971&gt;0,
        J971 * IF(G971&gt;0, G971/100,
            IFERROR( VLOOKUP(A971, Dividends!$A:$C, 3, FALSE) / VLOOKUP(A971, Prices!$A:$B, 2, FALSE), Inputs!$B$4)
        ) / 12,
        0)</f>
        <v>0</v>
      </c>
      <c r="L971" s="3">
        <f t="shared" si="3"/>
        <v>0</v>
      </c>
    </row>
    <row r="972" ht="15.75" customHeight="1">
      <c r="F972" s="3" t="str">
        <f>IFERROR(VLOOKUP(A972, Prices!A:B, 2, FALSE), )</f>
        <v/>
      </c>
      <c r="G972" s="3">
        <f>IFERROR(VLOOKUP(A972, Dividends!$A:$B, 2, FALSE),
       IFERROR( (VLOOKUP(A972, Dividends!$A:$C, 3, FALSE) / VLOOKUP(A972, Prices!$A:$B, 2, FALSE)) * 100,
                Inputs!$B$4*100 ))</f>
        <v>65</v>
      </c>
      <c r="H972" s="3">
        <f>IFERROR(SUMIF(Purchases!B:B, A972, Purchases!D:D), 0)</f>
        <v>0</v>
      </c>
      <c r="I972" s="3">
        <f t="shared" si="1"/>
        <v>0</v>
      </c>
      <c r="J972" s="3">
        <f t="shared" si="2"/>
        <v>0</v>
      </c>
      <c r="K972" s="3">
        <f>IF(J972&gt;0,
        J972 * IF(G972&gt;0, G972/100,
            IFERROR( VLOOKUP(A972, Dividends!$A:$C, 3, FALSE) / VLOOKUP(A972, Prices!$A:$B, 2, FALSE), Inputs!$B$4)
        ) / 12,
        0)</f>
        <v>0</v>
      </c>
      <c r="L972" s="3">
        <f t="shared" si="3"/>
        <v>0</v>
      </c>
    </row>
    <row r="973" ht="15.75" customHeight="1">
      <c r="F973" s="3" t="str">
        <f>IFERROR(VLOOKUP(A973, Prices!A:B, 2, FALSE), )</f>
        <v/>
      </c>
      <c r="G973" s="3">
        <f>IFERROR(VLOOKUP(A973, Dividends!$A:$B, 2, FALSE),
       IFERROR( (VLOOKUP(A973, Dividends!$A:$C, 3, FALSE) / VLOOKUP(A973, Prices!$A:$B, 2, FALSE)) * 100,
                Inputs!$B$4*100 ))</f>
        <v>65</v>
      </c>
      <c r="H973" s="3">
        <f>IFERROR(SUMIF(Purchases!B:B, A973, Purchases!D:D), 0)</f>
        <v>0</v>
      </c>
      <c r="I973" s="3">
        <f t="shared" si="1"/>
        <v>0</v>
      </c>
      <c r="J973" s="3">
        <f t="shared" si="2"/>
        <v>0</v>
      </c>
      <c r="K973" s="3">
        <f>IF(J973&gt;0,
        J973 * IF(G973&gt;0, G973/100,
            IFERROR( VLOOKUP(A973, Dividends!$A:$C, 3, FALSE) / VLOOKUP(A973, Prices!$A:$B, 2, FALSE), Inputs!$B$4)
        ) / 12,
        0)</f>
        <v>0</v>
      </c>
      <c r="L973" s="3">
        <f t="shared" si="3"/>
        <v>0</v>
      </c>
    </row>
    <row r="974" ht="15.75" customHeight="1">
      <c r="F974" s="3" t="str">
        <f>IFERROR(VLOOKUP(A974, Prices!A:B, 2, FALSE), )</f>
        <v/>
      </c>
      <c r="G974" s="3">
        <f>IFERROR(VLOOKUP(A974, Dividends!$A:$B, 2, FALSE),
       IFERROR( (VLOOKUP(A974, Dividends!$A:$C, 3, FALSE) / VLOOKUP(A974, Prices!$A:$B, 2, FALSE)) * 100,
                Inputs!$B$4*100 ))</f>
        <v>65</v>
      </c>
      <c r="H974" s="3">
        <f>IFERROR(SUMIF(Purchases!B:B, A974, Purchases!D:D), 0)</f>
        <v>0</v>
      </c>
      <c r="I974" s="3">
        <f t="shared" si="1"/>
        <v>0</v>
      </c>
      <c r="J974" s="3">
        <f t="shared" si="2"/>
        <v>0</v>
      </c>
      <c r="K974" s="3">
        <f>IF(J974&gt;0,
        J974 * IF(G974&gt;0, G974/100,
            IFERROR( VLOOKUP(A974, Dividends!$A:$C, 3, FALSE) / VLOOKUP(A974, Prices!$A:$B, 2, FALSE), Inputs!$B$4)
        ) / 12,
        0)</f>
        <v>0</v>
      </c>
      <c r="L974" s="3">
        <f t="shared" si="3"/>
        <v>0</v>
      </c>
    </row>
    <row r="975" ht="15.75" customHeight="1">
      <c r="F975" s="3" t="str">
        <f>IFERROR(VLOOKUP(A975, Prices!A:B, 2, FALSE), )</f>
        <v/>
      </c>
      <c r="G975" s="3">
        <f>IFERROR(VLOOKUP(A975, Dividends!$A:$B, 2, FALSE),
       IFERROR( (VLOOKUP(A975, Dividends!$A:$C, 3, FALSE) / VLOOKUP(A975, Prices!$A:$B, 2, FALSE)) * 100,
                Inputs!$B$4*100 ))</f>
        <v>65</v>
      </c>
      <c r="H975" s="3">
        <f>IFERROR(SUMIF(Purchases!B:B, A975, Purchases!D:D), 0)</f>
        <v>0</v>
      </c>
      <c r="I975" s="3">
        <f t="shared" si="1"/>
        <v>0</v>
      </c>
      <c r="J975" s="3">
        <f t="shared" si="2"/>
        <v>0</v>
      </c>
      <c r="K975" s="3">
        <f>IF(J975&gt;0,
        J975 * IF(G975&gt;0, G975/100,
            IFERROR( VLOOKUP(A975, Dividends!$A:$C, 3, FALSE) / VLOOKUP(A975, Prices!$A:$B, 2, FALSE), Inputs!$B$4)
        ) / 12,
        0)</f>
        <v>0</v>
      </c>
      <c r="L975" s="3">
        <f t="shared" si="3"/>
        <v>0</v>
      </c>
    </row>
    <row r="976" ht="15.75" customHeight="1">
      <c r="F976" s="3" t="str">
        <f>IFERROR(VLOOKUP(A976, Prices!A:B, 2, FALSE), )</f>
        <v/>
      </c>
      <c r="G976" s="3">
        <f>IFERROR(VLOOKUP(A976, Dividends!$A:$B, 2, FALSE),
       IFERROR( (VLOOKUP(A976, Dividends!$A:$C, 3, FALSE) / VLOOKUP(A976, Prices!$A:$B, 2, FALSE)) * 100,
                Inputs!$B$4*100 ))</f>
        <v>65</v>
      </c>
      <c r="H976" s="3">
        <f>IFERROR(SUMIF(Purchases!B:B, A976, Purchases!D:D), 0)</f>
        <v>0</v>
      </c>
      <c r="I976" s="3">
        <f t="shared" si="1"/>
        <v>0</v>
      </c>
      <c r="J976" s="3">
        <f t="shared" si="2"/>
        <v>0</v>
      </c>
      <c r="K976" s="3">
        <f>IF(J976&gt;0,
        J976 * IF(G976&gt;0, G976/100,
            IFERROR( VLOOKUP(A976, Dividends!$A:$C, 3, FALSE) / VLOOKUP(A976, Prices!$A:$B, 2, FALSE), Inputs!$B$4)
        ) / 12,
        0)</f>
        <v>0</v>
      </c>
      <c r="L976" s="3">
        <f t="shared" si="3"/>
        <v>0</v>
      </c>
    </row>
    <row r="977" ht="15.75" customHeight="1">
      <c r="F977" s="3" t="str">
        <f>IFERROR(VLOOKUP(A977, Prices!A:B, 2, FALSE), )</f>
        <v/>
      </c>
      <c r="G977" s="3">
        <f>IFERROR(VLOOKUP(A977, Dividends!$A:$B, 2, FALSE),
       IFERROR( (VLOOKUP(A977, Dividends!$A:$C, 3, FALSE) / VLOOKUP(A977, Prices!$A:$B, 2, FALSE)) * 100,
                Inputs!$B$4*100 ))</f>
        <v>65</v>
      </c>
      <c r="H977" s="3">
        <f>IFERROR(SUMIF(Purchases!B:B, A977, Purchases!D:D), 0)</f>
        <v>0</v>
      </c>
      <c r="I977" s="3">
        <f t="shared" si="1"/>
        <v>0</v>
      </c>
      <c r="J977" s="3">
        <f t="shared" si="2"/>
        <v>0</v>
      </c>
      <c r="K977" s="3">
        <f>IF(J977&gt;0,
        J977 * IF(G977&gt;0, G977/100,
            IFERROR( VLOOKUP(A977, Dividends!$A:$C, 3, FALSE) / VLOOKUP(A977, Prices!$A:$B, 2, FALSE), Inputs!$B$4)
        ) / 12,
        0)</f>
        <v>0</v>
      </c>
      <c r="L977" s="3">
        <f t="shared" si="3"/>
        <v>0</v>
      </c>
    </row>
    <row r="978" ht="15.75" customHeight="1">
      <c r="F978" s="3" t="str">
        <f>IFERROR(VLOOKUP(A978, Prices!A:B, 2, FALSE), )</f>
        <v/>
      </c>
      <c r="G978" s="3">
        <f>IFERROR(VLOOKUP(A978, Dividends!$A:$B, 2, FALSE),
       IFERROR( (VLOOKUP(A978, Dividends!$A:$C, 3, FALSE) / VLOOKUP(A978, Prices!$A:$B, 2, FALSE)) * 100,
                Inputs!$B$4*100 ))</f>
        <v>65</v>
      </c>
      <c r="H978" s="3">
        <f>IFERROR(SUMIF(Purchases!B:B, A978, Purchases!D:D), 0)</f>
        <v>0</v>
      </c>
      <c r="I978" s="3">
        <f t="shared" si="1"/>
        <v>0</v>
      </c>
      <c r="J978" s="3">
        <f t="shared" si="2"/>
        <v>0</v>
      </c>
      <c r="K978" s="3">
        <f>IF(J978&gt;0,
        J978 * IF(G978&gt;0, G978/100,
            IFERROR( VLOOKUP(A978, Dividends!$A:$C, 3, FALSE) / VLOOKUP(A978, Prices!$A:$B, 2, FALSE), Inputs!$B$4)
        ) / 12,
        0)</f>
        <v>0</v>
      </c>
      <c r="L978" s="3">
        <f t="shared" si="3"/>
        <v>0</v>
      </c>
    </row>
    <row r="979" ht="15.75" customHeight="1">
      <c r="F979" s="3" t="str">
        <f>IFERROR(VLOOKUP(A979, Prices!A:B, 2, FALSE), )</f>
        <v/>
      </c>
      <c r="G979" s="3">
        <f>IFERROR(VLOOKUP(A979, Dividends!$A:$B, 2, FALSE),
       IFERROR( (VLOOKUP(A979, Dividends!$A:$C, 3, FALSE) / VLOOKUP(A979, Prices!$A:$B, 2, FALSE)) * 100,
                Inputs!$B$4*100 ))</f>
        <v>65</v>
      </c>
      <c r="H979" s="3">
        <f>IFERROR(SUMIF(Purchases!B:B, A979, Purchases!D:D), 0)</f>
        <v>0</v>
      </c>
      <c r="I979" s="3">
        <f t="shared" si="1"/>
        <v>0</v>
      </c>
      <c r="J979" s="3">
        <f t="shared" si="2"/>
        <v>0</v>
      </c>
      <c r="K979" s="3">
        <f>IF(J979&gt;0,
        J979 * IF(G979&gt;0, G979/100,
            IFERROR( VLOOKUP(A979, Dividends!$A:$C, 3, FALSE) / VLOOKUP(A979, Prices!$A:$B, 2, FALSE), Inputs!$B$4)
        ) / 12,
        0)</f>
        <v>0</v>
      </c>
      <c r="L979" s="3">
        <f t="shared" si="3"/>
        <v>0</v>
      </c>
    </row>
    <row r="980" ht="15.75" customHeight="1">
      <c r="F980" s="3" t="str">
        <f>IFERROR(VLOOKUP(A980, Prices!A:B, 2, FALSE), )</f>
        <v/>
      </c>
      <c r="G980" s="3">
        <f>IFERROR(VLOOKUP(A980, Dividends!$A:$B, 2, FALSE),
       IFERROR( (VLOOKUP(A980, Dividends!$A:$C, 3, FALSE) / VLOOKUP(A980, Prices!$A:$B, 2, FALSE)) * 100,
                Inputs!$B$4*100 ))</f>
        <v>65</v>
      </c>
      <c r="H980" s="3">
        <f>IFERROR(SUMIF(Purchases!B:B, A980, Purchases!D:D), 0)</f>
        <v>0</v>
      </c>
      <c r="I980" s="3">
        <f t="shared" si="1"/>
        <v>0</v>
      </c>
      <c r="J980" s="3">
        <f t="shared" si="2"/>
        <v>0</v>
      </c>
      <c r="K980" s="3">
        <f>IF(J980&gt;0,
        J980 * IF(G980&gt;0, G980/100,
            IFERROR( VLOOKUP(A980, Dividends!$A:$C, 3, FALSE) / VLOOKUP(A980, Prices!$A:$B, 2, FALSE), Inputs!$B$4)
        ) / 12,
        0)</f>
        <v>0</v>
      </c>
      <c r="L980" s="3">
        <f t="shared" si="3"/>
        <v>0</v>
      </c>
    </row>
    <row r="981" ht="15.75" customHeight="1">
      <c r="F981" s="3" t="str">
        <f>IFERROR(VLOOKUP(A981, Prices!A:B, 2, FALSE), )</f>
        <v/>
      </c>
      <c r="G981" s="3">
        <f>IFERROR(VLOOKUP(A981, Dividends!$A:$B, 2, FALSE),
       IFERROR( (VLOOKUP(A981, Dividends!$A:$C, 3, FALSE) / VLOOKUP(A981, Prices!$A:$B, 2, FALSE)) * 100,
                Inputs!$B$4*100 ))</f>
        <v>65</v>
      </c>
      <c r="H981" s="3">
        <f>IFERROR(SUMIF(Purchases!B:B, A981, Purchases!D:D), 0)</f>
        <v>0</v>
      </c>
      <c r="I981" s="3">
        <f t="shared" si="1"/>
        <v>0</v>
      </c>
      <c r="J981" s="3">
        <f t="shared" si="2"/>
        <v>0</v>
      </c>
      <c r="K981" s="3">
        <f>IF(J981&gt;0,
        J981 * IF(G981&gt;0, G981/100,
            IFERROR( VLOOKUP(A981, Dividends!$A:$C, 3, FALSE) / VLOOKUP(A981, Prices!$A:$B, 2, FALSE), Inputs!$B$4)
        ) / 12,
        0)</f>
        <v>0</v>
      </c>
      <c r="L981" s="3">
        <f t="shared" si="3"/>
        <v>0</v>
      </c>
    </row>
    <row r="982" ht="15.75" customHeight="1">
      <c r="F982" s="3" t="str">
        <f>IFERROR(VLOOKUP(A982, Prices!A:B, 2, FALSE), )</f>
        <v/>
      </c>
      <c r="G982" s="3">
        <f>IFERROR(VLOOKUP(A982, Dividends!$A:$B, 2, FALSE),
       IFERROR( (VLOOKUP(A982, Dividends!$A:$C, 3, FALSE) / VLOOKUP(A982, Prices!$A:$B, 2, FALSE)) * 100,
                Inputs!$B$4*100 ))</f>
        <v>65</v>
      </c>
      <c r="H982" s="3">
        <f>IFERROR(SUMIF(Purchases!B:B, A982, Purchases!D:D), 0)</f>
        <v>0</v>
      </c>
      <c r="I982" s="3">
        <f t="shared" si="1"/>
        <v>0</v>
      </c>
      <c r="J982" s="3">
        <f t="shared" si="2"/>
        <v>0</v>
      </c>
      <c r="K982" s="3">
        <f>IF(J982&gt;0,
        J982 * IF(G982&gt;0, G982/100,
            IFERROR( VLOOKUP(A982, Dividends!$A:$C, 3, FALSE) / VLOOKUP(A982, Prices!$A:$B, 2, FALSE), Inputs!$B$4)
        ) / 12,
        0)</f>
        <v>0</v>
      </c>
      <c r="L982" s="3">
        <f t="shared" si="3"/>
        <v>0</v>
      </c>
    </row>
    <row r="983" ht="15.75" customHeight="1">
      <c r="F983" s="3" t="str">
        <f>IFERROR(VLOOKUP(A983, Prices!A:B, 2, FALSE), )</f>
        <v/>
      </c>
      <c r="G983" s="3">
        <f>IFERROR(VLOOKUP(A983, Dividends!$A:$B, 2, FALSE),
       IFERROR( (VLOOKUP(A983, Dividends!$A:$C, 3, FALSE) / VLOOKUP(A983, Prices!$A:$B, 2, FALSE)) * 100,
                Inputs!$B$4*100 ))</f>
        <v>65</v>
      </c>
      <c r="H983" s="3">
        <f>IFERROR(SUMIF(Purchases!B:B, A983, Purchases!D:D), 0)</f>
        <v>0</v>
      </c>
      <c r="I983" s="3">
        <f t="shared" si="1"/>
        <v>0</v>
      </c>
      <c r="J983" s="3">
        <f t="shared" si="2"/>
        <v>0</v>
      </c>
      <c r="K983" s="3">
        <f>IF(J983&gt;0,
        J983 * IF(G983&gt;0, G983/100,
            IFERROR( VLOOKUP(A983, Dividends!$A:$C, 3, FALSE) / VLOOKUP(A983, Prices!$A:$B, 2, FALSE), Inputs!$B$4)
        ) / 12,
        0)</f>
        <v>0</v>
      </c>
      <c r="L983" s="3">
        <f t="shared" si="3"/>
        <v>0</v>
      </c>
    </row>
    <row r="984" ht="15.75" customHeight="1">
      <c r="F984" s="3" t="str">
        <f>IFERROR(VLOOKUP(A984, Prices!A:B, 2, FALSE), )</f>
        <v/>
      </c>
      <c r="G984" s="3">
        <f>IFERROR(VLOOKUP(A984, Dividends!$A:$B, 2, FALSE),
       IFERROR( (VLOOKUP(A984, Dividends!$A:$C, 3, FALSE) / VLOOKUP(A984, Prices!$A:$B, 2, FALSE)) * 100,
                Inputs!$B$4*100 ))</f>
        <v>65</v>
      </c>
      <c r="H984" s="3">
        <f>IFERROR(SUMIF(Purchases!B:B, A984, Purchases!D:D), 0)</f>
        <v>0</v>
      </c>
      <c r="I984" s="3">
        <f t="shared" si="1"/>
        <v>0</v>
      </c>
      <c r="J984" s="3">
        <f t="shared" si="2"/>
        <v>0</v>
      </c>
      <c r="K984" s="3">
        <f>IF(J984&gt;0,
        J984 * IF(G984&gt;0, G984/100,
            IFERROR( VLOOKUP(A984, Dividends!$A:$C, 3, FALSE) / VLOOKUP(A984, Prices!$A:$B, 2, FALSE), Inputs!$B$4)
        ) / 12,
        0)</f>
        <v>0</v>
      </c>
      <c r="L984" s="3">
        <f t="shared" si="3"/>
        <v>0</v>
      </c>
    </row>
    <row r="985" ht="15.75" customHeight="1">
      <c r="F985" s="3" t="str">
        <f>IFERROR(VLOOKUP(A985, Prices!A:B, 2, FALSE), )</f>
        <v/>
      </c>
      <c r="G985" s="3">
        <f>IFERROR(VLOOKUP(A985, Dividends!$A:$B, 2, FALSE),
       IFERROR( (VLOOKUP(A985, Dividends!$A:$C, 3, FALSE) / VLOOKUP(A985, Prices!$A:$B, 2, FALSE)) * 100,
                Inputs!$B$4*100 ))</f>
        <v>65</v>
      </c>
      <c r="H985" s="3">
        <f>IFERROR(SUMIF(Purchases!B:B, A985, Purchases!D:D), 0)</f>
        <v>0</v>
      </c>
      <c r="I985" s="3">
        <f t="shared" si="1"/>
        <v>0</v>
      </c>
      <c r="J985" s="3">
        <f t="shared" si="2"/>
        <v>0</v>
      </c>
      <c r="K985" s="3">
        <f>IF(J985&gt;0,
        J985 * IF(G985&gt;0, G985/100,
            IFERROR( VLOOKUP(A985, Dividends!$A:$C, 3, FALSE) / VLOOKUP(A985, Prices!$A:$B, 2, FALSE), Inputs!$B$4)
        ) / 12,
        0)</f>
        <v>0</v>
      </c>
      <c r="L985" s="3">
        <f t="shared" si="3"/>
        <v>0</v>
      </c>
    </row>
    <row r="986" ht="15.75" customHeight="1">
      <c r="F986" s="3" t="str">
        <f>IFERROR(VLOOKUP(A986, Prices!A:B, 2, FALSE), )</f>
        <v/>
      </c>
      <c r="G986" s="3">
        <f>IFERROR(VLOOKUP(A986, Dividends!$A:$B, 2, FALSE),
       IFERROR( (VLOOKUP(A986, Dividends!$A:$C, 3, FALSE) / VLOOKUP(A986, Prices!$A:$B, 2, FALSE)) * 100,
                Inputs!$B$4*100 ))</f>
        <v>65</v>
      </c>
      <c r="H986" s="3">
        <f>IFERROR(SUMIF(Purchases!B:B, A986, Purchases!D:D), 0)</f>
        <v>0</v>
      </c>
      <c r="I986" s="3">
        <f t="shared" si="1"/>
        <v>0</v>
      </c>
      <c r="J986" s="3">
        <f t="shared" si="2"/>
        <v>0</v>
      </c>
      <c r="K986" s="3">
        <f>IF(J986&gt;0,
        J986 * IF(G986&gt;0, G986/100,
            IFERROR( VLOOKUP(A986, Dividends!$A:$C, 3, FALSE) / VLOOKUP(A986, Prices!$A:$B, 2, FALSE), Inputs!$B$4)
        ) / 12,
        0)</f>
        <v>0</v>
      </c>
      <c r="L986" s="3">
        <f t="shared" si="3"/>
        <v>0</v>
      </c>
    </row>
    <row r="987" ht="15.75" customHeight="1">
      <c r="F987" s="3" t="str">
        <f>IFERROR(VLOOKUP(A987, Prices!A:B, 2, FALSE), )</f>
        <v/>
      </c>
      <c r="G987" s="3">
        <f>IFERROR(VLOOKUP(A987, Dividends!$A:$B, 2, FALSE),
       IFERROR( (VLOOKUP(A987, Dividends!$A:$C, 3, FALSE) / VLOOKUP(A987, Prices!$A:$B, 2, FALSE)) * 100,
                Inputs!$B$4*100 ))</f>
        <v>65</v>
      </c>
      <c r="H987" s="3">
        <f>IFERROR(SUMIF(Purchases!B:B, A987, Purchases!D:D), 0)</f>
        <v>0</v>
      </c>
      <c r="I987" s="3">
        <f t="shared" si="1"/>
        <v>0</v>
      </c>
      <c r="J987" s="3">
        <f t="shared" si="2"/>
        <v>0</v>
      </c>
      <c r="K987" s="3">
        <f>IF(J987&gt;0,
        J987 * IF(G987&gt;0, G987/100,
            IFERROR( VLOOKUP(A987, Dividends!$A:$C, 3, FALSE) / VLOOKUP(A987, Prices!$A:$B, 2, FALSE), Inputs!$B$4)
        ) / 12,
        0)</f>
        <v>0</v>
      </c>
      <c r="L987" s="3">
        <f t="shared" si="3"/>
        <v>0</v>
      </c>
    </row>
    <row r="988" ht="15.75" customHeight="1">
      <c r="F988" s="3" t="str">
        <f>IFERROR(VLOOKUP(A988, Prices!A:B, 2, FALSE), )</f>
        <v/>
      </c>
      <c r="G988" s="3">
        <f>IFERROR(VLOOKUP(A988, Dividends!$A:$B, 2, FALSE),
       IFERROR( (VLOOKUP(A988, Dividends!$A:$C, 3, FALSE) / VLOOKUP(A988, Prices!$A:$B, 2, FALSE)) * 100,
                Inputs!$B$4*100 ))</f>
        <v>65</v>
      </c>
      <c r="H988" s="3">
        <f>IFERROR(SUMIF(Purchases!B:B, A988, Purchases!D:D), 0)</f>
        <v>0</v>
      </c>
      <c r="I988" s="3">
        <f t="shared" si="1"/>
        <v>0</v>
      </c>
      <c r="J988" s="3">
        <f t="shared" si="2"/>
        <v>0</v>
      </c>
      <c r="K988" s="3">
        <f>IF(J988&gt;0,
        J988 * IF(G988&gt;0, G988/100,
            IFERROR( VLOOKUP(A988, Dividends!$A:$C, 3, FALSE) / VLOOKUP(A988, Prices!$A:$B, 2, FALSE), Inputs!$B$4)
        ) / 12,
        0)</f>
        <v>0</v>
      </c>
      <c r="L988" s="3">
        <f t="shared" si="3"/>
        <v>0</v>
      </c>
    </row>
    <row r="989" ht="15.75" customHeight="1">
      <c r="F989" s="3" t="str">
        <f>IFERROR(VLOOKUP(A989, Prices!A:B, 2, FALSE), )</f>
        <v/>
      </c>
      <c r="G989" s="3">
        <f>IFERROR(VLOOKUP(A989, Dividends!$A:$B, 2, FALSE),
       IFERROR( (VLOOKUP(A989, Dividends!$A:$C, 3, FALSE) / VLOOKUP(A989, Prices!$A:$B, 2, FALSE)) * 100,
                Inputs!$B$4*100 ))</f>
        <v>65</v>
      </c>
      <c r="H989" s="3">
        <f>IFERROR(SUMIF(Purchases!B:B, A989, Purchases!D:D), 0)</f>
        <v>0</v>
      </c>
      <c r="I989" s="3">
        <f t="shared" si="1"/>
        <v>0</v>
      </c>
      <c r="J989" s="3">
        <f t="shared" si="2"/>
        <v>0</v>
      </c>
      <c r="K989" s="3">
        <f>IF(J989&gt;0,
        J989 * IF(G989&gt;0, G989/100,
            IFERROR( VLOOKUP(A989, Dividends!$A:$C, 3, FALSE) / VLOOKUP(A989, Prices!$A:$B, 2, FALSE), Inputs!$B$4)
        ) / 12,
        0)</f>
        <v>0</v>
      </c>
      <c r="L989" s="3">
        <f t="shared" si="3"/>
        <v>0</v>
      </c>
    </row>
    <row r="990" ht="15.75" customHeight="1">
      <c r="F990" s="3" t="str">
        <f>IFERROR(VLOOKUP(A990, Prices!A:B, 2, FALSE), )</f>
        <v/>
      </c>
      <c r="G990" s="3">
        <f>IFERROR(VLOOKUP(A990, Dividends!$A:$B, 2, FALSE),
       IFERROR( (VLOOKUP(A990, Dividends!$A:$C, 3, FALSE) / VLOOKUP(A990, Prices!$A:$B, 2, FALSE)) * 100,
                Inputs!$B$4*100 ))</f>
        <v>65</v>
      </c>
      <c r="H990" s="3">
        <f>IFERROR(SUMIF(Purchases!B:B, A990, Purchases!D:D), 0)</f>
        <v>0</v>
      </c>
      <c r="I990" s="3">
        <f t="shared" si="1"/>
        <v>0</v>
      </c>
      <c r="J990" s="3">
        <f t="shared" si="2"/>
        <v>0</v>
      </c>
      <c r="K990" s="3">
        <f>IF(J990&gt;0,
        J990 * IF(G990&gt;0, G990/100,
            IFERROR( VLOOKUP(A990, Dividends!$A:$C, 3, FALSE) / VLOOKUP(A990, Prices!$A:$B, 2, FALSE), Inputs!$B$4)
        ) / 12,
        0)</f>
        <v>0</v>
      </c>
      <c r="L990" s="3">
        <f t="shared" si="3"/>
        <v>0</v>
      </c>
    </row>
    <row r="991" ht="15.75" customHeight="1">
      <c r="F991" s="3" t="str">
        <f>IFERROR(VLOOKUP(A991, Prices!A:B, 2, FALSE), )</f>
        <v/>
      </c>
      <c r="G991" s="3">
        <f>IFERROR(VLOOKUP(A991, Dividends!$A:$B, 2, FALSE),
       IFERROR( (VLOOKUP(A991, Dividends!$A:$C, 3, FALSE) / VLOOKUP(A991, Prices!$A:$B, 2, FALSE)) * 100,
                Inputs!$B$4*100 ))</f>
        <v>65</v>
      </c>
      <c r="H991" s="3">
        <f>IFERROR(SUMIF(Purchases!B:B, A991, Purchases!D:D), 0)</f>
        <v>0</v>
      </c>
      <c r="I991" s="3">
        <f t="shared" si="1"/>
        <v>0</v>
      </c>
      <c r="J991" s="3">
        <f t="shared" si="2"/>
        <v>0</v>
      </c>
      <c r="K991" s="3">
        <f>IF(J991&gt;0,
        J991 * IF(G991&gt;0, G991/100,
            IFERROR( VLOOKUP(A991, Dividends!$A:$C, 3, FALSE) / VLOOKUP(A991, Prices!$A:$B, 2, FALSE), Inputs!$B$4)
        ) / 12,
        0)</f>
        <v>0</v>
      </c>
      <c r="L991" s="3">
        <f t="shared" si="3"/>
        <v>0</v>
      </c>
    </row>
    <row r="992" ht="15.75" customHeight="1">
      <c r="F992" s="3" t="str">
        <f>IFERROR(VLOOKUP(A992, Prices!A:B, 2, FALSE), )</f>
        <v/>
      </c>
      <c r="G992" s="3">
        <f>IFERROR(VLOOKUP(A992, Dividends!$A:$B, 2, FALSE),
       IFERROR( (VLOOKUP(A992, Dividends!$A:$C, 3, FALSE) / VLOOKUP(A992, Prices!$A:$B, 2, FALSE)) * 100,
                Inputs!$B$4*100 ))</f>
        <v>65</v>
      </c>
      <c r="H992" s="3">
        <f>IFERROR(SUMIF(Purchases!B:B, A992, Purchases!D:D), 0)</f>
        <v>0</v>
      </c>
      <c r="I992" s="3">
        <f t="shared" si="1"/>
        <v>0</v>
      </c>
      <c r="J992" s="3">
        <f t="shared" si="2"/>
        <v>0</v>
      </c>
      <c r="K992" s="3">
        <f>IF(J992&gt;0,
        J992 * IF(G992&gt;0, G992/100,
            IFERROR( VLOOKUP(A992, Dividends!$A:$C, 3, FALSE) / VLOOKUP(A992, Prices!$A:$B, 2, FALSE), Inputs!$B$4)
        ) / 12,
        0)</f>
        <v>0</v>
      </c>
      <c r="L992" s="3">
        <f t="shared" si="3"/>
        <v>0</v>
      </c>
    </row>
    <row r="993" ht="15.75" customHeight="1">
      <c r="F993" s="3" t="str">
        <f>IFERROR(VLOOKUP(A993, Prices!A:B, 2, FALSE), )</f>
        <v/>
      </c>
      <c r="G993" s="3">
        <f>IFERROR(VLOOKUP(A993, Dividends!$A:$B, 2, FALSE),
       IFERROR( (VLOOKUP(A993, Dividends!$A:$C, 3, FALSE) / VLOOKUP(A993, Prices!$A:$B, 2, FALSE)) * 100,
                Inputs!$B$4*100 ))</f>
        <v>65</v>
      </c>
      <c r="H993" s="3">
        <f>IFERROR(SUMIF(Purchases!B:B, A993, Purchases!D:D), 0)</f>
        <v>0</v>
      </c>
      <c r="I993" s="3">
        <f t="shared" si="1"/>
        <v>0</v>
      </c>
      <c r="J993" s="3">
        <f t="shared" si="2"/>
        <v>0</v>
      </c>
      <c r="K993" s="3">
        <f>IF(J993&gt;0,
        J993 * IF(G993&gt;0, G993/100,
            IFERROR( VLOOKUP(A993, Dividends!$A:$C, 3, FALSE) / VLOOKUP(A993, Prices!$A:$B, 2, FALSE), Inputs!$B$4)
        ) / 12,
        0)</f>
        <v>0</v>
      </c>
      <c r="L993" s="3">
        <f t="shared" si="3"/>
        <v>0</v>
      </c>
    </row>
    <row r="994" ht="15.75" customHeight="1">
      <c r="F994" s="3" t="str">
        <f>IFERROR(VLOOKUP(A994, Prices!A:B, 2, FALSE), )</f>
        <v/>
      </c>
      <c r="G994" s="3">
        <f>IFERROR(VLOOKUP(A994, Dividends!$A:$B, 2, FALSE),
       IFERROR( (VLOOKUP(A994, Dividends!$A:$C, 3, FALSE) / VLOOKUP(A994, Prices!$A:$B, 2, FALSE)) * 100,
                Inputs!$B$4*100 ))</f>
        <v>65</v>
      </c>
      <c r="H994" s="3">
        <f>IFERROR(SUMIF(Purchases!B:B, A994, Purchases!D:D), 0)</f>
        <v>0</v>
      </c>
      <c r="I994" s="3">
        <f t="shared" si="1"/>
        <v>0</v>
      </c>
      <c r="J994" s="3">
        <f t="shared" si="2"/>
        <v>0</v>
      </c>
      <c r="K994" s="3">
        <f>IF(J994&gt;0,
        J994 * IF(G994&gt;0, G994/100,
            IFERROR( VLOOKUP(A994, Dividends!$A:$C, 3, FALSE) / VLOOKUP(A994, Prices!$A:$B, 2, FALSE), Inputs!$B$4)
        ) / 12,
        0)</f>
        <v>0</v>
      </c>
      <c r="L994" s="3">
        <f t="shared" si="3"/>
        <v>0</v>
      </c>
    </row>
    <row r="995" ht="15.75" customHeight="1">
      <c r="F995" s="3" t="str">
        <f>IFERROR(VLOOKUP(A995, Prices!A:B, 2, FALSE), )</f>
        <v/>
      </c>
      <c r="G995" s="3">
        <f>IFERROR(VLOOKUP(A995, Dividends!$A:$B, 2, FALSE),
       IFERROR( (VLOOKUP(A995, Dividends!$A:$C, 3, FALSE) / VLOOKUP(A995, Prices!$A:$B, 2, FALSE)) * 100,
                Inputs!$B$4*100 ))</f>
        <v>65</v>
      </c>
      <c r="H995" s="3">
        <f>IFERROR(SUMIF(Purchases!B:B, A995, Purchases!D:D), 0)</f>
        <v>0</v>
      </c>
      <c r="I995" s="3">
        <f t="shared" si="1"/>
        <v>0</v>
      </c>
      <c r="J995" s="3">
        <f t="shared" si="2"/>
        <v>0</v>
      </c>
      <c r="K995" s="3">
        <f>IF(J995&gt;0,
        J995 * IF(G995&gt;0, G995/100,
            IFERROR( VLOOKUP(A995, Dividends!$A:$C, 3, FALSE) / VLOOKUP(A995, Prices!$A:$B, 2, FALSE), Inputs!$B$4)
        ) / 12,
        0)</f>
        <v>0</v>
      </c>
      <c r="L995" s="3">
        <f t="shared" si="3"/>
        <v>0</v>
      </c>
    </row>
    <row r="996" ht="15.75" customHeight="1">
      <c r="F996" s="3" t="str">
        <f>IFERROR(VLOOKUP(A996, Prices!A:B, 2, FALSE), )</f>
        <v/>
      </c>
      <c r="G996" s="3">
        <f>IFERROR(VLOOKUP(A996, Dividends!$A:$B, 2, FALSE),
       IFERROR( (VLOOKUP(A996, Dividends!$A:$C, 3, FALSE) / VLOOKUP(A996, Prices!$A:$B, 2, FALSE)) * 100,
                Inputs!$B$4*100 ))</f>
        <v>65</v>
      </c>
      <c r="H996" s="3">
        <f>IFERROR(SUMIF(Purchases!B:B, A996, Purchases!D:D), 0)</f>
        <v>0</v>
      </c>
      <c r="I996" s="3">
        <f t="shared" si="1"/>
        <v>0</v>
      </c>
      <c r="J996" s="3">
        <f t="shared" si="2"/>
        <v>0</v>
      </c>
      <c r="K996" s="3">
        <f>IF(J996&gt;0,
        J996 * IF(G996&gt;0, G996/100,
            IFERROR( VLOOKUP(A996, Dividends!$A:$C, 3, FALSE) / VLOOKUP(A996, Prices!$A:$B, 2, FALSE), Inputs!$B$4)
        ) / 12,
        0)</f>
        <v>0</v>
      </c>
      <c r="L996" s="3">
        <f t="shared" si="3"/>
        <v>0</v>
      </c>
    </row>
    <row r="997" ht="15.75" customHeight="1">
      <c r="F997" s="3" t="str">
        <f>IFERROR(VLOOKUP(A997, Prices!A:B, 2, FALSE), )</f>
        <v/>
      </c>
      <c r="G997" s="3">
        <f>IFERROR(VLOOKUP(A997, Dividends!$A:$B, 2, FALSE),
       IFERROR( (VLOOKUP(A997, Dividends!$A:$C, 3, FALSE) / VLOOKUP(A997, Prices!$A:$B, 2, FALSE)) * 100,
                Inputs!$B$4*100 ))</f>
        <v>65</v>
      </c>
      <c r="H997" s="3">
        <f>IFERROR(SUMIF(Purchases!B:B, A997, Purchases!D:D), 0)</f>
        <v>0</v>
      </c>
      <c r="I997" s="3">
        <f t="shared" si="1"/>
        <v>0</v>
      </c>
      <c r="J997" s="3">
        <f t="shared" si="2"/>
        <v>0</v>
      </c>
      <c r="K997" s="3">
        <f>IF(J997&gt;0,
        J997 * IF(G997&gt;0, G997/100,
            IFERROR( VLOOKUP(A997, Dividends!$A:$C, 3, FALSE) / VLOOKUP(A997, Prices!$A:$B, 2, FALSE), Inputs!$B$4)
        ) / 12,
        0)</f>
        <v>0</v>
      </c>
      <c r="L997" s="3">
        <f t="shared" si="3"/>
        <v>0</v>
      </c>
    </row>
    <row r="998" ht="15.75" customHeight="1">
      <c r="F998" s="3" t="str">
        <f>IFERROR(VLOOKUP(A998, Prices!A:B, 2, FALSE), )</f>
        <v/>
      </c>
      <c r="G998" s="3">
        <f>IFERROR(VLOOKUP(A998, Dividends!$A:$B, 2, FALSE),
       IFERROR( (VLOOKUP(A998, Dividends!$A:$C, 3, FALSE) / VLOOKUP(A998, Prices!$A:$B, 2, FALSE)) * 100,
                Inputs!$B$4*100 ))</f>
        <v>65</v>
      </c>
      <c r="H998" s="3">
        <f>IFERROR(SUMIF(Purchases!B:B, A998, Purchases!D:D), 0)</f>
        <v>0</v>
      </c>
      <c r="I998" s="3">
        <f t="shared" si="1"/>
        <v>0</v>
      </c>
      <c r="J998" s="3">
        <f t="shared" si="2"/>
        <v>0</v>
      </c>
      <c r="K998" s="3">
        <f>IF(J998&gt;0,
        J998 * IF(G998&gt;0, G998/100,
            IFERROR( VLOOKUP(A998, Dividends!$A:$C, 3, FALSE) / VLOOKUP(A998, Prices!$A:$B, 2, FALSE), Inputs!$B$4)
        ) / 12,
        0)</f>
        <v>0</v>
      </c>
      <c r="L998" s="3">
        <f t="shared" si="3"/>
        <v>0</v>
      </c>
    </row>
    <row r="999" ht="15.75" customHeight="1">
      <c r="F999" s="3" t="str">
        <f>IFERROR(VLOOKUP(A999, Prices!A:B, 2, FALSE), )</f>
        <v/>
      </c>
      <c r="G999" s="3">
        <f>IFERROR(VLOOKUP(A999, Dividends!$A:$B, 2, FALSE),
       IFERROR( (VLOOKUP(A999, Dividends!$A:$C, 3, FALSE) / VLOOKUP(A999, Prices!$A:$B, 2, FALSE)) * 100,
                Inputs!$B$4*100 ))</f>
        <v>65</v>
      </c>
      <c r="H999" s="3">
        <f>IFERROR(SUMIF(Purchases!B:B, A999, Purchases!D:D), 0)</f>
        <v>0</v>
      </c>
      <c r="I999" s="3">
        <f t="shared" si="1"/>
        <v>0</v>
      </c>
      <c r="J999" s="3">
        <f t="shared" si="2"/>
        <v>0</v>
      </c>
      <c r="K999" s="3">
        <f>IF(J999&gt;0,
        J999 * IF(G999&gt;0, G999/100,
            IFERROR( VLOOKUP(A999, Dividends!$A:$C, 3, FALSE) / VLOOKUP(A999, Prices!$A:$B, 2, FALSE), Inputs!$B$4)
        ) / 12,
        0)</f>
        <v>0</v>
      </c>
      <c r="L999" s="3">
        <f t="shared" si="3"/>
        <v>0</v>
      </c>
    </row>
    <row r="1000" ht="15.75" customHeight="1">
      <c r="F1000" s="3" t="str">
        <f>IFERROR(VLOOKUP(A1000, Prices!A:B, 2, FALSE), )</f>
        <v/>
      </c>
      <c r="G1000" s="3">
        <f>IFERROR(VLOOKUP(A1000, Dividends!$A:$B, 2, FALSE),
       IFERROR( (VLOOKUP(A1000, Dividends!$A:$C, 3, FALSE) / VLOOKUP(A1000, Prices!$A:$B, 2, FALSE)) * 100,
                Inputs!$B$4*100 ))</f>
        <v>65</v>
      </c>
      <c r="H1000" s="3">
        <f>IFERROR(SUMIF(Purchases!B:B, A1000, Purchases!D:D), 0)</f>
        <v>0</v>
      </c>
      <c r="I1000" s="3">
        <f t="shared" si="1"/>
        <v>0</v>
      </c>
      <c r="J1000" s="3">
        <f t="shared" si="2"/>
        <v>0</v>
      </c>
      <c r="K1000" s="3">
        <f>IF(J1000&gt;0,
        J1000 * IF(G1000&gt;0, G1000/100,
            IFERROR( VLOOKUP(A1000, Dividends!$A:$C, 3, FALSE) / VLOOKUP(A1000, Prices!$A:$B, 2, FALSE), Inputs!$B$4)
        ) / 12,
        0)</f>
        <v>0</v>
      </c>
      <c r="L1000" s="3">
        <f t="shared" si="3"/>
        <v>0</v>
      </c>
    </row>
  </sheetData>
  <dataValidations>
    <dataValidation type="list" allowBlank="1" showErrorMessage="1" sqref="B2:B7">
      <formula1>"Anchor 60%,High 40%,Crypto,Options,Options - Hedge"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2.0"/>
    <col customWidth="1" min="4" max="4" width="10.0"/>
    <col customWidth="1" min="5" max="5" width="14.0"/>
    <col customWidth="1" min="6" max="6" width="30.0"/>
    <col customWidth="1" min="7" max="26" width="8.71"/>
  </cols>
  <sheetData>
    <row r="1">
      <c r="A1" s="1" t="s">
        <v>93</v>
      </c>
      <c r="B1" s="1" t="s">
        <v>69</v>
      </c>
      <c r="C1" s="1" t="s">
        <v>112</v>
      </c>
      <c r="D1" s="1" t="s">
        <v>113</v>
      </c>
      <c r="E1" s="1" t="s">
        <v>114</v>
      </c>
      <c r="F1" s="1" t="s">
        <v>2</v>
      </c>
    </row>
    <row r="2">
      <c r="E2" s="13" t="str">
        <f t="shared" ref="E2:E1000" si="1">IF(D2&lt;&gt;"", C2*D2, "")</f>
        <v/>
      </c>
    </row>
    <row r="3">
      <c r="E3" s="13" t="str">
        <f t="shared" si="1"/>
        <v/>
      </c>
    </row>
    <row r="4">
      <c r="E4" s="13" t="str">
        <f t="shared" si="1"/>
        <v/>
      </c>
    </row>
    <row r="5">
      <c r="E5" s="13" t="str">
        <f t="shared" si="1"/>
        <v/>
      </c>
    </row>
    <row r="6">
      <c r="E6" s="13" t="str">
        <f t="shared" si="1"/>
        <v/>
      </c>
    </row>
    <row r="7">
      <c r="E7" s="13" t="str">
        <f t="shared" si="1"/>
        <v/>
      </c>
    </row>
    <row r="8">
      <c r="E8" s="13" t="str">
        <f t="shared" si="1"/>
        <v/>
      </c>
    </row>
    <row r="9">
      <c r="E9" s="13" t="str">
        <f t="shared" si="1"/>
        <v/>
      </c>
    </row>
    <row r="10">
      <c r="E10" s="13" t="str">
        <f t="shared" si="1"/>
        <v/>
      </c>
    </row>
    <row r="11">
      <c r="E11" s="13" t="str">
        <f t="shared" si="1"/>
        <v/>
      </c>
    </row>
    <row r="12">
      <c r="E12" s="13" t="str">
        <f t="shared" si="1"/>
        <v/>
      </c>
    </row>
    <row r="13">
      <c r="E13" s="13" t="str">
        <f t="shared" si="1"/>
        <v/>
      </c>
    </row>
    <row r="14">
      <c r="E14" s="13" t="str">
        <f t="shared" si="1"/>
        <v/>
      </c>
    </row>
    <row r="15">
      <c r="E15" s="13" t="str">
        <f t="shared" si="1"/>
        <v/>
      </c>
    </row>
    <row r="16">
      <c r="E16" s="13" t="str">
        <f t="shared" si="1"/>
        <v/>
      </c>
    </row>
    <row r="17">
      <c r="E17" s="13" t="str">
        <f t="shared" si="1"/>
        <v/>
      </c>
    </row>
    <row r="18">
      <c r="E18" s="13" t="str">
        <f t="shared" si="1"/>
        <v/>
      </c>
    </row>
    <row r="19">
      <c r="E19" s="13" t="str">
        <f t="shared" si="1"/>
        <v/>
      </c>
    </row>
    <row r="20">
      <c r="E20" s="13" t="str">
        <f t="shared" si="1"/>
        <v/>
      </c>
    </row>
    <row r="21" ht="15.75" customHeight="1">
      <c r="E21" s="13" t="str">
        <f t="shared" si="1"/>
        <v/>
      </c>
    </row>
    <row r="22" ht="15.75" customHeight="1">
      <c r="E22" s="13" t="str">
        <f t="shared" si="1"/>
        <v/>
      </c>
    </row>
    <row r="23" ht="15.75" customHeight="1">
      <c r="E23" s="13" t="str">
        <f t="shared" si="1"/>
        <v/>
      </c>
    </row>
    <row r="24" ht="15.75" customHeight="1">
      <c r="E24" s="13" t="str">
        <f t="shared" si="1"/>
        <v/>
      </c>
    </row>
    <row r="25" ht="15.75" customHeight="1">
      <c r="E25" s="13" t="str">
        <f t="shared" si="1"/>
        <v/>
      </c>
    </row>
    <row r="26" ht="15.75" customHeight="1">
      <c r="E26" s="13" t="str">
        <f t="shared" si="1"/>
        <v/>
      </c>
    </row>
    <row r="27" ht="15.75" customHeight="1">
      <c r="E27" s="13" t="str">
        <f t="shared" si="1"/>
        <v/>
      </c>
    </row>
    <row r="28" ht="15.75" customHeight="1">
      <c r="E28" s="13" t="str">
        <f t="shared" si="1"/>
        <v/>
      </c>
    </row>
    <row r="29" ht="15.75" customHeight="1">
      <c r="E29" s="13" t="str">
        <f t="shared" si="1"/>
        <v/>
      </c>
    </row>
    <row r="30" ht="15.75" customHeight="1">
      <c r="E30" s="13" t="str">
        <f t="shared" si="1"/>
        <v/>
      </c>
    </row>
    <row r="31" ht="15.75" customHeight="1">
      <c r="E31" s="13" t="str">
        <f t="shared" si="1"/>
        <v/>
      </c>
    </row>
    <row r="32" ht="15.75" customHeight="1">
      <c r="E32" s="13" t="str">
        <f t="shared" si="1"/>
        <v/>
      </c>
    </row>
    <row r="33" ht="15.75" customHeight="1">
      <c r="E33" s="13" t="str">
        <f t="shared" si="1"/>
        <v/>
      </c>
    </row>
    <row r="34" ht="15.75" customHeight="1">
      <c r="E34" s="13" t="str">
        <f t="shared" si="1"/>
        <v/>
      </c>
    </row>
    <row r="35" ht="15.75" customHeight="1">
      <c r="E35" s="13" t="str">
        <f t="shared" si="1"/>
        <v/>
      </c>
    </row>
    <row r="36" ht="15.75" customHeight="1">
      <c r="E36" s="13" t="str">
        <f t="shared" si="1"/>
        <v/>
      </c>
    </row>
    <row r="37" ht="15.75" customHeight="1">
      <c r="E37" s="13" t="str">
        <f t="shared" si="1"/>
        <v/>
      </c>
    </row>
    <row r="38" ht="15.75" customHeight="1">
      <c r="E38" s="13" t="str">
        <f t="shared" si="1"/>
        <v/>
      </c>
    </row>
    <row r="39" ht="15.75" customHeight="1">
      <c r="E39" s="13" t="str">
        <f t="shared" si="1"/>
        <v/>
      </c>
    </row>
    <row r="40" ht="15.75" customHeight="1">
      <c r="E40" s="13" t="str">
        <f t="shared" si="1"/>
        <v/>
      </c>
    </row>
    <row r="41" ht="15.75" customHeight="1">
      <c r="E41" s="13" t="str">
        <f t="shared" si="1"/>
        <v/>
      </c>
    </row>
    <row r="42" ht="15.75" customHeight="1">
      <c r="E42" s="13" t="str">
        <f t="shared" si="1"/>
        <v/>
      </c>
    </row>
    <row r="43" ht="15.75" customHeight="1">
      <c r="E43" s="13" t="str">
        <f t="shared" si="1"/>
        <v/>
      </c>
    </row>
    <row r="44" ht="15.75" customHeight="1">
      <c r="E44" s="13" t="str">
        <f t="shared" si="1"/>
        <v/>
      </c>
    </row>
    <row r="45" ht="15.75" customHeight="1">
      <c r="E45" s="13" t="str">
        <f t="shared" si="1"/>
        <v/>
      </c>
    </row>
    <row r="46" ht="15.75" customHeight="1">
      <c r="E46" s="13" t="str">
        <f t="shared" si="1"/>
        <v/>
      </c>
    </row>
    <row r="47" ht="15.75" customHeight="1">
      <c r="E47" s="13" t="str">
        <f t="shared" si="1"/>
        <v/>
      </c>
    </row>
    <row r="48" ht="15.75" customHeight="1">
      <c r="E48" s="13" t="str">
        <f t="shared" si="1"/>
        <v/>
      </c>
    </row>
    <row r="49" ht="15.75" customHeight="1">
      <c r="E49" s="13" t="str">
        <f t="shared" si="1"/>
        <v/>
      </c>
    </row>
    <row r="50" ht="15.75" customHeight="1">
      <c r="E50" s="13" t="str">
        <f t="shared" si="1"/>
        <v/>
      </c>
    </row>
    <row r="51" ht="15.75" customHeight="1">
      <c r="E51" s="13" t="str">
        <f t="shared" si="1"/>
        <v/>
      </c>
    </row>
    <row r="52" ht="15.75" customHeight="1">
      <c r="E52" s="13" t="str">
        <f t="shared" si="1"/>
        <v/>
      </c>
    </row>
    <row r="53" ht="15.75" customHeight="1">
      <c r="E53" s="13" t="str">
        <f t="shared" si="1"/>
        <v/>
      </c>
    </row>
    <row r="54" ht="15.75" customHeight="1">
      <c r="E54" s="13" t="str">
        <f t="shared" si="1"/>
        <v/>
      </c>
    </row>
    <row r="55" ht="15.75" customHeight="1">
      <c r="E55" s="13" t="str">
        <f t="shared" si="1"/>
        <v/>
      </c>
    </row>
    <row r="56" ht="15.75" customHeight="1">
      <c r="E56" s="13" t="str">
        <f t="shared" si="1"/>
        <v/>
      </c>
    </row>
    <row r="57" ht="15.75" customHeight="1">
      <c r="E57" s="13" t="str">
        <f t="shared" si="1"/>
        <v/>
      </c>
    </row>
    <row r="58" ht="15.75" customHeight="1">
      <c r="E58" s="13" t="str">
        <f t="shared" si="1"/>
        <v/>
      </c>
    </row>
    <row r="59" ht="15.75" customHeight="1">
      <c r="E59" s="13" t="str">
        <f t="shared" si="1"/>
        <v/>
      </c>
    </row>
    <row r="60" ht="15.75" customHeight="1">
      <c r="E60" s="13" t="str">
        <f t="shared" si="1"/>
        <v/>
      </c>
    </row>
    <row r="61" ht="15.75" customHeight="1">
      <c r="E61" s="13" t="str">
        <f t="shared" si="1"/>
        <v/>
      </c>
    </row>
    <row r="62" ht="15.75" customHeight="1">
      <c r="E62" s="13" t="str">
        <f t="shared" si="1"/>
        <v/>
      </c>
    </row>
    <row r="63" ht="15.75" customHeight="1">
      <c r="E63" s="13" t="str">
        <f t="shared" si="1"/>
        <v/>
      </c>
    </row>
    <row r="64" ht="15.75" customHeight="1">
      <c r="E64" s="13" t="str">
        <f t="shared" si="1"/>
        <v/>
      </c>
    </row>
    <row r="65" ht="15.75" customHeight="1">
      <c r="E65" s="13" t="str">
        <f t="shared" si="1"/>
        <v/>
      </c>
    </row>
    <row r="66" ht="15.75" customHeight="1">
      <c r="E66" s="13" t="str">
        <f t="shared" si="1"/>
        <v/>
      </c>
    </row>
    <row r="67" ht="15.75" customHeight="1">
      <c r="E67" s="13" t="str">
        <f t="shared" si="1"/>
        <v/>
      </c>
    </row>
    <row r="68" ht="15.75" customHeight="1">
      <c r="E68" s="13" t="str">
        <f t="shared" si="1"/>
        <v/>
      </c>
    </row>
    <row r="69" ht="15.75" customHeight="1">
      <c r="E69" s="13" t="str">
        <f t="shared" si="1"/>
        <v/>
      </c>
    </row>
    <row r="70" ht="15.75" customHeight="1">
      <c r="E70" s="13" t="str">
        <f t="shared" si="1"/>
        <v/>
      </c>
    </row>
    <row r="71" ht="15.75" customHeight="1">
      <c r="E71" s="13" t="str">
        <f t="shared" si="1"/>
        <v/>
      </c>
    </row>
    <row r="72" ht="15.75" customHeight="1">
      <c r="E72" s="13" t="str">
        <f t="shared" si="1"/>
        <v/>
      </c>
    </row>
    <row r="73" ht="15.75" customHeight="1">
      <c r="E73" s="13" t="str">
        <f t="shared" si="1"/>
        <v/>
      </c>
    </row>
    <row r="74" ht="15.75" customHeight="1">
      <c r="E74" s="13" t="str">
        <f t="shared" si="1"/>
        <v/>
      </c>
    </row>
    <row r="75" ht="15.75" customHeight="1">
      <c r="E75" s="13" t="str">
        <f t="shared" si="1"/>
        <v/>
      </c>
    </row>
    <row r="76" ht="15.75" customHeight="1">
      <c r="E76" s="13" t="str">
        <f t="shared" si="1"/>
        <v/>
      </c>
    </row>
    <row r="77" ht="15.75" customHeight="1">
      <c r="E77" s="13" t="str">
        <f t="shared" si="1"/>
        <v/>
      </c>
    </row>
    <row r="78" ht="15.75" customHeight="1">
      <c r="E78" s="13" t="str">
        <f t="shared" si="1"/>
        <v/>
      </c>
    </row>
    <row r="79" ht="15.75" customHeight="1">
      <c r="E79" s="13" t="str">
        <f t="shared" si="1"/>
        <v/>
      </c>
    </row>
    <row r="80" ht="15.75" customHeight="1">
      <c r="E80" s="13" t="str">
        <f t="shared" si="1"/>
        <v/>
      </c>
    </row>
    <row r="81" ht="15.75" customHeight="1">
      <c r="E81" s="13" t="str">
        <f t="shared" si="1"/>
        <v/>
      </c>
    </row>
    <row r="82" ht="15.75" customHeight="1">
      <c r="E82" s="13" t="str">
        <f t="shared" si="1"/>
        <v/>
      </c>
    </row>
    <row r="83" ht="15.75" customHeight="1">
      <c r="E83" s="13" t="str">
        <f t="shared" si="1"/>
        <v/>
      </c>
    </row>
    <row r="84" ht="15.75" customHeight="1">
      <c r="E84" s="13" t="str">
        <f t="shared" si="1"/>
        <v/>
      </c>
    </row>
    <row r="85" ht="15.75" customHeight="1">
      <c r="E85" s="13" t="str">
        <f t="shared" si="1"/>
        <v/>
      </c>
    </row>
    <row r="86" ht="15.75" customHeight="1">
      <c r="E86" s="13" t="str">
        <f t="shared" si="1"/>
        <v/>
      </c>
    </row>
    <row r="87" ht="15.75" customHeight="1">
      <c r="E87" s="13" t="str">
        <f t="shared" si="1"/>
        <v/>
      </c>
    </row>
    <row r="88" ht="15.75" customHeight="1">
      <c r="E88" s="13" t="str">
        <f t="shared" si="1"/>
        <v/>
      </c>
    </row>
    <row r="89" ht="15.75" customHeight="1">
      <c r="E89" s="13" t="str">
        <f t="shared" si="1"/>
        <v/>
      </c>
    </row>
    <row r="90" ht="15.75" customHeight="1">
      <c r="E90" s="13" t="str">
        <f t="shared" si="1"/>
        <v/>
      </c>
    </row>
    <row r="91" ht="15.75" customHeight="1">
      <c r="E91" s="13" t="str">
        <f t="shared" si="1"/>
        <v/>
      </c>
    </row>
    <row r="92" ht="15.75" customHeight="1">
      <c r="E92" s="13" t="str">
        <f t="shared" si="1"/>
        <v/>
      </c>
    </row>
    <row r="93" ht="15.75" customHeight="1">
      <c r="E93" s="13" t="str">
        <f t="shared" si="1"/>
        <v/>
      </c>
    </row>
    <row r="94" ht="15.75" customHeight="1">
      <c r="E94" s="13" t="str">
        <f t="shared" si="1"/>
        <v/>
      </c>
    </row>
    <row r="95" ht="15.75" customHeight="1">
      <c r="E95" s="13" t="str">
        <f t="shared" si="1"/>
        <v/>
      </c>
    </row>
    <row r="96" ht="15.75" customHeight="1">
      <c r="E96" s="13" t="str">
        <f t="shared" si="1"/>
        <v/>
      </c>
    </row>
    <row r="97" ht="15.75" customHeight="1">
      <c r="E97" s="13" t="str">
        <f t="shared" si="1"/>
        <v/>
      </c>
    </row>
    <row r="98" ht="15.75" customHeight="1">
      <c r="E98" s="13" t="str">
        <f t="shared" si="1"/>
        <v/>
      </c>
    </row>
    <row r="99" ht="15.75" customHeight="1">
      <c r="E99" s="13" t="str">
        <f t="shared" si="1"/>
        <v/>
      </c>
    </row>
    <row r="100" ht="15.75" customHeight="1">
      <c r="E100" s="13" t="str">
        <f t="shared" si="1"/>
        <v/>
      </c>
    </row>
    <row r="101" ht="15.75" customHeight="1">
      <c r="E101" s="13" t="str">
        <f t="shared" si="1"/>
        <v/>
      </c>
    </row>
    <row r="102" ht="15.75" customHeight="1">
      <c r="E102" s="13" t="str">
        <f t="shared" si="1"/>
        <v/>
      </c>
    </row>
    <row r="103" ht="15.75" customHeight="1">
      <c r="E103" s="13" t="str">
        <f t="shared" si="1"/>
        <v/>
      </c>
    </row>
    <row r="104" ht="15.75" customHeight="1">
      <c r="E104" s="13" t="str">
        <f t="shared" si="1"/>
        <v/>
      </c>
    </row>
    <row r="105" ht="15.75" customHeight="1">
      <c r="E105" s="13" t="str">
        <f t="shared" si="1"/>
        <v/>
      </c>
    </row>
    <row r="106" ht="15.75" customHeight="1">
      <c r="E106" s="13" t="str">
        <f t="shared" si="1"/>
        <v/>
      </c>
    </row>
    <row r="107" ht="15.75" customHeight="1">
      <c r="E107" s="13" t="str">
        <f t="shared" si="1"/>
        <v/>
      </c>
    </row>
    <row r="108" ht="15.75" customHeight="1">
      <c r="E108" s="13" t="str">
        <f t="shared" si="1"/>
        <v/>
      </c>
    </row>
    <row r="109" ht="15.75" customHeight="1">
      <c r="E109" s="13" t="str">
        <f t="shared" si="1"/>
        <v/>
      </c>
    </row>
    <row r="110" ht="15.75" customHeight="1">
      <c r="E110" s="13" t="str">
        <f t="shared" si="1"/>
        <v/>
      </c>
    </row>
    <row r="111" ht="15.75" customHeight="1">
      <c r="E111" s="13" t="str">
        <f t="shared" si="1"/>
        <v/>
      </c>
    </row>
    <row r="112" ht="15.75" customHeight="1">
      <c r="E112" s="13" t="str">
        <f t="shared" si="1"/>
        <v/>
      </c>
    </row>
    <row r="113" ht="15.75" customHeight="1">
      <c r="E113" s="13" t="str">
        <f t="shared" si="1"/>
        <v/>
      </c>
    </row>
    <row r="114" ht="15.75" customHeight="1">
      <c r="E114" s="13" t="str">
        <f t="shared" si="1"/>
        <v/>
      </c>
    </row>
    <row r="115" ht="15.75" customHeight="1">
      <c r="E115" s="13" t="str">
        <f t="shared" si="1"/>
        <v/>
      </c>
    </row>
    <row r="116" ht="15.75" customHeight="1">
      <c r="E116" s="13" t="str">
        <f t="shared" si="1"/>
        <v/>
      </c>
    </row>
    <row r="117" ht="15.75" customHeight="1">
      <c r="E117" s="13" t="str">
        <f t="shared" si="1"/>
        <v/>
      </c>
    </row>
    <row r="118" ht="15.75" customHeight="1">
      <c r="E118" s="13" t="str">
        <f t="shared" si="1"/>
        <v/>
      </c>
    </row>
    <row r="119" ht="15.75" customHeight="1">
      <c r="E119" s="13" t="str">
        <f t="shared" si="1"/>
        <v/>
      </c>
    </row>
    <row r="120" ht="15.75" customHeight="1">
      <c r="E120" s="13" t="str">
        <f t="shared" si="1"/>
        <v/>
      </c>
    </row>
    <row r="121" ht="15.75" customHeight="1">
      <c r="E121" s="13" t="str">
        <f t="shared" si="1"/>
        <v/>
      </c>
    </row>
    <row r="122" ht="15.75" customHeight="1">
      <c r="E122" s="13" t="str">
        <f t="shared" si="1"/>
        <v/>
      </c>
    </row>
    <row r="123" ht="15.75" customHeight="1">
      <c r="E123" s="13" t="str">
        <f t="shared" si="1"/>
        <v/>
      </c>
    </row>
    <row r="124" ht="15.75" customHeight="1">
      <c r="E124" s="13" t="str">
        <f t="shared" si="1"/>
        <v/>
      </c>
    </row>
    <row r="125" ht="15.75" customHeight="1">
      <c r="E125" s="13" t="str">
        <f t="shared" si="1"/>
        <v/>
      </c>
    </row>
    <row r="126" ht="15.75" customHeight="1">
      <c r="E126" s="13" t="str">
        <f t="shared" si="1"/>
        <v/>
      </c>
    </row>
    <row r="127" ht="15.75" customHeight="1">
      <c r="E127" s="13" t="str">
        <f t="shared" si="1"/>
        <v/>
      </c>
    </row>
    <row r="128" ht="15.75" customHeight="1">
      <c r="E128" s="13" t="str">
        <f t="shared" si="1"/>
        <v/>
      </c>
    </row>
    <row r="129" ht="15.75" customHeight="1">
      <c r="E129" s="13" t="str">
        <f t="shared" si="1"/>
        <v/>
      </c>
    </row>
    <row r="130" ht="15.75" customHeight="1">
      <c r="E130" s="13" t="str">
        <f t="shared" si="1"/>
        <v/>
      </c>
    </row>
    <row r="131" ht="15.75" customHeight="1">
      <c r="E131" s="13" t="str">
        <f t="shared" si="1"/>
        <v/>
      </c>
    </row>
    <row r="132" ht="15.75" customHeight="1">
      <c r="E132" s="13" t="str">
        <f t="shared" si="1"/>
        <v/>
      </c>
    </row>
    <row r="133" ht="15.75" customHeight="1">
      <c r="E133" s="13" t="str">
        <f t="shared" si="1"/>
        <v/>
      </c>
    </row>
    <row r="134" ht="15.75" customHeight="1">
      <c r="E134" s="13" t="str">
        <f t="shared" si="1"/>
        <v/>
      </c>
    </row>
    <row r="135" ht="15.75" customHeight="1">
      <c r="E135" s="13" t="str">
        <f t="shared" si="1"/>
        <v/>
      </c>
    </row>
    <row r="136" ht="15.75" customHeight="1">
      <c r="E136" s="13" t="str">
        <f t="shared" si="1"/>
        <v/>
      </c>
    </row>
    <row r="137" ht="15.75" customHeight="1">
      <c r="E137" s="13" t="str">
        <f t="shared" si="1"/>
        <v/>
      </c>
    </row>
    <row r="138" ht="15.75" customHeight="1">
      <c r="E138" s="13" t="str">
        <f t="shared" si="1"/>
        <v/>
      </c>
    </row>
    <row r="139" ht="15.75" customHeight="1">
      <c r="E139" s="13" t="str">
        <f t="shared" si="1"/>
        <v/>
      </c>
    </row>
    <row r="140" ht="15.75" customHeight="1">
      <c r="E140" s="13" t="str">
        <f t="shared" si="1"/>
        <v/>
      </c>
    </row>
    <row r="141" ht="15.75" customHeight="1">
      <c r="E141" s="13" t="str">
        <f t="shared" si="1"/>
        <v/>
      </c>
    </row>
    <row r="142" ht="15.75" customHeight="1">
      <c r="E142" s="13" t="str">
        <f t="shared" si="1"/>
        <v/>
      </c>
    </row>
    <row r="143" ht="15.75" customHeight="1">
      <c r="E143" s="13" t="str">
        <f t="shared" si="1"/>
        <v/>
      </c>
    </row>
    <row r="144" ht="15.75" customHeight="1">
      <c r="E144" s="13" t="str">
        <f t="shared" si="1"/>
        <v/>
      </c>
    </row>
    <row r="145" ht="15.75" customHeight="1">
      <c r="E145" s="13" t="str">
        <f t="shared" si="1"/>
        <v/>
      </c>
    </row>
    <row r="146" ht="15.75" customHeight="1">
      <c r="E146" s="13" t="str">
        <f t="shared" si="1"/>
        <v/>
      </c>
    </row>
    <row r="147" ht="15.75" customHeight="1">
      <c r="E147" s="13" t="str">
        <f t="shared" si="1"/>
        <v/>
      </c>
    </row>
    <row r="148" ht="15.75" customHeight="1">
      <c r="E148" s="13" t="str">
        <f t="shared" si="1"/>
        <v/>
      </c>
    </row>
    <row r="149" ht="15.75" customHeight="1">
      <c r="E149" s="13" t="str">
        <f t="shared" si="1"/>
        <v/>
      </c>
    </row>
    <row r="150" ht="15.75" customHeight="1">
      <c r="E150" s="13" t="str">
        <f t="shared" si="1"/>
        <v/>
      </c>
    </row>
    <row r="151" ht="15.75" customHeight="1">
      <c r="E151" s="13" t="str">
        <f t="shared" si="1"/>
        <v/>
      </c>
    </row>
    <row r="152" ht="15.75" customHeight="1">
      <c r="E152" s="13" t="str">
        <f t="shared" si="1"/>
        <v/>
      </c>
    </row>
    <row r="153" ht="15.75" customHeight="1">
      <c r="E153" s="13" t="str">
        <f t="shared" si="1"/>
        <v/>
      </c>
    </row>
    <row r="154" ht="15.75" customHeight="1">
      <c r="E154" s="13" t="str">
        <f t="shared" si="1"/>
        <v/>
      </c>
    </row>
    <row r="155" ht="15.75" customHeight="1">
      <c r="E155" s="13" t="str">
        <f t="shared" si="1"/>
        <v/>
      </c>
    </row>
    <row r="156" ht="15.75" customHeight="1">
      <c r="E156" s="13" t="str">
        <f t="shared" si="1"/>
        <v/>
      </c>
    </row>
    <row r="157" ht="15.75" customHeight="1">
      <c r="E157" s="13" t="str">
        <f t="shared" si="1"/>
        <v/>
      </c>
    </row>
    <row r="158" ht="15.75" customHeight="1">
      <c r="E158" s="13" t="str">
        <f t="shared" si="1"/>
        <v/>
      </c>
    </row>
    <row r="159" ht="15.75" customHeight="1">
      <c r="E159" s="13" t="str">
        <f t="shared" si="1"/>
        <v/>
      </c>
    </row>
    <row r="160" ht="15.75" customHeight="1">
      <c r="E160" s="13" t="str">
        <f t="shared" si="1"/>
        <v/>
      </c>
    </row>
    <row r="161" ht="15.75" customHeight="1">
      <c r="E161" s="13" t="str">
        <f t="shared" si="1"/>
        <v/>
      </c>
    </row>
    <row r="162" ht="15.75" customHeight="1">
      <c r="E162" s="13" t="str">
        <f t="shared" si="1"/>
        <v/>
      </c>
    </row>
    <row r="163" ht="15.75" customHeight="1">
      <c r="E163" s="13" t="str">
        <f t="shared" si="1"/>
        <v/>
      </c>
    </row>
    <row r="164" ht="15.75" customHeight="1">
      <c r="E164" s="13" t="str">
        <f t="shared" si="1"/>
        <v/>
      </c>
    </row>
    <row r="165" ht="15.75" customHeight="1">
      <c r="E165" s="13" t="str">
        <f t="shared" si="1"/>
        <v/>
      </c>
    </row>
    <row r="166" ht="15.75" customHeight="1">
      <c r="E166" s="13" t="str">
        <f t="shared" si="1"/>
        <v/>
      </c>
    </row>
    <row r="167" ht="15.75" customHeight="1">
      <c r="E167" s="13" t="str">
        <f t="shared" si="1"/>
        <v/>
      </c>
    </row>
    <row r="168" ht="15.75" customHeight="1">
      <c r="E168" s="13" t="str">
        <f t="shared" si="1"/>
        <v/>
      </c>
    </row>
    <row r="169" ht="15.75" customHeight="1">
      <c r="E169" s="13" t="str">
        <f t="shared" si="1"/>
        <v/>
      </c>
    </row>
    <row r="170" ht="15.75" customHeight="1">
      <c r="E170" s="13" t="str">
        <f t="shared" si="1"/>
        <v/>
      </c>
    </row>
    <row r="171" ht="15.75" customHeight="1">
      <c r="E171" s="13" t="str">
        <f t="shared" si="1"/>
        <v/>
      </c>
    </row>
    <row r="172" ht="15.75" customHeight="1">
      <c r="E172" s="13" t="str">
        <f t="shared" si="1"/>
        <v/>
      </c>
    </row>
    <row r="173" ht="15.75" customHeight="1">
      <c r="E173" s="13" t="str">
        <f t="shared" si="1"/>
        <v/>
      </c>
    </row>
    <row r="174" ht="15.75" customHeight="1">
      <c r="E174" s="13" t="str">
        <f t="shared" si="1"/>
        <v/>
      </c>
    </row>
    <row r="175" ht="15.75" customHeight="1">
      <c r="E175" s="13" t="str">
        <f t="shared" si="1"/>
        <v/>
      </c>
    </row>
    <row r="176" ht="15.75" customHeight="1">
      <c r="E176" s="13" t="str">
        <f t="shared" si="1"/>
        <v/>
      </c>
    </row>
    <row r="177" ht="15.75" customHeight="1">
      <c r="E177" s="13" t="str">
        <f t="shared" si="1"/>
        <v/>
      </c>
    </row>
    <row r="178" ht="15.75" customHeight="1">
      <c r="E178" s="13" t="str">
        <f t="shared" si="1"/>
        <v/>
      </c>
    </row>
    <row r="179" ht="15.75" customHeight="1">
      <c r="E179" s="13" t="str">
        <f t="shared" si="1"/>
        <v/>
      </c>
    </row>
    <row r="180" ht="15.75" customHeight="1">
      <c r="E180" s="13" t="str">
        <f t="shared" si="1"/>
        <v/>
      </c>
    </row>
    <row r="181" ht="15.75" customHeight="1">
      <c r="E181" s="13" t="str">
        <f t="shared" si="1"/>
        <v/>
      </c>
    </row>
    <row r="182" ht="15.75" customHeight="1">
      <c r="E182" s="13" t="str">
        <f t="shared" si="1"/>
        <v/>
      </c>
    </row>
    <row r="183" ht="15.75" customHeight="1">
      <c r="E183" s="13" t="str">
        <f t="shared" si="1"/>
        <v/>
      </c>
    </row>
    <row r="184" ht="15.75" customHeight="1">
      <c r="E184" s="13" t="str">
        <f t="shared" si="1"/>
        <v/>
      </c>
    </row>
    <row r="185" ht="15.75" customHeight="1">
      <c r="E185" s="13" t="str">
        <f t="shared" si="1"/>
        <v/>
      </c>
    </row>
    <row r="186" ht="15.75" customHeight="1">
      <c r="E186" s="13" t="str">
        <f t="shared" si="1"/>
        <v/>
      </c>
    </row>
    <row r="187" ht="15.75" customHeight="1">
      <c r="E187" s="13" t="str">
        <f t="shared" si="1"/>
        <v/>
      </c>
    </row>
    <row r="188" ht="15.75" customHeight="1">
      <c r="E188" s="13" t="str">
        <f t="shared" si="1"/>
        <v/>
      </c>
    </row>
    <row r="189" ht="15.75" customHeight="1">
      <c r="E189" s="13" t="str">
        <f t="shared" si="1"/>
        <v/>
      </c>
    </row>
    <row r="190" ht="15.75" customHeight="1">
      <c r="E190" s="13" t="str">
        <f t="shared" si="1"/>
        <v/>
      </c>
    </row>
    <row r="191" ht="15.75" customHeight="1">
      <c r="E191" s="13" t="str">
        <f t="shared" si="1"/>
        <v/>
      </c>
    </row>
    <row r="192" ht="15.75" customHeight="1">
      <c r="E192" s="13" t="str">
        <f t="shared" si="1"/>
        <v/>
      </c>
    </row>
    <row r="193" ht="15.75" customHeight="1">
      <c r="E193" s="13" t="str">
        <f t="shared" si="1"/>
        <v/>
      </c>
    </row>
    <row r="194" ht="15.75" customHeight="1">
      <c r="E194" s="13" t="str">
        <f t="shared" si="1"/>
        <v/>
      </c>
    </row>
    <row r="195" ht="15.75" customHeight="1">
      <c r="E195" s="13" t="str">
        <f t="shared" si="1"/>
        <v/>
      </c>
    </row>
    <row r="196" ht="15.75" customHeight="1">
      <c r="E196" s="13" t="str">
        <f t="shared" si="1"/>
        <v/>
      </c>
    </row>
    <row r="197" ht="15.75" customHeight="1">
      <c r="E197" s="13" t="str">
        <f t="shared" si="1"/>
        <v/>
      </c>
    </row>
    <row r="198" ht="15.75" customHeight="1">
      <c r="E198" s="13" t="str">
        <f t="shared" si="1"/>
        <v/>
      </c>
    </row>
    <row r="199" ht="15.75" customHeight="1">
      <c r="E199" s="13" t="str">
        <f t="shared" si="1"/>
        <v/>
      </c>
    </row>
    <row r="200" ht="15.75" customHeight="1">
      <c r="E200" s="13" t="str">
        <f t="shared" si="1"/>
        <v/>
      </c>
    </row>
    <row r="201" ht="15.75" customHeight="1">
      <c r="E201" s="13" t="str">
        <f t="shared" si="1"/>
        <v/>
      </c>
    </row>
    <row r="202" ht="15.75" customHeight="1">
      <c r="E202" s="13" t="str">
        <f t="shared" si="1"/>
        <v/>
      </c>
    </row>
    <row r="203" ht="15.75" customHeight="1">
      <c r="E203" s="13" t="str">
        <f t="shared" si="1"/>
        <v/>
      </c>
    </row>
    <row r="204" ht="15.75" customHeight="1">
      <c r="E204" s="13" t="str">
        <f t="shared" si="1"/>
        <v/>
      </c>
    </row>
    <row r="205" ht="15.75" customHeight="1">
      <c r="E205" s="13" t="str">
        <f t="shared" si="1"/>
        <v/>
      </c>
    </row>
    <row r="206" ht="15.75" customHeight="1">
      <c r="E206" s="13" t="str">
        <f t="shared" si="1"/>
        <v/>
      </c>
    </row>
    <row r="207" ht="15.75" customHeight="1">
      <c r="E207" s="13" t="str">
        <f t="shared" si="1"/>
        <v/>
      </c>
    </row>
    <row r="208" ht="15.75" customHeight="1">
      <c r="E208" s="13" t="str">
        <f t="shared" si="1"/>
        <v/>
      </c>
    </row>
    <row r="209" ht="15.75" customHeight="1">
      <c r="E209" s="13" t="str">
        <f t="shared" si="1"/>
        <v/>
      </c>
    </row>
    <row r="210" ht="15.75" customHeight="1">
      <c r="E210" s="13" t="str">
        <f t="shared" si="1"/>
        <v/>
      </c>
    </row>
    <row r="211" ht="15.75" customHeight="1">
      <c r="E211" s="13" t="str">
        <f t="shared" si="1"/>
        <v/>
      </c>
    </row>
    <row r="212" ht="15.75" customHeight="1">
      <c r="E212" s="13" t="str">
        <f t="shared" si="1"/>
        <v/>
      </c>
    </row>
    <row r="213" ht="15.75" customHeight="1">
      <c r="E213" s="13" t="str">
        <f t="shared" si="1"/>
        <v/>
      </c>
    </row>
    <row r="214" ht="15.75" customHeight="1">
      <c r="E214" s="13" t="str">
        <f t="shared" si="1"/>
        <v/>
      </c>
    </row>
    <row r="215" ht="15.75" customHeight="1">
      <c r="E215" s="13" t="str">
        <f t="shared" si="1"/>
        <v/>
      </c>
    </row>
    <row r="216" ht="15.75" customHeight="1">
      <c r="E216" s="13" t="str">
        <f t="shared" si="1"/>
        <v/>
      </c>
    </row>
    <row r="217" ht="15.75" customHeight="1">
      <c r="E217" s="13" t="str">
        <f t="shared" si="1"/>
        <v/>
      </c>
    </row>
    <row r="218" ht="15.75" customHeight="1">
      <c r="E218" s="13" t="str">
        <f t="shared" si="1"/>
        <v/>
      </c>
    </row>
    <row r="219" ht="15.75" customHeight="1">
      <c r="E219" s="13" t="str">
        <f t="shared" si="1"/>
        <v/>
      </c>
    </row>
    <row r="220" ht="15.75" customHeight="1">
      <c r="E220" s="13" t="str">
        <f t="shared" si="1"/>
        <v/>
      </c>
    </row>
    <row r="221" ht="15.75" customHeight="1">
      <c r="E221" s="13" t="str">
        <f t="shared" si="1"/>
        <v/>
      </c>
    </row>
    <row r="222" ht="15.75" customHeight="1">
      <c r="E222" s="13" t="str">
        <f t="shared" si="1"/>
        <v/>
      </c>
    </row>
    <row r="223" ht="15.75" customHeight="1">
      <c r="E223" s="13" t="str">
        <f t="shared" si="1"/>
        <v/>
      </c>
    </row>
    <row r="224" ht="15.75" customHeight="1">
      <c r="E224" s="13" t="str">
        <f t="shared" si="1"/>
        <v/>
      </c>
    </row>
    <row r="225" ht="15.75" customHeight="1">
      <c r="E225" s="13" t="str">
        <f t="shared" si="1"/>
        <v/>
      </c>
    </row>
    <row r="226" ht="15.75" customHeight="1">
      <c r="E226" s="13" t="str">
        <f t="shared" si="1"/>
        <v/>
      </c>
    </row>
    <row r="227" ht="15.75" customHeight="1">
      <c r="E227" s="13" t="str">
        <f t="shared" si="1"/>
        <v/>
      </c>
    </row>
    <row r="228" ht="15.75" customHeight="1">
      <c r="E228" s="13" t="str">
        <f t="shared" si="1"/>
        <v/>
      </c>
    </row>
    <row r="229" ht="15.75" customHeight="1">
      <c r="E229" s="13" t="str">
        <f t="shared" si="1"/>
        <v/>
      </c>
    </row>
    <row r="230" ht="15.75" customHeight="1">
      <c r="E230" s="13" t="str">
        <f t="shared" si="1"/>
        <v/>
      </c>
    </row>
    <row r="231" ht="15.75" customHeight="1">
      <c r="E231" s="13" t="str">
        <f t="shared" si="1"/>
        <v/>
      </c>
    </row>
    <row r="232" ht="15.75" customHeight="1">
      <c r="E232" s="13" t="str">
        <f t="shared" si="1"/>
        <v/>
      </c>
    </row>
    <row r="233" ht="15.75" customHeight="1">
      <c r="E233" s="13" t="str">
        <f t="shared" si="1"/>
        <v/>
      </c>
    </row>
    <row r="234" ht="15.75" customHeight="1">
      <c r="E234" s="13" t="str">
        <f t="shared" si="1"/>
        <v/>
      </c>
    </row>
    <row r="235" ht="15.75" customHeight="1">
      <c r="E235" s="13" t="str">
        <f t="shared" si="1"/>
        <v/>
      </c>
    </row>
    <row r="236" ht="15.75" customHeight="1">
      <c r="E236" s="13" t="str">
        <f t="shared" si="1"/>
        <v/>
      </c>
    </row>
    <row r="237" ht="15.75" customHeight="1">
      <c r="E237" s="13" t="str">
        <f t="shared" si="1"/>
        <v/>
      </c>
    </row>
    <row r="238" ht="15.75" customHeight="1">
      <c r="E238" s="13" t="str">
        <f t="shared" si="1"/>
        <v/>
      </c>
    </row>
    <row r="239" ht="15.75" customHeight="1">
      <c r="E239" s="13" t="str">
        <f t="shared" si="1"/>
        <v/>
      </c>
    </row>
    <row r="240" ht="15.75" customHeight="1">
      <c r="E240" s="13" t="str">
        <f t="shared" si="1"/>
        <v/>
      </c>
    </row>
    <row r="241" ht="15.75" customHeight="1">
      <c r="E241" s="13" t="str">
        <f t="shared" si="1"/>
        <v/>
      </c>
    </row>
    <row r="242" ht="15.75" customHeight="1">
      <c r="E242" s="13" t="str">
        <f t="shared" si="1"/>
        <v/>
      </c>
    </row>
    <row r="243" ht="15.75" customHeight="1">
      <c r="E243" s="13" t="str">
        <f t="shared" si="1"/>
        <v/>
      </c>
    </row>
    <row r="244" ht="15.75" customHeight="1">
      <c r="E244" s="13" t="str">
        <f t="shared" si="1"/>
        <v/>
      </c>
    </row>
    <row r="245" ht="15.75" customHeight="1">
      <c r="E245" s="13" t="str">
        <f t="shared" si="1"/>
        <v/>
      </c>
    </row>
    <row r="246" ht="15.75" customHeight="1">
      <c r="E246" s="13" t="str">
        <f t="shared" si="1"/>
        <v/>
      </c>
    </row>
    <row r="247" ht="15.75" customHeight="1">
      <c r="E247" s="13" t="str">
        <f t="shared" si="1"/>
        <v/>
      </c>
    </row>
    <row r="248" ht="15.75" customHeight="1">
      <c r="E248" s="13" t="str">
        <f t="shared" si="1"/>
        <v/>
      </c>
    </row>
    <row r="249" ht="15.75" customHeight="1">
      <c r="E249" s="13" t="str">
        <f t="shared" si="1"/>
        <v/>
      </c>
    </row>
    <row r="250" ht="15.75" customHeight="1">
      <c r="E250" s="13" t="str">
        <f t="shared" si="1"/>
        <v/>
      </c>
    </row>
    <row r="251" ht="15.75" customHeight="1">
      <c r="E251" s="13" t="str">
        <f t="shared" si="1"/>
        <v/>
      </c>
    </row>
    <row r="252" ht="15.75" customHeight="1">
      <c r="E252" s="13" t="str">
        <f t="shared" si="1"/>
        <v/>
      </c>
    </row>
    <row r="253" ht="15.75" customHeight="1">
      <c r="E253" s="13" t="str">
        <f t="shared" si="1"/>
        <v/>
      </c>
    </row>
    <row r="254" ht="15.75" customHeight="1">
      <c r="E254" s="13" t="str">
        <f t="shared" si="1"/>
        <v/>
      </c>
    </row>
    <row r="255" ht="15.75" customHeight="1">
      <c r="E255" s="13" t="str">
        <f t="shared" si="1"/>
        <v/>
      </c>
    </row>
    <row r="256" ht="15.75" customHeight="1">
      <c r="E256" s="13" t="str">
        <f t="shared" si="1"/>
        <v/>
      </c>
    </row>
    <row r="257" ht="15.75" customHeight="1">
      <c r="E257" s="13" t="str">
        <f t="shared" si="1"/>
        <v/>
      </c>
    </row>
    <row r="258" ht="15.75" customHeight="1">
      <c r="E258" s="13" t="str">
        <f t="shared" si="1"/>
        <v/>
      </c>
    </row>
    <row r="259" ht="15.75" customHeight="1">
      <c r="E259" s="13" t="str">
        <f t="shared" si="1"/>
        <v/>
      </c>
    </row>
    <row r="260" ht="15.75" customHeight="1">
      <c r="E260" s="13" t="str">
        <f t="shared" si="1"/>
        <v/>
      </c>
    </row>
    <row r="261" ht="15.75" customHeight="1">
      <c r="E261" s="13" t="str">
        <f t="shared" si="1"/>
        <v/>
      </c>
    </row>
    <row r="262" ht="15.75" customHeight="1">
      <c r="E262" s="13" t="str">
        <f t="shared" si="1"/>
        <v/>
      </c>
    </row>
    <row r="263" ht="15.75" customHeight="1">
      <c r="E263" s="13" t="str">
        <f t="shared" si="1"/>
        <v/>
      </c>
    </row>
    <row r="264" ht="15.75" customHeight="1">
      <c r="E264" s="13" t="str">
        <f t="shared" si="1"/>
        <v/>
      </c>
    </row>
    <row r="265" ht="15.75" customHeight="1">
      <c r="E265" s="13" t="str">
        <f t="shared" si="1"/>
        <v/>
      </c>
    </row>
    <row r="266" ht="15.75" customHeight="1">
      <c r="E266" s="13" t="str">
        <f t="shared" si="1"/>
        <v/>
      </c>
    </row>
    <row r="267" ht="15.75" customHeight="1">
      <c r="E267" s="13" t="str">
        <f t="shared" si="1"/>
        <v/>
      </c>
    </row>
    <row r="268" ht="15.75" customHeight="1">
      <c r="E268" s="13" t="str">
        <f t="shared" si="1"/>
        <v/>
      </c>
    </row>
    <row r="269" ht="15.75" customHeight="1">
      <c r="E269" s="13" t="str">
        <f t="shared" si="1"/>
        <v/>
      </c>
    </row>
    <row r="270" ht="15.75" customHeight="1">
      <c r="E270" s="13" t="str">
        <f t="shared" si="1"/>
        <v/>
      </c>
    </row>
    <row r="271" ht="15.75" customHeight="1">
      <c r="E271" s="13" t="str">
        <f t="shared" si="1"/>
        <v/>
      </c>
    </row>
    <row r="272" ht="15.75" customHeight="1">
      <c r="E272" s="13" t="str">
        <f t="shared" si="1"/>
        <v/>
      </c>
    </row>
    <row r="273" ht="15.75" customHeight="1">
      <c r="E273" s="13" t="str">
        <f t="shared" si="1"/>
        <v/>
      </c>
    </row>
    <row r="274" ht="15.75" customHeight="1">
      <c r="E274" s="13" t="str">
        <f t="shared" si="1"/>
        <v/>
      </c>
    </row>
    <row r="275" ht="15.75" customHeight="1">
      <c r="E275" s="13" t="str">
        <f t="shared" si="1"/>
        <v/>
      </c>
    </row>
    <row r="276" ht="15.75" customHeight="1">
      <c r="E276" s="13" t="str">
        <f t="shared" si="1"/>
        <v/>
      </c>
    </row>
    <row r="277" ht="15.75" customHeight="1">
      <c r="E277" s="13" t="str">
        <f t="shared" si="1"/>
        <v/>
      </c>
    </row>
    <row r="278" ht="15.75" customHeight="1">
      <c r="E278" s="13" t="str">
        <f t="shared" si="1"/>
        <v/>
      </c>
    </row>
    <row r="279" ht="15.75" customHeight="1">
      <c r="E279" s="13" t="str">
        <f t="shared" si="1"/>
        <v/>
      </c>
    </row>
    <row r="280" ht="15.75" customHeight="1">
      <c r="E280" s="13" t="str">
        <f t="shared" si="1"/>
        <v/>
      </c>
    </row>
    <row r="281" ht="15.75" customHeight="1">
      <c r="E281" s="13" t="str">
        <f t="shared" si="1"/>
        <v/>
      </c>
    </row>
    <row r="282" ht="15.75" customHeight="1">
      <c r="E282" s="13" t="str">
        <f t="shared" si="1"/>
        <v/>
      </c>
    </row>
    <row r="283" ht="15.75" customHeight="1">
      <c r="E283" s="13" t="str">
        <f t="shared" si="1"/>
        <v/>
      </c>
    </row>
    <row r="284" ht="15.75" customHeight="1">
      <c r="E284" s="13" t="str">
        <f t="shared" si="1"/>
        <v/>
      </c>
    </row>
    <row r="285" ht="15.75" customHeight="1">
      <c r="E285" s="13" t="str">
        <f t="shared" si="1"/>
        <v/>
      </c>
    </row>
    <row r="286" ht="15.75" customHeight="1">
      <c r="E286" s="13" t="str">
        <f t="shared" si="1"/>
        <v/>
      </c>
    </row>
    <row r="287" ht="15.75" customHeight="1">
      <c r="E287" s="13" t="str">
        <f t="shared" si="1"/>
        <v/>
      </c>
    </row>
    <row r="288" ht="15.75" customHeight="1">
      <c r="E288" s="13" t="str">
        <f t="shared" si="1"/>
        <v/>
      </c>
    </row>
    <row r="289" ht="15.75" customHeight="1">
      <c r="E289" s="13" t="str">
        <f t="shared" si="1"/>
        <v/>
      </c>
    </row>
    <row r="290" ht="15.75" customHeight="1">
      <c r="E290" s="13" t="str">
        <f t="shared" si="1"/>
        <v/>
      </c>
    </row>
    <row r="291" ht="15.75" customHeight="1">
      <c r="E291" s="13" t="str">
        <f t="shared" si="1"/>
        <v/>
      </c>
    </row>
    <row r="292" ht="15.75" customHeight="1">
      <c r="E292" s="13" t="str">
        <f t="shared" si="1"/>
        <v/>
      </c>
    </row>
    <row r="293" ht="15.75" customHeight="1">
      <c r="E293" s="13" t="str">
        <f t="shared" si="1"/>
        <v/>
      </c>
    </row>
    <row r="294" ht="15.75" customHeight="1">
      <c r="E294" s="13" t="str">
        <f t="shared" si="1"/>
        <v/>
      </c>
    </row>
    <row r="295" ht="15.75" customHeight="1">
      <c r="E295" s="13" t="str">
        <f t="shared" si="1"/>
        <v/>
      </c>
    </row>
    <row r="296" ht="15.75" customHeight="1">
      <c r="E296" s="13" t="str">
        <f t="shared" si="1"/>
        <v/>
      </c>
    </row>
    <row r="297" ht="15.75" customHeight="1">
      <c r="E297" s="13" t="str">
        <f t="shared" si="1"/>
        <v/>
      </c>
    </row>
    <row r="298" ht="15.75" customHeight="1">
      <c r="E298" s="13" t="str">
        <f t="shared" si="1"/>
        <v/>
      </c>
    </row>
    <row r="299" ht="15.75" customHeight="1">
      <c r="E299" s="13" t="str">
        <f t="shared" si="1"/>
        <v/>
      </c>
    </row>
    <row r="300" ht="15.75" customHeight="1">
      <c r="E300" s="13" t="str">
        <f t="shared" si="1"/>
        <v/>
      </c>
    </row>
    <row r="301" ht="15.75" customHeight="1">
      <c r="E301" s="13" t="str">
        <f t="shared" si="1"/>
        <v/>
      </c>
    </row>
    <row r="302" ht="15.75" customHeight="1">
      <c r="E302" s="13" t="str">
        <f t="shared" si="1"/>
        <v/>
      </c>
    </row>
    <row r="303" ht="15.75" customHeight="1">
      <c r="E303" s="13" t="str">
        <f t="shared" si="1"/>
        <v/>
      </c>
    </row>
    <row r="304" ht="15.75" customHeight="1">
      <c r="E304" s="13" t="str">
        <f t="shared" si="1"/>
        <v/>
      </c>
    </row>
    <row r="305" ht="15.75" customHeight="1">
      <c r="E305" s="13" t="str">
        <f t="shared" si="1"/>
        <v/>
      </c>
    </row>
    <row r="306" ht="15.75" customHeight="1">
      <c r="E306" s="13" t="str">
        <f t="shared" si="1"/>
        <v/>
      </c>
    </row>
    <row r="307" ht="15.75" customHeight="1">
      <c r="E307" s="13" t="str">
        <f t="shared" si="1"/>
        <v/>
      </c>
    </row>
    <row r="308" ht="15.75" customHeight="1">
      <c r="E308" s="13" t="str">
        <f t="shared" si="1"/>
        <v/>
      </c>
    </row>
    <row r="309" ht="15.75" customHeight="1">
      <c r="E309" s="13" t="str">
        <f t="shared" si="1"/>
        <v/>
      </c>
    </row>
    <row r="310" ht="15.75" customHeight="1">
      <c r="E310" s="13" t="str">
        <f t="shared" si="1"/>
        <v/>
      </c>
    </row>
    <row r="311" ht="15.75" customHeight="1">
      <c r="E311" s="13" t="str">
        <f t="shared" si="1"/>
        <v/>
      </c>
    </row>
    <row r="312" ht="15.75" customHeight="1">
      <c r="E312" s="13" t="str">
        <f t="shared" si="1"/>
        <v/>
      </c>
    </row>
    <row r="313" ht="15.75" customHeight="1">
      <c r="E313" s="13" t="str">
        <f t="shared" si="1"/>
        <v/>
      </c>
    </row>
    <row r="314" ht="15.75" customHeight="1">
      <c r="E314" s="13" t="str">
        <f t="shared" si="1"/>
        <v/>
      </c>
    </row>
    <row r="315" ht="15.75" customHeight="1">
      <c r="E315" s="13" t="str">
        <f t="shared" si="1"/>
        <v/>
      </c>
    </row>
    <row r="316" ht="15.75" customHeight="1">
      <c r="E316" s="13" t="str">
        <f t="shared" si="1"/>
        <v/>
      </c>
    </row>
    <row r="317" ht="15.75" customHeight="1">
      <c r="E317" s="13" t="str">
        <f t="shared" si="1"/>
        <v/>
      </c>
    </row>
    <row r="318" ht="15.75" customHeight="1">
      <c r="E318" s="13" t="str">
        <f t="shared" si="1"/>
        <v/>
      </c>
    </row>
    <row r="319" ht="15.75" customHeight="1">
      <c r="E319" s="13" t="str">
        <f t="shared" si="1"/>
        <v/>
      </c>
    </row>
    <row r="320" ht="15.75" customHeight="1">
      <c r="E320" s="13" t="str">
        <f t="shared" si="1"/>
        <v/>
      </c>
    </row>
    <row r="321" ht="15.75" customHeight="1">
      <c r="E321" s="13" t="str">
        <f t="shared" si="1"/>
        <v/>
      </c>
    </row>
    <row r="322" ht="15.75" customHeight="1">
      <c r="E322" s="13" t="str">
        <f t="shared" si="1"/>
        <v/>
      </c>
    </row>
    <row r="323" ht="15.75" customHeight="1">
      <c r="E323" s="13" t="str">
        <f t="shared" si="1"/>
        <v/>
      </c>
    </row>
    <row r="324" ht="15.75" customHeight="1">
      <c r="E324" s="13" t="str">
        <f t="shared" si="1"/>
        <v/>
      </c>
    </row>
    <row r="325" ht="15.75" customHeight="1">
      <c r="E325" s="13" t="str">
        <f t="shared" si="1"/>
        <v/>
      </c>
    </row>
    <row r="326" ht="15.75" customHeight="1">
      <c r="E326" s="13" t="str">
        <f t="shared" si="1"/>
        <v/>
      </c>
    </row>
    <row r="327" ht="15.75" customHeight="1">
      <c r="E327" s="13" t="str">
        <f t="shared" si="1"/>
        <v/>
      </c>
    </row>
    <row r="328" ht="15.75" customHeight="1">
      <c r="E328" s="13" t="str">
        <f t="shared" si="1"/>
        <v/>
      </c>
    </row>
    <row r="329" ht="15.75" customHeight="1">
      <c r="E329" s="13" t="str">
        <f t="shared" si="1"/>
        <v/>
      </c>
    </row>
    <row r="330" ht="15.75" customHeight="1">
      <c r="E330" s="13" t="str">
        <f t="shared" si="1"/>
        <v/>
      </c>
    </row>
    <row r="331" ht="15.75" customHeight="1">
      <c r="E331" s="13" t="str">
        <f t="shared" si="1"/>
        <v/>
      </c>
    </row>
    <row r="332" ht="15.75" customHeight="1">
      <c r="E332" s="13" t="str">
        <f t="shared" si="1"/>
        <v/>
      </c>
    </row>
    <row r="333" ht="15.75" customHeight="1">
      <c r="E333" s="13" t="str">
        <f t="shared" si="1"/>
        <v/>
      </c>
    </row>
    <row r="334" ht="15.75" customHeight="1">
      <c r="E334" s="13" t="str">
        <f t="shared" si="1"/>
        <v/>
      </c>
    </row>
    <row r="335" ht="15.75" customHeight="1">
      <c r="E335" s="13" t="str">
        <f t="shared" si="1"/>
        <v/>
      </c>
    </row>
    <row r="336" ht="15.75" customHeight="1">
      <c r="E336" s="13" t="str">
        <f t="shared" si="1"/>
        <v/>
      </c>
    </row>
    <row r="337" ht="15.75" customHeight="1">
      <c r="E337" s="13" t="str">
        <f t="shared" si="1"/>
        <v/>
      </c>
    </row>
    <row r="338" ht="15.75" customHeight="1">
      <c r="E338" s="13" t="str">
        <f t="shared" si="1"/>
        <v/>
      </c>
    </row>
    <row r="339" ht="15.75" customHeight="1">
      <c r="E339" s="13" t="str">
        <f t="shared" si="1"/>
        <v/>
      </c>
    </row>
    <row r="340" ht="15.75" customHeight="1">
      <c r="E340" s="13" t="str">
        <f t="shared" si="1"/>
        <v/>
      </c>
    </row>
    <row r="341" ht="15.75" customHeight="1">
      <c r="E341" s="13" t="str">
        <f t="shared" si="1"/>
        <v/>
      </c>
    </row>
    <row r="342" ht="15.75" customHeight="1">
      <c r="E342" s="13" t="str">
        <f t="shared" si="1"/>
        <v/>
      </c>
    </row>
    <row r="343" ht="15.75" customHeight="1">
      <c r="E343" s="13" t="str">
        <f t="shared" si="1"/>
        <v/>
      </c>
    </row>
    <row r="344" ht="15.75" customHeight="1">
      <c r="E344" s="13" t="str">
        <f t="shared" si="1"/>
        <v/>
      </c>
    </row>
    <row r="345" ht="15.75" customHeight="1">
      <c r="E345" s="13" t="str">
        <f t="shared" si="1"/>
        <v/>
      </c>
    </row>
    <row r="346" ht="15.75" customHeight="1">
      <c r="E346" s="13" t="str">
        <f t="shared" si="1"/>
        <v/>
      </c>
    </row>
    <row r="347" ht="15.75" customHeight="1">
      <c r="E347" s="13" t="str">
        <f t="shared" si="1"/>
        <v/>
      </c>
    </row>
    <row r="348" ht="15.75" customHeight="1">
      <c r="E348" s="13" t="str">
        <f t="shared" si="1"/>
        <v/>
      </c>
    </row>
    <row r="349" ht="15.75" customHeight="1">
      <c r="E349" s="13" t="str">
        <f t="shared" si="1"/>
        <v/>
      </c>
    </row>
    <row r="350" ht="15.75" customHeight="1">
      <c r="E350" s="13" t="str">
        <f t="shared" si="1"/>
        <v/>
      </c>
    </row>
    <row r="351" ht="15.75" customHeight="1">
      <c r="E351" s="13" t="str">
        <f t="shared" si="1"/>
        <v/>
      </c>
    </row>
    <row r="352" ht="15.75" customHeight="1">
      <c r="E352" s="13" t="str">
        <f t="shared" si="1"/>
        <v/>
      </c>
    </row>
    <row r="353" ht="15.75" customHeight="1">
      <c r="E353" s="13" t="str">
        <f t="shared" si="1"/>
        <v/>
      </c>
    </row>
    <row r="354" ht="15.75" customHeight="1">
      <c r="E354" s="13" t="str">
        <f t="shared" si="1"/>
        <v/>
      </c>
    </row>
    <row r="355" ht="15.75" customHeight="1">
      <c r="E355" s="13" t="str">
        <f t="shared" si="1"/>
        <v/>
      </c>
    </row>
    <row r="356" ht="15.75" customHeight="1">
      <c r="E356" s="13" t="str">
        <f t="shared" si="1"/>
        <v/>
      </c>
    </row>
    <row r="357" ht="15.75" customHeight="1">
      <c r="E357" s="13" t="str">
        <f t="shared" si="1"/>
        <v/>
      </c>
    </row>
    <row r="358" ht="15.75" customHeight="1">
      <c r="E358" s="13" t="str">
        <f t="shared" si="1"/>
        <v/>
      </c>
    </row>
    <row r="359" ht="15.75" customHeight="1">
      <c r="E359" s="13" t="str">
        <f t="shared" si="1"/>
        <v/>
      </c>
    </row>
    <row r="360" ht="15.75" customHeight="1">
      <c r="E360" s="13" t="str">
        <f t="shared" si="1"/>
        <v/>
      </c>
    </row>
    <row r="361" ht="15.75" customHeight="1">
      <c r="E361" s="13" t="str">
        <f t="shared" si="1"/>
        <v/>
      </c>
    </row>
    <row r="362" ht="15.75" customHeight="1">
      <c r="E362" s="13" t="str">
        <f t="shared" si="1"/>
        <v/>
      </c>
    </row>
    <row r="363" ht="15.75" customHeight="1">
      <c r="E363" s="13" t="str">
        <f t="shared" si="1"/>
        <v/>
      </c>
    </row>
    <row r="364" ht="15.75" customHeight="1">
      <c r="E364" s="13" t="str">
        <f t="shared" si="1"/>
        <v/>
      </c>
    </row>
    <row r="365" ht="15.75" customHeight="1">
      <c r="E365" s="13" t="str">
        <f t="shared" si="1"/>
        <v/>
      </c>
    </row>
    <row r="366" ht="15.75" customHeight="1">
      <c r="E366" s="13" t="str">
        <f t="shared" si="1"/>
        <v/>
      </c>
    </row>
    <row r="367" ht="15.75" customHeight="1">
      <c r="E367" s="13" t="str">
        <f t="shared" si="1"/>
        <v/>
      </c>
    </row>
    <row r="368" ht="15.75" customHeight="1">
      <c r="E368" s="13" t="str">
        <f t="shared" si="1"/>
        <v/>
      </c>
    </row>
    <row r="369" ht="15.75" customHeight="1">
      <c r="E369" s="13" t="str">
        <f t="shared" si="1"/>
        <v/>
      </c>
    </row>
    <row r="370" ht="15.75" customHeight="1">
      <c r="E370" s="13" t="str">
        <f t="shared" si="1"/>
        <v/>
      </c>
    </row>
    <row r="371" ht="15.75" customHeight="1">
      <c r="E371" s="13" t="str">
        <f t="shared" si="1"/>
        <v/>
      </c>
    </row>
    <row r="372" ht="15.75" customHeight="1">
      <c r="E372" s="13" t="str">
        <f t="shared" si="1"/>
        <v/>
      </c>
    </row>
    <row r="373" ht="15.75" customHeight="1">
      <c r="E373" s="13" t="str">
        <f t="shared" si="1"/>
        <v/>
      </c>
    </row>
    <row r="374" ht="15.75" customHeight="1">
      <c r="E374" s="13" t="str">
        <f t="shared" si="1"/>
        <v/>
      </c>
    </row>
    <row r="375" ht="15.75" customHeight="1">
      <c r="E375" s="13" t="str">
        <f t="shared" si="1"/>
        <v/>
      </c>
    </row>
    <row r="376" ht="15.75" customHeight="1">
      <c r="E376" s="13" t="str">
        <f t="shared" si="1"/>
        <v/>
      </c>
    </row>
    <row r="377" ht="15.75" customHeight="1">
      <c r="E377" s="13" t="str">
        <f t="shared" si="1"/>
        <v/>
      </c>
    </row>
    <row r="378" ht="15.75" customHeight="1">
      <c r="E378" s="13" t="str">
        <f t="shared" si="1"/>
        <v/>
      </c>
    </row>
    <row r="379" ht="15.75" customHeight="1">
      <c r="E379" s="13" t="str">
        <f t="shared" si="1"/>
        <v/>
      </c>
    </row>
    <row r="380" ht="15.75" customHeight="1">
      <c r="E380" s="13" t="str">
        <f t="shared" si="1"/>
        <v/>
      </c>
    </row>
    <row r="381" ht="15.75" customHeight="1">
      <c r="E381" s="13" t="str">
        <f t="shared" si="1"/>
        <v/>
      </c>
    </row>
    <row r="382" ht="15.75" customHeight="1">
      <c r="E382" s="13" t="str">
        <f t="shared" si="1"/>
        <v/>
      </c>
    </row>
    <row r="383" ht="15.75" customHeight="1">
      <c r="E383" s="13" t="str">
        <f t="shared" si="1"/>
        <v/>
      </c>
    </row>
    <row r="384" ht="15.75" customHeight="1">
      <c r="E384" s="13" t="str">
        <f t="shared" si="1"/>
        <v/>
      </c>
    </row>
    <row r="385" ht="15.75" customHeight="1">
      <c r="E385" s="13" t="str">
        <f t="shared" si="1"/>
        <v/>
      </c>
    </row>
    <row r="386" ht="15.75" customHeight="1">
      <c r="E386" s="13" t="str">
        <f t="shared" si="1"/>
        <v/>
      </c>
    </row>
    <row r="387" ht="15.75" customHeight="1">
      <c r="E387" s="13" t="str">
        <f t="shared" si="1"/>
        <v/>
      </c>
    </row>
    <row r="388" ht="15.75" customHeight="1">
      <c r="E388" s="13" t="str">
        <f t="shared" si="1"/>
        <v/>
      </c>
    </row>
    <row r="389" ht="15.75" customHeight="1">
      <c r="E389" s="13" t="str">
        <f t="shared" si="1"/>
        <v/>
      </c>
    </row>
    <row r="390" ht="15.75" customHeight="1">
      <c r="E390" s="13" t="str">
        <f t="shared" si="1"/>
        <v/>
      </c>
    </row>
    <row r="391" ht="15.75" customHeight="1">
      <c r="E391" s="13" t="str">
        <f t="shared" si="1"/>
        <v/>
      </c>
    </row>
    <row r="392" ht="15.75" customHeight="1">
      <c r="E392" s="13" t="str">
        <f t="shared" si="1"/>
        <v/>
      </c>
    </row>
    <row r="393" ht="15.75" customHeight="1">
      <c r="E393" s="13" t="str">
        <f t="shared" si="1"/>
        <v/>
      </c>
    </row>
    <row r="394" ht="15.75" customHeight="1">
      <c r="E394" s="13" t="str">
        <f t="shared" si="1"/>
        <v/>
      </c>
    </row>
    <row r="395" ht="15.75" customHeight="1">
      <c r="E395" s="13" t="str">
        <f t="shared" si="1"/>
        <v/>
      </c>
    </row>
    <row r="396" ht="15.75" customHeight="1">
      <c r="E396" s="13" t="str">
        <f t="shared" si="1"/>
        <v/>
      </c>
    </row>
    <row r="397" ht="15.75" customHeight="1">
      <c r="E397" s="13" t="str">
        <f t="shared" si="1"/>
        <v/>
      </c>
    </row>
    <row r="398" ht="15.75" customHeight="1">
      <c r="E398" s="13" t="str">
        <f t="shared" si="1"/>
        <v/>
      </c>
    </row>
    <row r="399" ht="15.75" customHeight="1">
      <c r="E399" s="13" t="str">
        <f t="shared" si="1"/>
        <v/>
      </c>
    </row>
    <row r="400" ht="15.75" customHeight="1">
      <c r="E400" s="13" t="str">
        <f t="shared" si="1"/>
        <v/>
      </c>
    </row>
    <row r="401" ht="15.75" customHeight="1">
      <c r="E401" s="13" t="str">
        <f t="shared" si="1"/>
        <v/>
      </c>
    </row>
    <row r="402" ht="15.75" customHeight="1">
      <c r="E402" s="13" t="str">
        <f t="shared" si="1"/>
        <v/>
      </c>
    </row>
    <row r="403" ht="15.75" customHeight="1">
      <c r="E403" s="13" t="str">
        <f t="shared" si="1"/>
        <v/>
      </c>
    </row>
    <row r="404" ht="15.75" customHeight="1">
      <c r="E404" s="13" t="str">
        <f t="shared" si="1"/>
        <v/>
      </c>
    </row>
    <row r="405" ht="15.75" customHeight="1">
      <c r="E405" s="13" t="str">
        <f t="shared" si="1"/>
        <v/>
      </c>
    </row>
    <row r="406" ht="15.75" customHeight="1">
      <c r="E406" s="13" t="str">
        <f t="shared" si="1"/>
        <v/>
      </c>
    </row>
    <row r="407" ht="15.75" customHeight="1">
      <c r="E407" s="13" t="str">
        <f t="shared" si="1"/>
        <v/>
      </c>
    </row>
    <row r="408" ht="15.75" customHeight="1">
      <c r="E408" s="13" t="str">
        <f t="shared" si="1"/>
        <v/>
      </c>
    </row>
    <row r="409" ht="15.75" customHeight="1">
      <c r="E409" s="13" t="str">
        <f t="shared" si="1"/>
        <v/>
      </c>
    </row>
    <row r="410" ht="15.75" customHeight="1">
      <c r="E410" s="13" t="str">
        <f t="shared" si="1"/>
        <v/>
      </c>
    </row>
    <row r="411" ht="15.75" customHeight="1">
      <c r="E411" s="13" t="str">
        <f t="shared" si="1"/>
        <v/>
      </c>
    </row>
    <row r="412" ht="15.75" customHeight="1">
      <c r="E412" s="13" t="str">
        <f t="shared" si="1"/>
        <v/>
      </c>
    </row>
    <row r="413" ht="15.75" customHeight="1">
      <c r="E413" s="13" t="str">
        <f t="shared" si="1"/>
        <v/>
      </c>
    </row>
    <row r="414" ht="15.75" customHeight="1">
      <c r="E414" s="13" t="str">
        <f t="shared" si="1"/>
        <v/>
      </c>
    </row>
    <row r="415" ht="15.75" customHeight="1">
      <c r="E415" s="13" t="str">
        <f t="shared" si="1"/>
        <v/>
      </c>
    </row>
    <row r="416" ht="15.75" customHeight="1">
      <c r="E416" s="13" t="str">
        <f t="shared" si="1"/>
        <v/>
      </c>
    </row>
    <row r="417" ht="15.75" customHeight="1">
      <c r="E417" s="13" t="str">
        <f t="shared" si="1"/>
        <v/>
      </c>
    </row>
    <row r="418" ht="15.75" customHeight="1">
      <c r="E418" s="13" t="str">
        <f t="shared" si="1"/>
        <v/>
      </c>
    </row>
    <row r="419" ht="15.75" customHeight="1">
      <c r="E419" s="13" t="str">
        <f t="shared" si="1"/>
        <v/>
      </c>
    </row>
    <row r="420" ht="15.75" customHeight="1">
      <c r="E420" s="13" t="str">
        <f t="shared" si="1"/>
        <v/>
      </c>
    </row>
    <row r="421" ht="15.75" customHeight="1">
      <c r="E421" s="13" t="str">
        <f t="shared" si="1"/>
        <v/>
      </c>
    </row>
    <row r="422" ht="15.75" customHeight="1">
      <c r="E422" s="13" t="str">
        <f t="shared" si="1"/>
        <v/>
      </c>
    </row>
    <row r="423" ht="15.75" customHeight="1">
      <c r="E423" s="13" t="str">
        <f t="shared" si="1"/>
        <v/>
      </c>
    </row>
    <row r="424" ht="15.75" customHeight="1">
      <c r="E424" s="13" t="str">
        <f t="shared" si="1"/>
        <v/>
      </c>
    </row>
    <row r="425" ht="15.75" customHeight="1">
      <c r="E425" s="13" t="str">
        <f t="shared" si="1"/>
        <v/>
      </c>
    </row>
    <row r="426" ht="15.75" customHeight="1">
      <c r="E426" s="13" t="str">
        <f t="shared" si="1"/>
        <v/>
      </c>
    </row>
    <row r="427" ht="15.75" customHeight="1">
      <c r="E427" s="13" t="str">
        <f t="shared" si="1"/>
        <v/>
      </c>
    </row>
    <row r="428" ht="15.75" customHeight="1">
      <c r="E428" s="13" t="str">
        <f t="shared" si="1"/>
        <v/>
      </c>
    </row>
    <row r="429" ht="15.75" customHeight="1">
      <c r="E429" s="13" t="str">
        <f t="shared" si="1"/>
        <v/>
      </c>
    </row>
    <row r="430" ht="15.75" customHeight="1">
      <c r="E430" s="13" t="str">
        <f t="shared" si="1"/>
        <v/>
      </c>
    </row>
    <row r="431" ht="15.75" customHeight="1">
      <c r="E431" s="13" t="str">
        <f t="shared" si="1"/>
        <v/>
      </c>
    </row>
    <row r="432" ht="15.75" customHeight="1">
      <c r="E432" s="13" t="str">
        <f t="shared" si="1"/>
        <v/>
      </c>
    </row>
    <row r="433" ht="15.75" customHeight="1">
      <c r="E433" s="13" t="str">
        <f t="shared" si="1"/>
        <v/>
      </c>
    </row>
    <row r="434" ht="15.75" customHeight="1">
      <c r="E434" s="13" t="str">
        <f t="shared" si="1"/>
        <v/>
      </c>
    </row>
    <row r="435" ht="15.75" customHeight="1">
      <c r="E435" s="13" t="str">
        <f t="shared" si="1"/>
        <v/>
      </c>
    </row>
    <row r="436" ht="15.75" customHeight="1">
      <c r="E436" s="13" t="str">
        <f t="shared" si="1"/>
        <v/>
      </c>
    </row>
    <row r="437" ht="15.75" customHeight="1">
      <c r="E437" s="13" t="str">
        <f t="shared" si="1"/>
        <v/>
      </c>
    </row>
    <row r="438" ht="15.75" customHeight="1">
      <c r="E438" s="13" t="str">
        <f t="shared" si="1"/>
        <v/>
      </c>
    </row>
    <row r="439" ht="15.75" customHeight="1">
      <c r="E439" s="13" t="str">
        <f t="shared" si="1"/>
        <v/>
      </c>
    </row>
    <row r="440" ht="15.75" customHeight="1">
      <c r="E440" s="13" t="str">
        <f t="shared" si="1"/>
        <v/>
      </c>
    </row>
    <row r="441" ht="15.75" customHeight="1">
      <c r="E441" s="13" t="str">
        <f t="shared" si="1"/>
        <v/>
      </c>
    </row>
    <row r="442" ht="15.75" customHeight="1">
      <c r="E442" s="13" t="str">
        <f t="shared" si="1"/>
        <v/>
      </c>
    </row>
    <row r="443" ht="15.75" customHeight="1">
      <c r="E443" s="13" t="str">
        <f t="shared" si="1"/>
        <v/>
      </c>
    </row>
    <row r="444" ht="15.75" customHeight="1">
      <c r="E444" s="13" t="str">
        <f t="shared" si="1"/>
        <v/>
      </c>
    </row>
    <row r="445" ht="15.75" customHeight="1">
      <c r="E445" s="13" t="str">
        <f t="shared" si="1"/>
        <v/>
      </c>
    </row>
    <row r="446" ht="15.75" customHeight="1">
      <c r="E446" s="13" t="str">
        <f t="shared" si="1"/>
        <v/>
      </c>
    </row>
    <row r="447" ht="15.75" customHeight="1">
      <c r="E447" s="13" t="str">
        <f t="shared" si="1"/>
        <v/>
      </c>
    </row>
    <row r="448" ht="15.75" customHeight="1">
      <c r="E448" s="13" t="str">
        <f t="shared" si="1"/>
        <v/>
      </c>
    </row>
    <row r="449" ht="15.75" customHeight="1">
      <c r="E449" s="13" t="str">
        <f t="shared" si="1"/>
        <v/>
      </c>
    </row>
    <row r="450" ht="15.75" customHeight="1">
      <c r="E450" s="13" t="str">
        <f t="shared" si="1"/>
        <v/>
      </c>
    </row>
    <row r="451" ht="15.75" customHeight="1">
      <c r="E451" s="13" t="str">
        <f t="shared" si="1"/>
        <v/>
      </c>
    </row>
    <row r="452" ht="15.75" customHeight="1">
      <c r="E452" s="13" t="str">
        <f t="shared" si="1"/>
        <v/>
      </c>
    </row>
    <row r="453" ht="15.75" customHeight="1">
      <c r="E453" s="13" t="str">
        <f t="shared" si="1"/>
        <v/>
      </c>
    </row>
    <row r="454" ht="15.75" customHeight="1">
      <c r="E454" s="13" t="str">
        <f t="shared" si="1"/>
        <v/>
      </c>
    </row>
    <row r="455" ht="15.75" customHeight="1">
      <c r="E455" s="13" t="str">
        <f t="shared" si="1"/>
        <v/>
      </c>
    </row>
    <row r="456" ht="15.75" customHeight="1">
      <c r="E456" s="13" t="str">
        <f t="shared" si="1"/>
        <v/>
      </c>
    </row>
    <row r="457" ht="15.75" customHeight="1">
      <c r="E457" s="13" t="str">
        <f t="shared" si="1"/>
        <v/>
      </c>
    </row>
    <row r="458" ht="15.75" customHeight="1">
      <c r="E458" s="13" t="str">
        <f t="shared" si="1"/>
        <v/>
      </c>
    </row>
    <row r="459" ht="15.75" customHeight="1">
      <c r="E459" s="13" t="str">
        <f t="shared" si="1"/>
        <v/>
      </c>
    </row>
    <row r="460" ht="15.75" customHeight="1">
      <c r="E460" s="13" t="str">
        <f t="shared" si="1"/>
        <v/>
      </c>
    </row>
    <row r="461" ht="15.75" customHeight="1">
      <c r="E461" s="13" t="str">
        <f t="shared" si="1"/>
        <v/>
      </c>
    </row>
    <row r="462" ht="15.75" customHeight="1">
      <c r="E462" s="13" t="str">
        <f t="shared" si="1"/>
        <v/>
      </c>
    </row>
    <row r="463" ht="15.75" customHeight="1">
      <c r="E463" s="13" t="str">
        <f t="shared" si="1"/>
        <v/>
      </c>
    </row>
    <row r="464" ht="15.75" customHeight="1">
      <c r="E464" s="13" t="str">
        <f t="shared" si="1"/>
        <v/>
      </c>
    </row>
    <row r="465" ht="15.75" customHeight="1">
      <c r="E465" s="13" t="str">
        <f t="shared" si="1"/>
        <v/>
      </c>
    </row>
    <row r="466" ht="15.75" customHeight="1">
      <c r="E466" s="13" t="str">
        <f t="shared" si="1"/>
        <v/>
      </c>
    </row>
    <row r="467" ht="15.75" customHeight="1">
      <c r="E467" s="13" t="str">
        <f t="shared" si="1"/>
        <v/>
      </c>
    </row>
    <row r="468" ht="15.75" customHeight="1">
      <c r="E468" s="13" t="str">
        <f t="shared" si="1"/>
        <v/>
      </c>
    </row>
    <row r="469" ht="15.75" customHeight="1">
      <c r="E469" s="13" t="str">
        <f t="shared" si="1"/>
        <v/>
      </c>
    </row>
    <row r="470" ht="15.75" customHeight="1">
      <c r="E470" s="13" t="str">
        <f t="shared" si="1"/>
        <v/>
      </c>
    </row>
    <row r="471" ht="15.75" customHeight="1">
      <c r="E471" s="13" t="str">
        <f t="shared" si="1"/>
        <v/>
      </c>
    </row>
    <row r="472" ht="15.75" customHeight="1">
      <c r="E472" s="13" t="str">
        <f t="shared" si="1"/>
        <v/>
      </c>
    </row>
    <row r="473" ht="15.75" customHeight="1">
      <c r="E473" s="13" t="str">
        <f t="shared" si="1"/>
        <v/>
      </c>
    </row>
    <row r="474" ht="15.75" customHeight="1">
      <c r="E474" s="13" t="str">
        <f t="shared" si="1"/>
        <v/>
      </c>
    </row>
    <row r="475" ht="15.75" customHeight="1">
      <c r="E475" s="13" t="str">
        <f t="shared" si="1"/>
        <v/>
      </c>
    </row>
    <row r="476" ht="15.75" customHeight="1">
      <c r="E476" s="13" t="str">
        <f t="shared" si="1"/>
        <v/>
      </c>
    </row>
    <row r="477" ht="15.75" customHeight="1">
      <c r="E477" s="13" t="str">
        <f t="shared" si="1"/>
        <v/>
      </c>
    </row>
    <row r="478" ht="15.75" customHeight="1">
      <c r="E478" s="13" t="str">
        <f t="shared" si="1"/>
        <v/>
      </c>
    </row>
    <row r="479" ht="15.75" customHeight="1">
      <c r="E479" s="13" t="str">
        <f t="shared" si="1"/>
        <v/>
      </c>
    </row>
    <row r="480" ht="15.75" customHeight="1">
      <c r="E480" s="13" t="str">
        <f t="shared" si="1"/>
        <v/>
      </c>
    </row>
    <row r="481" ht="15.75" customHeight="1">
      <c r="E481" s="13" t="str">
        <f t="shared" si="1"/>
        <v/>
      </c>
    </row>
    <row r="482" ht="15.75" customHeight="1">
      <c r="E482" s="13" t="str">
        <f t="shared" si="1"/>
        <v/>
      </c>
    </row>
    <row r="483" ht="15.75" customHeight="1">
      <c r="E483" s="13" t="str">
        <f t="shared" si="1"/>
        <v/>
      </c>
    </row>
    <row r="484" ht="15.75" customHeight="1">
      <c r="E484" s="13" t="str">
        <f t="shared" si="1"/>
        <v/>
      </c>
    </row>
    <row r="485" ht="15.75" customHeight="1">
      <c r="E485" s="13" t="str">
        <f t="shared" si="1"/>
        <v/>
      </c>
    </row>
    <row r="486" ht="15.75" customHeight="1">
      <c r="E486" s="13" t="str">
        <f t="shared" si="1"/>
        <v/>
      </c>
    </row>
    <row r="487" ht="15.75" customHeight="1">
      <c r="E487" s="13" t="str">
        <f t="shared" si="1"/>
        <v/>
      </c>
    </row>
    <row r="488" ht="15.75" customHeight="1">
      <c r="E488" s="13" t="str">
        <f t="shared" si="1"/>
        <v/>
      </c>
    </row>
    <row r="489" ht="15.75" customHeight="1">
      <c r="E489" s="13" t="str">
        <f t="shared" si="1"/>
        <v/>
      </c>
    </row>
    <row r="490" ht="15.75" customHeight="1">
      <c r="E490" s="13" t="str">
        <f t="shared" si="1"/>
        <v/>
      </c>
    </row>
    <row r="491" ht="15.75" customHeight="1">
      <c r="E491" s="13" t="str">
        <f t="shared" si="1"/>
        <v/>
      </c>
    </row>
    <row r="492" ht="15.75" customHeight="1">
      <c r="E492" s="13" t="str">
        <f t="shared" si="1"/>
        <v/>
      </c>
    </row>
    <row r="493" ht="15.75" customHeight="1">
      <c r="E493" s="13" t="str">
        <f t="shared" si="1"/>
        <v/>
      </c>
    </row>
    <row r="494" ht="15.75" customHeight="1">
      <c r="E494" s="13" t="str">
        <f t="shared" si="1"/>
        <v/>
      </c>
    </row>
    <row r="495" ht="15.75" customHeight="1">
      <c r="E495" s="13" t="str">
        <f t="shared" si="1"/>
        <v/>
      </c>
    </row>
    <row r="496" ht="15.75" customHeight="1">
      <c r="E496" s="13" t="str">
        <f t="shared" si="1"/>
        <v/>
      </c>
    </row>
    <row r="497" ht="15.75" customHeight="1">
      <c r="E497" s="13" t="str">
        <f t="shared" si="1"/>
        <v/>
      </c>
    </row>
    <row r="498" ht="15.75" customHeight="1">
      <c r="E498" s="13" t="str">
        <f t="shared" si="1"/>
        <v/>
      </c>
    </row>
    <row r="499" ht="15.75" customHeight="1">
      <c r="E499" s="13" t="str">
        <f t="shared" si="1"/>
        <v/>
      </c>
    </row>
    <row r="500" ht="15.75" customHeight="1">
      <c r="E500" s="13" t="str">
        <f t="shared" si="1"/>
        <v/>
      </c>
    </row>
    <row r="501" ht="15.75" customHeight="1">
      <c r="E501" s="13" t="str">
        <f t="shared" si="1"/>
        <v/>
      </c>
    </row>
    <row r="502" ht="15.75" customHeight="1">
      <c r="E502" s="13" t="str">
        <f t="shared" si="1"/>
        <v/>
      </c>
    </row>
    <row r="503" ht="15.75" customHeight="1">
      <c r="E503" s="13" t="str">
        <f t="shared" si="1"/>
        <v/>
      </c>
    </row>
    <row r="504" ht="15.75" customHeight="1">
      <c r="E504" s="13" t="str">
        <f t="shared" si="1"/>
        <v/>
      </c>
    </row>
    <row r="505" ht="15.75" customHeight="1">
      <c r="E505" s="13" t="str">
        <f t="shared" si="1"/>
        <v/>
      </c>
    </row>
    <row r="506" ht="15.75" customHeight="1">
      <c r="E506" s="13" t="str">
        <f t="shared" si="1"/>
        <v/>
      </c>
    </row>
    <row r="507" ht="15.75" customHeight="1">
      <c r="E507" s="13" t="str">
        <f t="shared" si="1"/>
        <v/>
      </c>
    </row>
    <row r="508" ht="15.75" customHeight="1">
      <c r="E508" s="13" t="str">
        <f t="shared" si="1"/>
        <v/>
      </c>
    </row>
    <row r="509" ht="15.75" customHeight="1">
      <c r="E509" s="13" t="str">
        <f t="shared" si="1"/>
        <v/>
      </c>
    </row>
    <row r="510" ht="15.75" customHeight="1">
      <c r="E510" s="13" t="str">
        <f t="shared" si="1"/>
        <v/>
      </c>
    </row>
    <row r="511" ht="15.75" customHeight="1">
      <c r="E511" s="13" t="str">
        <f t="shared" si="1"/>
        <v/>
      </c>
    </row>
    <row r="512" ht="15.75" customHeight="1">
      <c r="E512" s="13" t="str">
        <f t="shared" si="1"/>
        <v/>
      </c>
    </row>
    <row r="513" ht="15.75" customHeight="1">
      <c r="E513" s="13" t="str">
        <f t="shared" si="1"/>
        <v/>
      </c>
    </row>
    <row r="514" ht="15.75" customHeight="1">
      <c r="E514" s="13" t="str">
        <f t="shared" si="1"/>
        <v/>
      </c>
    </row>
    <row r="515" ht="15.75" customHeight="1">
      <c r="E515" s="13" t="str">
        <f t="shared" si="1"/>
        <v/>
      </c>
    </row>
    <row r="516" ht="15.75" customHeight="1">
      <c r="E516" s="13" t="str">
        <f t="shared" si="1"/>
        <v/>
      </c>
    </row>
    <row r="517" ht="15.75" customHeight="1">
      <c r="E517" s="13" t="str">
        <f t="shared" si="1"/>
        <v/>
      </c>
    </row>
    <row r="518" ht="15.75" customHeight="1">
      <c r="E518" s="13" t="str">
        <f t="shared" si="1"/>
        <v/>
      </c>
    </row>
    <row r="519" ht="15.75" customHeight="1">
      <c r="E519" s="13" t="str">
        <f t="shared" si="1"/>
        <v/>
      </c>
    </row>
    <row r="520" ht="15.75" customHeight="1">
      <c r="E520" s="13" t="str">
        <f t="shared" si="1"/>
        <v/>
      </c>
    </row>
    <row r="521" ht="15.75" customHeight="1">
      <c r="E521" s="13" t="str">
        <f t="shared" si="1"/>
        <v/>
      </c>
    </row>
    <row r="522" ht="15.75" customHeight="1">
      <c r="E522" s="13" t="str">
        <f t="shared" si="1"/>
        <v/>
      </c>
    </row>
    <row r="523" ht="15.75" customHeight="1">
      <c r="E523" s="13" t="str">
        <f t="shared" si="1"/>
        <v/>
      </c>
    </row>
    <row r="524" ht="15.75" customHeight="1">
      <c r="E524" s="13" t="str">
        <f t="shared" si="1"/>
        <v/>
      </c>
    </row>
    <row r="525" ht="15.75" customHeight="1">
      <c r="E525" s="13" t="str">
        <f t="shared" si="1"/>
        <v/>
      </c>
    </row>
    <row r="526" ht="15.75" customHeight="1">
      <c r="E526" s="13" t="str">
        <f t="shared" si="1"/>
        <v/>
      </c>
    </row>
    <row r="527" ht="15.75" customHeight="1">
      <c r="E527" s="13" t="str">
        <f t="shared" si="1"/>
        <v/>
      </c>
    </row>
    <row r="528" ht="15.75" customHeight="1">
      <c r="E528" s="13" t="str">
        <f t="shared" si="1"/>
        <v/>
      </c>
    </row>
    <row r="529" ht="15.75" customHeight="1">
      <c r="E529" s="13" t="str">
        <f t="shared" si="1"/>
        <v/>
      </c>
    </row>
    <row r="530" ht="15.75" customHeight="1">
      <c r="E530" s="13" t="str">
        <f t="shared" si="1"/>
        <v/>
      </c>
    </row>
    <row r="531" ht="15.75" customHeight="1">
      <c r="E531" s="13" t="str">
        <f t="shared" si="1"/>
        <v/>
      </c>
    </row>
    <row r="532" ht="15.75" customHeight="1">
      <c r="E532" s="13" t="str">
        <f t="shared" si="1"/>
        <v/>
      </c>
    </row>
    <row r="533" ht="15.75" customHeight="1">
      <c r="E533" s="13" t="str">
        <f t="shared" si="1"/>
        <v/>
      </c>
    </row>
    <row r="534" ht="15.75" customHeight="1">
      <c r="E534" s="13" t="str">
        <f t="shared" si="1"/>
        <v/>
      </c>
    </row>
    <row r="535" ht="15.75" customHeight="1">
      <c r="E535" s="13" t="str">
        <f t="shared" si="1"/>
        <v/>
      </c>
    </row>
    <row r="536" ht="15.75" customHeight="1">
      <c r="E536" s="13" t="str">
        <f t="shared" si="1"/>
        <v/>
      </c>
    </row>
    <row r="537" ht="15.75" customHeight="1">
      <c r="E537" s="13" t="str">
        <f t="shared" si="1"/>
        <v/>
      </c>
    </row>
    <row r="538" ht="15.75" customHeight="1">
      <c r="E538" s="13" t="str">
        <f t="shared" si="1"/>
        <v/>
      </c>
    </row>
    <row r="539" ht="15.75" customHeight="1">
      <c r="E539" s="13" t="str">
        <f t="shared" si="1"/>
        <v/>
      </c>
    </row>
    <row r="540" ht="15.75" customHeight="1">
      <c r="E540" s="13" t="str">
        <f t="shared" si="1"/>
        <v/>
      </c>
    </row>
    <row r="541" ht="15.75" customHeight="1">
      <c r="E541" s="13" t="str">
        <f t="shared" si="1"/>
        <v/>
      </c>
    </row>
    <row r="542" ht="15.75" customHeight="1">
      <c r="E542" s="13" t="str">
        <f t="shared" si="1"/>
        <v/>
      </c>
    </row>
    <row r="543" ht="15.75" customHeight="1">
      <c r="E543" s="13" t="str">
        <f t="shared" si="1"/>
        <v/>
      </c>
    </row>
    <row r="544" ht="15.75" customHeight="1">
      <c r="E544" s="13" t="str">
        <f t="shared" si="1"/>
        <v/>
      </c>
    </row>
    <row r="545" ht="15.75" customHeight="1">
      <c r="E545" s="13" t="str">
        <f t="shared" si="1"/>
        <v/>
      </c>
    </row>
    <row r="546" ht="15.75" customHeight="1">
      <c r="E546" s="13" t="str">
        <f t="shared" si="1"/>
        <v/>
      </c>
    </row>
    <row r="547" ht="15.75" customHeight="1">
      <c r="E547" s="13" t="str">
        <f t="shared" si="1"/>
        <v/>
      </c>
    </row>
    <row r="548" ht="15.75" customHeight="1">
      <c r="E548" s="13" t="str">
        <f t="shared" si="1"/>
        <v/>
      </c>
    </row>
    <row r="549" ht="15.75" customHeight="1">
      <c r="E549" s="13" t="str">
        <f t="shared" si="1"/>
        <v/>
      </c>
    </row>
    <row r="550" ht="15.75" customHeight="1">
      <c r="E550" s="13" t="str">
        <f t="shared" si="1"/>
        <v/>
      </c>
    </row>
    <row r="551" ht="15.75" customHeight="1">
      <c r="E551" s="13" t="str">
        <f t="shared" si="1"/>
        <v/>
      </c>
    </row>
    <row r="552" ht="15.75" customHeight="1">
      <c r="E552" s="13" t="str">
        <f t="shared" si="1"/>
        <v/>
      </c>
    </row>
    <row r="553" ht="15.75" customHeight="1">
      <c r="E553" s="13" t="str">
        <f t="shared" si="1"/>
        <v/>
      </c>
    </row>
    <row r="554" ht="15.75" customHeight="1">
      <c r="E554" s="13" t="str">
        <f t="shared" si="1"/>
        <v/>
      </c>
    </row>
    <row r="555" ht="15.75" customHeight="1">
      <c r="E555" s="13" t="str">
        <f t="shared" si="1"/>
        <v/>
      </c>
    </row>
    <row r="556" ht="15.75" customHeight="1">
      <c r="E556" s="13" t="str">
        <f t="shared" si="1"/>
        <v/>
      </c>
    </row>
    <row r="557" ht="15.75" customHeight="1">
      <c r="E557" s="13" t="str">
        <f t="shared" si="1"/>
        <v/>
      </c>
    </row>
    <row r="558" ht="15.75" customHeight="1">
      <c r="E558" s="13" t="str">
        <f t="shared" si="1"/>
        <v/>
      </c>
    </row>
    <row r="559" ht="15.75" customHeight="1">
      <c r="E559" s="13" t="str">
        <f t="shared" si="1"/>
        <v/>
      </c>
    </row>
    <row r="560" ht="15.75" customHeight="1">
      <c r="E560" s="13" t="str">
        <f t="shared" si="1"/>
        <v/>
      </c>
    </row>
    <row r="561" ht="15.75" customHeight="1">
      <c r="E561" s="13" t="str">
        <f t="shared" si="1"/>
        <v/>
      </c>
    </row>
    <row r="562" ht="15.75" customHeight="1">
      <c r="E562" s="13" t="str">
        <f t="shared" si="1"/>
        <v/>
      </c>
    </row>
    <row r="563" ht="15.75" customHeight="1">
      <c r="E563" s="13" t="str">
        <f t="shared" si="1"/>
        <v/>
      </c>
    </row>
    <row r="564" ht="15.75" customHeight="1">
      <c r="E564" s="13" t="str">
        <f t="shared" si="1"/>
        <v/>
      </c>
    </row>
    <row r="565" ht="15.75" customHeight="1">
      <c r="E565" s="13" t="str">
        <f t="shared" si="1"/>
        <v/>
      </c>
    </row>
    <row r="566" ht="15.75" customHeight="1">
      <c r="E566" s="13" t="str">
        <f t="shared" si="1"/>
        <v/>
      </c>
    </row>
    <row r="567" ht="15.75" customHeight="1">
      <c r="E567" s="13" t="str">
        <f t="shared" si="1"/>
        <v/>
      </c>
    </row>
    <row r="568" ht="15.75" customHeight="1">
      <c r="E568" s="13" t="str">
        <f t="shared" si="1"/>
        <v/>
      </c>
    </row>
    <row r="569" ht="15.75" customHeight="1">
      <c r="E569" s="13" t="str">
        <f t="shared" si="1"/>
        <v/>
      </c>
    </row>
    <row r="570" ht="15.75" customHeight="1">
      <c r="E570" s="13" t="str">
        <f t="shared" si="1"/>
        <v/>
      </c>
    </row>
    <row r="571" ht="15.75" customHeight="1">
      <c r="E571" s="13" t="str">
        <f t="shared" si="1"/>
        <v/>
      </c>
    </row>
    <row r="572" ht="15.75" customHeight="1">
      <c r="E572" s="13" t="str">
        <f t="shared" si="1"/>
        <v/>
      </c>
    </row>
    <row r="573" ht="15.75" customHeight="1">
      <c r="E573" s="13" t="str">
        <f t="shared" si="1"/>
        <v/>
      </c>
    </row>
    <row r="574" ht="15.75" customHeight="1">
      <c r="E574" s="13" t="str">
        <f t="shared" si="1"/>
        <v/>
      </c>
    </row>
    <row r="575" ht="15.75" customHeight="1">
      <c r="E575" s="13" t="str">
        <f t="shared" si="1"/>
        <v/>
      </c>
    </row>
    <row r="576" ht="15.75" customHeight="1">
      <c r="E576" s="13" t="str">
        <f t="shared" si="1"/>
        <v/>
      </c>
    </row>
    <row r="577" ht="15.75" customHeight="1">
      <c r="E577" s="13" t="str">
        <f t="shared" si="1"/>
        <v/>
      </c>
    </row>
    <row r="578" ht="15.75" customHeight="1">
      <c r="E578" s="13" t="str">
        <f t="shared" si="1"/>
        <v/>
      </c>
    </row>
    <row r="579" ht="15.75" customHeight="1">
      <c r="E579" s="13" t="str">
        <f t="shared" si="1"/>
        <v/>
      </c>
    </row>
    <row r="580" ht="15.75" customHeight="1">
      <c r="E580" s="13" t="str">
        <f t="shared" si="1"/>
        <v/>
      </c>
    </row>
    <row r="581" ht="15.75" customHeight="1">
      <c r="E581" s="13" t="str">
        <f t="shared" si="1"/>
        <v/>
      </c>
    </row>
    <row r="582" ht="15.75" customHeight="1">
      <c r="E582" s="13" t="str">
        <f t="shared" si="1"/>
        <v/>
      </c>
    </row>
    <row r="583" ht="15.75" customHeight="1">
      <c r="E583" s="13" t="str">
        <f t="shared" si="1"/>
        <v/>
      </c>
    </row>
    <row r="584" ht="15.75" customHeight="1">
      <c r="E584" s="13" t="str">
        <f t="shared" si="1"/>
        <v/>
      </c>
    </row>
    <row r="585" ht="15.75" customHeight="1">
      <c r="E585" s="13" t="str">
        <f t="shared" si="1"/>
        <v/>
      </c>
    </row>
    <row r="586" ht="15.75" customHeight="1">
      <c r="E586" s="13" t="str">
        <f t="shared" si="1"/>
        <v/>
      </c>
    </row>
    <row r="587" ht="15.75" customHeight="1">
      <c r="E587" s="13" t="str">
        <f t="shared" si="1"/>
        <v/>
      </c>
    </row>
    <row r="588" ht="15.75" customHeight="1">
      <c r="E588" s="13" t="str">
        <f t="shared" si="1"/>
        <v/>
      </c>
    </row>
    <row r="589" ht="15.75" customHeight="1">
      <c r="E589" s="13" t="str">
        <f t="shared" si="1"/>
        <v/>
      </c>
    </row>
    <row r="590" ht="15.75" customHeight="1">
      <c r="E590" s="13" t="str">
        <f t="shared" si="1"/>
        <v/>
      </c>
    </row>
    <row r="591" ht="15.75" customHeight="1">
      <c r="E591" s="13" t="str">
        <f t="shared" si="1"/>
        <v/>
      </c>
    </row>
    <row r="592" ht="15.75" customHeight="1">
      <c r="E592" s="13" t="str">
        <f t="shared" si="1"/>
        <v/>
      </c>
    </row>
    <row r="593" ht="15.75" customHeight="1">
      <c r="E593" s="13" t="str">
        <f t="shared" si="1"/>
        <v/>
      </c>
    </row>
    <row r="594" ht="15.75" customHeight="1">
      <c r="E594" s="13" t="str">
        <f t="shared" si="1"/>
        <v/>
      </c>
    </row>
    <row r="595" ht="15.75" customHeight="1">
      <c r="E595" s="13" t="str">
        <f t="shared" si="1"/>
        <v/>
      </c>
    </row>
    <row r="596" ht="15.75" customHeight="1">
      <c r="E596" s="13" t="str">
        <f t="shared" si="1"/>
        <v/>
      </c>
    </row>
    <row r="597" ht="15.75" customHeight="1">
      <c r="E597" s="13" t="str">
        <f t="shared" si="1"/>
        <v/>
      </c>
    </row>
    <row r="598" ht="15.75" customHeight="1">
      <c r="E598" s="13" t="str">
        <f t="shared" si="1"/>
        <v/>
      </c>
    </row>
    <row r="599" ht="15.75" customHeight="1">
      <c r="E599" s="13" t="str">
        <f t="shared" si="1"/>
        <v/>
      </c>
    </row>
    <row r="600" ht="15.75" customHeight="1">
      <c r="E600" s="13" t="str">
        <f t="shared" si="1"/>
        <v/>
      </c>
    </row>
    <row r="601" ht="15.75" customHeight="1">
      <c r="E601" s="13" t="str">
        <f t="shared" si="1"/>
        <v/>
      </c>
    </row>
    <row r="602" ht="15.75" customHeight="1">
      <c r="E602" s="13" t="str">
        <f t="shared" si="1"/>
        <v/>
      </c>
    </row>
    <row r="603" ht="15.75" customHeight="1">
      <c r="E603" s="13" t="str">
        <f t="shared" si="1"/>
        <v/>
      </c>
    </row>
    <row r="604" ht="15.75" customHeight="1">
      <c r="E604" s="13" t="str">
        <f t="shared" si="1"/>
        <v/>
      </c>
    </row>
    <row r="605" ht="15.75" customHeight="1">
      <c r="E605" s="13" t="str">
        <f t="shared" si="1"/>
        <v/>
      </c>
    </row>
    <row r="606" ht="15.75" customHeight="1">
      <c r="E606" s="13" t="str">
        <f t="shared" si="1"/>
        <v/>
      </c>
    </row>
    <row r="607" ht="15.75" customHeight="1">
      <c r="E607" s="13" t="str">
        <f t="shared" si="1"/>
        <v/>
      </c>
    </row>
    <row r="608" ht="15.75" customHeight="1">
      <c r="E608" s="13" t="str">
        <f t="shared" si="1"/>
        <v/>
      </c>
    </row>
    <row r="609" ht="15.75" customHeight="1">
      <c r="E609" s="13" t="str">
        <f t="shared" si="1"/>
        <v/>
      </c>
    </row>
    <row r="610" ht="15.75" customHeight="1">
      <c r="E610" s="13" t="str">
        <f t="shared" si="1"/>
        <v/>
      </c>
    </row>
    <row r="611" ht="15.75" customHeight="1">
      <c r="E611" s="13" t="str">
        <f t="shared" si="1"/>
        <v/>
      </c>
    </row>
    <row r="612" ht="15.75" customHeight="1">
      <c r="E612" s="13" t="str">
        <f t="shared" si="1"/>
        <v/>
      </c>
    </row>
    <row r="613" ht="15.75" customHeight="1">
      <c r="E613" s="13" t="str">
        <f t="shared" si="1"/>
        <v/>
      </c>
    </row>
    <row r="614" ht="15.75" customHeight="1">
      <c r="E614" s="13" t="str">
        <f t="shared" si="1"/>
        <v/>
      </c>
    </row>
    <row r="615" ht="15.75" customHeight="1">
      <c r="E615" s="13" t="str">
        <f t="shared" si="1"/>
        <v/>
      </c>
    </row>
    <row r="616" ht="15.75" customHeight="1">
      <c r="E616" s="13" t="str">
        <f t="shared" si="1"/>
        <v/>
      </c>
    </row>
    <row r="617" ht="15.75" customHeight="1">
      <c r="E617" s="13" t="str">
        <f t="shared" si="1"/>
        <v/>
      </c>
    </row>
    <row r="618" ht="15.75" customHeight="1">
      <c r="E618" s="13" t="str">
        <f t="shared" si="1"/>
        <v/>
      </c>
    </row>
    <row r="619" ht="15.75" customHeight="1">
      <c r="E619" s="13" t="str">
        <f t="shared" si="1"/>
        <v/>
      </c>
    </row>
    <row r="620" ht="15.75" customHeight="1">
      <c r="E620" s="13" t="str">
        <f t="shared" si="1"/>
        <v/>
      </c>
    </row>
    <row r="621" ht="15.75" customHeight="1">
      <c r="E621" s="13" t="str">
        <f t="shared" si="1"/>
        <v/>
      </c>
    </row>
    <row r="622" ht="15.75" customHeight="1">
      <c r="E622" s="13" t="str">
        <f t="shared" si="1"/>
        <v/>
      </c>
    </row>
    <row r="623" ht="15.75" customHeight="1">
      <c r="E623" s="13" t="str">
        <f t="shared" si="1"/>
        <v/>
      </c>
    </row>
    <row r="624" ht="15.75" customHeight="1">
      <c r="E624" s="13" t="str">
        <f t="shared" si="1"/>
        <v/>
      </c>
    </row>
    <row r="625" ht="15.75" customHeight="1">
      <c r="E625" s="13" t="str">
        <f t="shared" si="1"/>
        <v/>
      </c>
    </row>
    <row r="626" ht="15.75" customHeight="1">
      <c r="E626" s="13" t="str">
        <f t="shared" si="1"/>
        <v/>
      </c>
    </row>
    <row r="627" ht="15.75" customHeight="1">
      <c r="E627" s="13" t="str">
        <f t="shared" si="1"/>
        <v/>
      </c>
    </row>
    <row r="628" ht="15.75" customHeight="1">
      <c r="E628" s="13" t="str">
        <f t="shared" si="1"/>
        <v/>
      </c>
    </row>
    <row r="629" ht="15.75" customHeight="1">
      <c r="E629" s="13" t="str">
        <f t="shared" si="1"/>
        <v/>
      </c>
    </row>
    <row r="630" ht="15.75" customHeight="1">
      <c r="E630" s="13" t="str">
        <f t="shared" si="1"/>
        <v/>
      </c>
    </row>
    <row r="631" ht="15.75" customHeight="1">
      <c r="E631" s="13" t="str">
        <f t="shared" si="1"/>
        <v/>
      </c>
    </row>
    <row r="632" ht="15.75" customHeight="1">
      <c r="E632" s="13" t="str">
        <f t="shared" si="1"/>
        <v/>
      </c>
    </row>
    <row r="633" ht="15.75" customHeight="1">
      <c r="E633" s="13" t="str">
        <f t="shared" si="1"/>
        <v/>
      </c>
    </row>
    <row r="634" ht="15.75" customHeight="1">
      <c r="E634" s="13" t="str">
        <f t="shared" si="1"/>
        <v/>
      </c>
    </row>
    <row r="635" ht="15.75" customHeight="1">
      <c r="E635" s="13" t="str">
        <f t="shared" si="1"/>
        <v/>
      </c>
    </row>
    <row r="636" ht="15.75" customHeight="1">
      <c r="E636" s="13" t="str">
        <f t="shared" si="1"/>
        <v/>
      </c>
    </row>
    <row r="637" ht="15.75" customHeight="1">
      <c r="E637" s="13" t="str">
        <f t="shared" si="1"/>
        <v/>
      </c>
    </row>
    <row r="638" ht="15.75" customHeight="1">
      <c r="E638" s="13" t="str">
        <f t="shared" si="1"/>
        <v/>
      </c>
    </row>
    <row r="639" ht="15.75" customHeight="1">
      <c r="E639" s="13" t="str">
        <f t="shared" si="1"/>
        <v/>
      </c>
    </row>
    <row r="640" ht="15.75" customHeight="1">
      <c r="E640" s="13" t="str">
        <f t="shared" si="1"/>
        <v/>
      </c>
    </row>
    <row r="641" ht="15.75" customHeight="1">
      <c r="E641" s="13" t="str">
        <f t="shared" si="1"/>
        <v/>
      </c>
    </row>
    <row r="642" ht="15.75" customHeight="1">
      <c r="E642" s="13" t="str">
        <f t="shared" si="1"/>
        <v/>
      </c>
    </row>
    <row r="643" ht="15.75" customHeight="1">
      <c r="E643" s="13" t="str">
        <f t="shared" si="1"/>
        <v/>
      </c>
    </row>
    <row r="644" ht="15.75" customHeight="1">
      <c r="E644" s="13" t="str">
        <f t="shared" si="1"/>
        <v/>
      </c>
    </row>
    <row r="645" ht="15.75" customHeight="1">
      <c r="E645" s="13" t="str">
        <f t="shared" si="1"/>
        <v/>
      </c>
    </row>
    <row r="646" ht="15.75" customHeight="1">
      <c r="E646" s="13" t="str">
        <f t="shared" si="1"/>
        <v/>
      </c>
    </row>
    <row r="647" ht="15.75" customHeight="1">
      <c r="E647" s="13" t="str">
        <f t="shared" si="1"/>
        <v/>
      </c>
    </row>
    <row r="648" ht="15.75" customHeight="1">
      <c r="E648" s="13" t="str">
        <f t="shared" si="1"/>
        <v/>
      </c>
    </row>
    <row r="649" ht="15.75" customHeight="1">
      <c r="E649" s="13" t="str">
        <f t="shared" si="1"/>
        <v/>
      </c>
    </row>
    <row r="650" ht="15.75" customHeight="1">
      <c r="E650" s="13" t="str">
        <f t="shared" si="1"/>
        <v/>
      </c>
    </row>
    <row r="651" ht="15.75" customHeight="1">
      <c r="E651" s="13" t="str">
        <f t="shared" si="1"/>
        <v/>
      </c>
    </row>
    <row r="652" ht="15.75" customHeight="1">
      <c r="E652" s="13" t="str">
        <f t="shared" si="1"/>
        <v/>
      </c>
    </row>
    <row r="653" ht="15.75" customHeight="1">
      <c r="E653" s="13" t="str">
        <f t="shared" si="1"/>
        <v/>
      </c>
    </row>
    <row r="654" ht="15.75" customHeight="1">
      <c r="E654" s="13" t="str">
        <f t="shared" si="1"/>
        <v/>
      </c>
    </row>
    <row r="655" ht="15.75" customHeight="1">
      <c r="E655" s="13" t="str">
        <f t="shared" si="1"/>
        <v/>
      </c>
    </row>
    <row r="656" ht="15.75" customHeight="1">
      <c r="E656" s="13" t="str">
        <f t="shared" si="1"/>
        <v/>
      </c>
    </row>
    <row r="657" ht="15.75" customHeight="1">
      <c r="E657" s="13" t="str">
        <f t="shared" si="1"/>
        <v/>
      </c>
    </row>
    <row r="658" ht="15.75" customHeight="1">
      <c r="E658" s="13" t="str">
        <f t="shared" si="1"/>
        <v/>
      </c>
    </row>
    <row r="659" ht="15.75" customHeight="1">
      <c r="E659" s="13" t="str">
        <f t="shared" si="1"/>
        <v/>
      </c>
    </row>
    <row r="660" ht="15.75" customHeight="1">
      <c r="E660" s="13" t="str">
        <f t="shared" si="1"/>
        <v/>
      </c>
    </row>
    <row r="661" ht="15.75" customHeight="1">
      <c r="E661" s="13" t="str">
        <f t="shared" si="1"/>
        <v/>
      </c>
    </row>
    <row r="662" ht="15.75" customHeight="1">
      <c r="E662" s="13" t="str">
        <f t="shared" si="1"/>
        <v/>
      </c>
    </row>
    <row r="663" ht="15.75" customHeight="1">
      <c r="E663" s="13" t="str">
        <f t="shared" si="1"/>
        <v/>
      </c>
    </row>
    <row r="664" ht="15.75" customHeight="1">
      <c r="E664" s="13" t="str">
        <f t="shared" si="1"/>
        <v/>
      </c>
    </row>
    <row r="665" ht="15.75" customHeight="1">
      <c r="E665" s="13" t="str">
        <f t="shared" si="1"/>
        <v/>
      </c>
    </row>
    <row r="666" ht="15.75" customHeight="1">
      <c r="E666" s="13" t="str">
        <f t="shared" si="1"/>
        <v/>
      </c>
    </row>
    <row r="667" ht="15.75" customHeight="1">
      <c r="E667" s="13" t="str">
        <f t="shared" si="1"/>
        <v/>
      </c>
    </row>
    <row r="668" ht="15.75" customHeight="1">
      <c r="E668" s="13" t="str">
        <f t="shared" si="1"/>
        <v/>
      </c>
    </row>
    <row r="669" ht="15.75" customHeight="1">
      <c r="E669" s="13" t="str">
        <f t="shared" si="1"/>
        <v/>
      </c>
    </row>
    <row r="670" ht="15.75" customHeight="1">
      <c r="E670" s="13" t="str">
        <f t="shared" si="1"/>
        <v/>
      </c>
    </row>
    <row r="671" ht="15.75" customHeight="1">
      <c r="E671" s="13" t="str">
        <f t="shared" si="1"/>
        <v/>
      </c>
    </row>
    <row r="672" ht="15.75" customHeight="1">
      <c r="E672" s="13" t="str">
        <f t="shared" si="1"/>
        <v/>
      </c>
    </row>
    <row r="673" ht="15.75" customHeight="1">
      <c r="E673" s="13" t="str">
        <f t="shared" si="1"/>
        <v/>
      </c>
    </row>
    <row r="674" ht="15.75" customHeight="1">
      <c r="E674" s="13" t="str">
        <f t="shared" si="1"/>
        <v/>
      </c>
    </row>
    <row r="675" ht="15.75" customHeight="1">
      <c r="E675" s="13" t="str">
        <f t="shared" si="1"/>
        <v/>
      </c>
    </row>
    <row r="676" ht="15.75" customHeight="1">
      <c r="E676" s="13" t="str">
        <f t="shared" si="1"/>
        <v/>
      </c>
    </row>
    <row r="677" ht="15.75" customHeight="1">
      <c r="E677" s="13" t="str">
        <f t="shared" si="1"/>
        <v/>
      </c>
    </row>
    <row r="678" ht="15.75" customHeight="1">
      <c r="E678" s="13" t="str">
        <f t="shared" si="1"/>
        <v/>
      </c>
    </row>
    <row r="679" ht="15.75" customHeight="1">
      <c r="E679" s="13" t="str">
        <f t="shared" si="1"/>
        <v/>
      </c>
    </row>
    <row r="680" ht="15.75" customHeight="1">
      <c r="E680" s="13" t="str">
        <f t="shared" si="1"/>
        <v/>
      </c>
    </row>
    <row r="681" ht="15.75" customHeight="1">
      <c r="E681" s="13" t="str">
        <f t="shared" si="1"/>
        <v/>
      </c>
    </row>
    <row r="682" ht="15.75" customHeight="1">
      <c r="E682" s="13" t="str">
        <f t="shared" si="1"/>
        <v/>
      </c>
    </row>
    <row r="683" ht="15.75" customHeight="1">
      <c r="E683" s="13" t="str">
        <f t="shared" si="1"/>
        <v/>
      </c>
    </row>
    <row r="684" ht="15.75" customHeight="1">
      <c r="E684" s="13" t="str">
        <f t="shared" si="1"/>
        <v/>
      </c>
    </row>
    <row r="685" ht="15.75" customHeight="1">
      <c r="E685" s="13" t="str">
        <f t="shared" si="1"/>
        <v/>
      </c>
    </row>
    <row r="686" ht="15.75" customHeight="1">
      <c r="E686" s="13" t="str">
        <f t="shared" si="1"/>
        <v/>
      </c>
    </row>
    <row r="687" ht="15.75" customHeight="1">
      <c r="E687" s="13" t="str">
        <f t="shared" si="1"/>
        <v/>
      </c>
    </row>
    <row r="688" ht="15.75" customHeight="1">
      <c r="E688" s="13" t="str">
        <f t="shared" si="1"/>
        <v/>
      </c>
    </row>
    <row r="689" ht="15.75" customHeight="1">
      <c r="E689" s="13" t="str">
        <f t="shared" si="1"/>
        <v/>
      </c>
    </row>
    <row r="690" ht="15.75" customHeight="1">
      <c r="E690" s="13" t="str">
        <f t="shared" si="1"/>
        <v/>
      </c>
    </row>
    <row r="691" ht="15.75" customHeight="1">
      <c r="E691" s="13" t="str">
        <f t="shared" si="1"/>
        <v/>
      </c>
    </row>
    <row r="692" ht="15.75" customHeight="1">
      <c r="E692" s="13" t="str">
        <f t="shared" si="1"/>
        <v/>
      </c>
    </row>
    <row r="693" ht="15.75" customHeight="1">
      <c r="E693" s="13" t="str">
        <f t="shared" si="1"/>
        <v/>
      </c>
    </row>
    <row r="694" ht="15.75" customHeight="1">
      <c r="E694" s="13" t="str">
        <f t="shared" si="1"/>
        <v/>
      </c>
    </row>
    <row r="695" ht="15.75" customHeight="1">
      <c r="E695" s="13" t="str">
        <f t="shared" si="1"/>
        <v/>
      </c>
    </row>
    <row r="696" ht="15.75" customHeight="1">
      <c r="E696" s="13" t="str">
        <f t="shared" si="1"/>
        <v/>
      </c>
    </row>
    <row r="697" ht="15.75" customHeight="1">
      <c r="E697" s="13" t="str">
        <f t="shared" si="1"/>
        <v/>
      </c>
    </row>
    <row r="698" ht="15.75" customHeight="1">
      <c r="E698" s="13" t="str">
        <f t="shared" si="1"/>
        <v/>
      </c>
    </row>
    <row r="699" ht="15.75" customHeight="1">
      <c r="E699" s="13" t="str">
        <f t="shared" si="1"/>
        <v/>
      </c>
    </row>
    <row r="700" ht="15.75" customHeight="1">
      <c r="E700" s="13" t="str">
        <f t="shared" si="1"/>
        <v/>
      </c>
    </row>
    <row r="701" ht="15.75" customHeight="1">
      <c r="E701" s="13" t="str">
        <f t="shared" si="1"/>
        <v/>
      </c>
    </row>
    <row r="702" ht="15.75" customHeight="1">
      <c r="E702" s="13" t="str">
        <f t="shared" si="1"/>
        <v/>
      </c>
    </row>
    <row r="703" ht="15.75" customHeight="1">
      <c r="E703" s="13" t="str">
        <f t="shared" si="1"/>
        <v/>
      </c>
    </row>
    <row r="704" ht="15.75" customHeight="1">
      <c r="E704" s="13" t="str">
        <f t="shared" si="1"/>
        <v/>
      </c>
    </row>
    <row r="705" ht="15.75" customHeight="1">
      <c r="E705" s="13" t="str">
        <f t="shared" si="1"/>
        <v/>
      </c>
    </row>
    <row r="706" ht="15.75" customHeight="1">
      <c r="E706" s="13" t="str">
        <f t="shared" si="1"/>
        <v/>
      </c>
    </row>
    <row r="707" ht="15.75" customHeight="1">
      <c r="E707" s="13" t="str">
        <f t="shared" si="1"/>
        <v/>
      </c>
    </row>
    <row r="708" ht="15.75" customHeight="1">
      <c r="E708" s="13" t="str">
        <f t="shared" si="1"/>
        <v/>
      </c>
    </row>
    <row r="709" ht="15.75" customHeight="1">
      <c r="E709" s="13" t="str">
        <f t="shared" si="1"/>
        <v/>
      </c>
    </row>
    <row r="710" ht="15.75" customHeight="1">
      <c r="E710" s="13" t="str">
        <f t="shared" si="1"/>
        <v/>
      </c>
    </row>
    <row r="711" ht="15.75" customHeight="1">
      <c r="E711" s="13" t="str">
        <f t="shared" si="1"/>
        <v/>
      </c>
    </row>
    <row r="712" ht="15.75" customHeight="1">
      <c r="E712" s="13" t="str">
        <f t="shared" si="1"/>
        <v/>
      </c>
    </row>
    <row r="713" ht="15.75" customHeight="1">
      <c r="E713" s="13" t="str">
        <f t="shared" si="1"/>
        <v/>
      </c>
    </row>
    <row r="714" ht="15.75" customHeight="1">
      <c r="E714" s="13" t="str">
        <f t="shared" si="1"/>
        <v/>
      </c>
    </row>
    <row r="715" ht="15.75" customHeight="1">
      <c r="E715" s="13" t="str">
        <f t="shared" si="1"/>
        <v/>
      </c>
    </row>
    <row r="716" ht="15.75" customHeight="1">
      <c r="E716" s="13" t="str">
        <f t="shared" si="1"/>
        <v/>
      </c>
    </row>
    <row r="717" ht="15.75" customHeight="1">
      <c r="E717" s="13" t="str">
        <f t="shared" si="1"/>
        <v/>
      </c>
    </row>
    <row r="718" ht="15.75" customHeight="1">
      <c r="E718" s="13" t="str">
        <f t="shared" si="1"/>
        <v/>
      </c>
    </row>
    <row r="719" ht="15.75" customHeight="1">
      <c r="E719" s="13" t="str">
        <f t="shared" si="1"/>
        <v/>
      </c>
    </row>
    <row r="720" ht="15.75" customHeight="1">
      <c r="E720" s="13" t="str">
        <f t="shared" si="1"/>
        <v/>
      </c>
    </row>
    <row r="721" ht="15.75" customHeight="1">
      <c r="E721" s="13" t="str">
        <f t="shared" si="1"/>
        <v/>
      </c>
    </row>
    <row r="722" ht="15.75" customHeight="1">
      <c r="E722" s="13" t="str">
        <f t="shared" si="1"/>
        <v/>
      </c>
    </row>
    <row r="723" ht="15.75" customHeight="1">
      <c r="E723" s="13" t="str">
        <f t="shared" si="1"/>
        <v/>
      </c>
    </row>
    <row r="724" ht="15.75" customHeight="1">
      <c r="E724" s="13" t="str">
        <f t="shared" si="1"/>
        <v/>
      </c>
    </row>
    <row r="725" ht="15.75" customHeight="1">
      <c r="E725" s="13" t="str">
        <f t="shared" si="1"/>
        <v/>
      </c>
    </row>
    <row r="726" ht="15.75" customHeight="1">
      <c r="E726" s="13" t="str">
        <f t="shared" si="1"/>
        <v/>
      </c>
    </row>
    <row r="727" ht="15.75" customHeight="1">
      <c r="E727" s="13" t="str">
        <f t="shared" si="1"/>
        <v/>
      </c>
    </row>
    <row r="728" ht="15.75" customHeight="1">
      <c r="E728" s="13" t="str">
        <f t="shared" si="1"/>
        <v/>
      </c>
    </row>
    <row r="729" ht="15.75" customHeight="1">
      <c r="E729" s="13" t="str">
        <f t="shared" si="1"/>
        <v/>
      </c>
    </row>
    <row r="730" ht="15.75" customHeight="1">
      <c r="E730" s="13" t="str">
        <f t="shared" si="1"/>
        <v/>
      </c>
    </row>
    <row r="731" ht="15.75" customHeight="1">
      <c r="E731" s="13" t="str">
        <f t="shared" si="1"/>
        <v/>
      </c>
    </row>
    <row r="732" ht="15.75" customHeight="1">
      <c r="E732" s="13" t="str">
        <f t="shared" si="1"/>
        <v/>
      </c>
    </row>
    <row r="733" ht="15.75" customHeight="1">
      <c r="E733" s="13" t="str">
        <f t="shared" si="1"/>
        <v/>
      </c>
    </row>
    <row r="734" ht="15.75" customHeight="1">
      <c r="E734" s="13" t="str">
        <f t="shared" si="1"/>
        <v/>
      </c>
    </row>
    <row r="735" ht="15.75" customHeight="1">
      <c r="E735" s="13" t="str">
        <f t="shared" si="1"/>
        <v/>
      </c>
    </row>
    <row r="736" ht="15.75" customHeight="1">
      <c r="E736" s="13" t="str">
        <f t="shared" si="1"/>
        <v/>
      </c>
    </row>
    <row r="737" ht="15.75" customHeight="1">
      <c r="E737" s="13" t="str">
        <f t="shared" si="1"/>
        <v/>
      </c>
    </row>
    <row r="738" ht="15.75" customHeight="1">
      <c r="E738" s="13" t="str">
        <f t="shared" si="1"/>
        <v/>
      </c>
    </row>
    <row r="739" ht="15.75" customHeight="1">
      <c r="E739" s="13" t="str">
        <f t="shared" si="1"/>
        <v/>
      </c>
    </row>
    <row r="740" ht="15.75" customHeight="1">
      <c r="E740" s="13" t="str">
        <f t="shared" si="1"/>
        <v/>
      </c>
    </row>
    <row r="741" ht="15.75" customHeight="1">
      <c r="E741" s="13" t="str">
        <f t="shared" si="1"/>
        <v/>
      </c>
    </row>
    <row r="742" ht="15.75" customHeight="1">
      <c r="E742" s="13" t="str">
        <f t="shared" si="1"/>
        <v/>
      </c>
    </row>
    <row r="743" ht="15.75" customHeight="1">
      <c r="E743" s="13" t="str">
        <f t="shared" si="1"/>
        <v/>
      </c>
    </row>
    <row r="744" ht="15.75" customHeight="1">
      <c r="E744" s="13" t="str">
        <f t="shared" si="1"/>
        <v/>
      </c>
    </row>
    <row r="745" ht="15.75" customHeight="1">
      <c r="E745" s="13" t="str">
        <f t="shared" si="1"/>
        <v/>
      </c>
    </row>
    <row r="746" ht="15.75" customHeight="1">
      <c r="E746" s="13" t="str">
        <f t="shared" si="1"/>
        <v/>
      </c>
    </row>
    <row r="747" ht="15.75" customHeight="1">
      <c r="E747" s="13" t="str">
        <f t="shared" si="1"/>
        <v/>
      </c>
    </row>
    <row r="748" ht="15.75" customHeight="1">
      <c r="E748" s="13" t="str">
        <f t="shared" si="1"/>
        <v/>
      </c>
    </row>
    <row r="749" ht="15.75" customHeight="1">
      <c r="E749" s="13" t="str">
        <f t="shared" si="1"/>
        <v/>
      </c>
    </row>
    <row r="750" ht="15.75" customHeight="1">
      <c r="E750" s="13" t="str">
        <f t="shared" si="1"/>
        <v/>
      </c>
    </row>
    <row r="751" ht="15.75" customHeight="1">
      <c r="E751" s="13" t="str">
        <f t="shared" si="1"/>
        <v/>
      </c>
    </row>
    <row r="752" ht="15.75" customHeight="1">
      <c r="E752" s="13" t="str">
        <f t="shared" si="1"/>
        <v/>
      </c>
    </row>
    <row r="753" ht="15.75" customHeight="1">
      <c r="E753" s="13" t="str">
        <f t="shared" si="1"/>
        <v/>
      </c>
    </row>
    <row r="754" ht="15.75" customHeight="1">
      <c r="E754" s="13" t="str">
        <f t="shared" si="1"/>
        <v/>
      </c>
    </row>
    <row r="755" ht="15.75" customHeight="1">
      <c r="E755" s="13" t="str">
        <f t="shared" si="1"/>
        <v/>
      </c>
    </row>
    <row r="756" ht="15.75" customHeight="1">
      <c r="E756" s="13" t="str">
        <f t="shared" si="1"/>
        <v/>
      </c>
    </row>
    <row r="757" ht="15.75" customHeight="1">
      <c r="E757" s="13" t="str">
        <f t="shared" si="1"/>
        <v/>
      </c>
    </row>
    <row r="758" ht="15.75" customHeight="1">
      <c r="E758" s="13" t="str">
        <f t="shared" si="1"/>
        <v/>
      </c>
    </row>
    <row r="759" ht="15.75" customHeight="1">
      <c r="E759" s="13" t="str">
        <f t="shared" si="1"/>
        <v/>
      </c>
    </row>
    <row r="760" ht="15.75" customHeight="1">
      <c r="E760" s="13" t="str">
        <f t="shared" si="1"/>
        <v/>
      </c>
    </row>
    <row r="761" ht="15.75" customHeight="1">
      <c r="E761" s="13" t="str">
        <f t="shared" si="1"/>
        <v/>
      </c>
    </row>
    <row r="762" ht="15.75" customHeight="1">
      <c r="E762" s="13" t="str">
        <f t="shared" si="1"/>
        <v/>
      </c>
    </row>
    <row r="763" ht="15.75" customHeight="1">
      <c r="E763" s="13" t="str">
        <f t="shared" si="1"/>
        <v/>
      </c>
    </row>
    <row r="764" ht="15.75" customHeight="1">
      <c r="E764" s="13" t="str">
        <f t="shared" si="1"/>
        <v/>
      </c>
    </row>
    <row r="765" ht="15.75" customHeight="1">
      <c r="E765" s="13" t="str">
        <f t="shared" si="1"/>
        <v/>
      </c>
    </row>
    <row r="766" ht="15.75" customHeight="1">
      <c r="E766" s="13" t="str">
        <f t="shared" si="1"/>
        <v/>
      </c>
    </row>
    <row r="767" ht="15.75" customHeight="1">
      <c r="E767" s="13" t="str">
        <f t="shared" si="1"/>
        <v/>
      </c>
    </row>
    <row r="768" ht="15.75" customHeight="1">
      <c r="E768" s="13" t="str">
        <f t="shared" si="1"/>
        <v/>
      </c>
    </row>
    <row r="769" ht="15.75" customHeight="1">
      <c r="E769" s="13" t="str">
        <f t="shared" si="1"/>
        <v/>
      </c>
    </row>
    <row r="770" ht="15.75" customHeight="1">
      <c r="E770" s="13" t="str">
        <f t="shared" si="1"/>
        <v/>
      </c>
    </row>
    <row r="771" ht="15.75" customHeight="1">
      <c r="E771" s="13" t="str">
        <f t="shared" si="1"/>
        <v/>
      </c>
    </row>
    <row r="772" ht="15.75" customHeight="1">
      <c r="E772" s="13" t="str">
        <f t="shared" si="1"/>
        <v/>
      </c>
    </row>
    <row r="773" ht="15.75" customHeight="1">
      <c r="E773" s="13" t="str">
        <f t="shared" si="1"/>
        <v/>
      </c>
    </row>
    <row r="774" ht="15.75" customHeight="1">
      <c r="E774" s="13" t="str">
        <f t="shared" si="1"/>
        <v/>
      </c>
    </row>
    <row r="775" ht="15.75" customHeight="1">
      <c r="E775" s="13" t="str">
        <f t="shared" si="1"/>
        <v/>
      </c>
    </row>
    <row r="776" ht="15.75" customHeight="1">
      <c r="E776" s="13" t="str">
        <f t="shared" si="1"/>
        <v/>
      </c>
    </row>
    <row r="777" ht="15.75" customHeight="1">
      <c r="E777" s="13" t="str">
        <f t="shared" si="1"/>
        <v/>
      </c>
    </row>
    <row r="778" ht="15.75" customHeight="1">
      <c r="E778" s="13" t="str">
        <f t="shared" si="1"/>
        <v/>
      </c>
    </row>
    <row r="779" ht="15.75" customHeight="1">
      <c r="E779" s="13" t="str">
        <f t="shared" si="1"/>
        <v/>
      </c>
    </row>
    <row r="780" ht="15.75" customHeight="1">
      <c r="E780" s="13" t="str">
        <f t="shared" si="1"/>
        <v/>
      </c>
    </row>
    <row r="781" ht="15.75" customHeight="1">
      <c r="E781" s="13" t="str">
        <f t="shared" si="1"/>
        <v/>
      </c>
    </row>
    <row r="782" ht="15.75" customHeight="1">
      <c r="E782" s="13" t="str">
        <f t="shared" si="1"/>
        <v/>
      </c>
    </row>
    <row r="783" ht="15.75" customHeight="1">
      <c r="E783" s="13" t="str">
        <f t="shared" si="1"/>
        <v/>
      </c>
    </row>
    <row r="784" ht="15.75" customHeight="1">
      <c r="E784" s="13" t="str">
        <f t="shared" si="1"/>
        <v/>
      </c>
    </row>
    <row r="785" ht="15.75" customHeight="1">
      <c r="E785" s="13" t="str">
        <f t="shared" si="1"/>
        <v/>
      </c>
    </row>
    <row r="786" ht="15.75" customHeight="1">
      <c r="E786" s="13" t="str">
        <f t="shared" si="1"/>
        <v/>
      </c>
    </row>
    <row r="787" ht="15.75" customHeight="1">
      <c r="E787" s="13" t="str">
        <f t="shared" si="1"/>
        <v/>
      </c>
    </row>
    <row r="788" ht="15.75" customHeight="1">
      <c r="E788" s="13" t="str">
        <f t="shared" si="1"/>
        <v/>
      </c>
    </row>
    <row r="789" ht="15.75" customHeight="1">
      <c r="E789" s="13" t="str">
        <f t="shared" si="1"/>
        <v/>
      </c>
    </row>
    <row r="790" ht="15.75" customHeight="1">
      <c r="E790" s="13" t="str">
        <f t="shared" si="1"/>
        <v/>
      </c>
    </row>
    <row r="791" ht="15.75" customHeight="1">
      <c r="E791" s="13" t="str">
        <f t="shared" si="1"/>
        <v/>
      </c>
    </row>
    <row r="792" ht="15.75" customHeight="1">
      <c r="E792" s="13" t="str">
        <f t="shared" si="1"/>
        <v/>
      </c>
    </row>
    <row r="793" ht="15.75" customHeight="1">
      <c r="E793" s="13" t="str">
        <f t="shared" si="1"/>
        <v/>
      </c>
    </row>
    <row r="794" ht="15.75" customHeight="1">
      <c r="E794" s="13" t="str">
        <f t="shared" si="1"/>
        <v/>
      </c>
    </row>
    <row r="795" ht="15.75" customHeight="1">
      <c r="E795" s="13" t="str">
        <f t="shared" si="1"/>
        <v/>
      </c>
    </row>
    <row r="796" ht="15.75" customHeight="1">
      <c r="E796" s="13" t="str">
        <f t="shared" si="1"/>
        <v/>
      </c>
    </row>
    <row r="797" ht="15.75" customHeight="1">
      <c r="E797" s="13" t="str">
        <f t="shared" si="1"/>
        <v/>
      </c>
    </row>
    <row r="798" ht="15.75" customHeight="1">
      <c r="E798" s="13" t="str">
        <f t="shared" si="1"/>
        <v/>
      </c>
    </row>
    <row r="799" ht="15.75" customHeight="1">
      <c r="E799" s="13" t="str">
        <f t="shared" si="1"/>
        <v/>
      </c>
    </row>
    <row r="800" ht="15.75" customHeight="1">
      <c r="E800" s="13" t="str">
        <f t="shared" si="1"/>
        <v/>
      </c>
    </row>
    <row r="801" ht="15.75" customHeight="1">
      <c r="E801" s="13" t="str">
        <f t="shared" si="1"/>
        <v/>
      </c>
    </row>
    <row r="802" ht="15.75" customHeight="1">
      <c r="E802" s="13" t="str">
        <f t="shared" si="1"/>
        <v/>
      </c>
    </row>
    <row r="803" ht="15.75" customHeight="1">
      <c r="E803" s="13" t="str">
        <f t="shared" si="1"/>
        <v/>
      </c>
    </row>
    <row r="804" ht="15.75" customHeight="1">
      <c r="E804" s="13" t="str">
        <f t="shared" si="1"/>
        <v/>
      </c>
    </row>
    <row r="805" ht="15.75" customHeight="1">
      <c r="E805" s="13" t="str">
        <f t="shared" si="1"/>
        <v/>
      </c>
    </row>
    <row r="806" ht="15.75" customHeight="1">
      <c r="E806" s="13" t="str">
        <f t="shared" si="1"/>
        <v/>
      </c>
    </row>
    <row r="807" ht="15.75" customHeight="1">
      <c r="E807" s="13" t="str">
        <f t="shared" si="1"/>
        <v/>
      </c>
    </row>
    <row r="808" ht="15.75" customHeight="1">
      <c r="E808" s="13" t="str">
        <f t="shared" si="1"/>
        <v/>
      </c>
    </row>
    <row r="809" ht="15.75" customHeight="1">
      <c r="E809" s="13" t="str">
        <f t="shared" si="1"/>
        <v/>
      </c>
    </row>
    <row r="810" ht="15.75" customHeight="1">
      <c r="E810" s="13" t="str">
        <f t="shared" si="1"/>
        <v/>
      </c>
    </row>
    <row r="811" ht="15.75" customHeight="1">
      <c r="E811" s="13" t="str">
        <f t="shared" si="1"/>
        <v/>
      </c>
    </row>
    <row r="812" ht="15.75" customHeight="1">
      <c r="E812" s="13" t="str">
        <f t="shared" si="1"/>
        <v/>
      </c>
    </row>
    <row r="813" ht="15.75" customHeight="1">
      <c r="E813" s="13" t="str">
        <f t="shared" si="1"/>
        <v/>
      </c>
    </row>
    <row r="814" ht="15.75" customHeight="1">
      <c r="E814" s="13" t="str">
        <f t="shared" si="1"/>
        <v/>
      </c>
    </row>
    <row r="815" ht="15.75" customHeight="1">
      <c r="E815" s="13" t="str">
        <f t="shared" si="1"/>
        <v/>
      </c>
    </row>
    <row r="816" ht="15.75" customHeight="1">
      <c r="E816" s="13" t="str">
        <f t="shared" si="1"/>
        <v/>
      </c>
    </row>
    <row r="817" ht="15.75" customHeight="1">
      <c r="E817" s="13" t="str">
        <f t="shared" si="1"/>
        <v/>
      </c>
    </row>
    <row r="818" ht="15.75" customHeight="1">
      <c r="E818" s="13" t="str">
        <f t="shared" si="1"/>
        <v/>
      </c>
    </row>
    <row r="819" ht="15.75" customHeight="1">
      <c r="E819" s="13" t="str">
        <f t="shared" si="1"/>
        <v/>
      </c>
    </row>
    <row r="820" ht="15.75" customHeight="1">
      <c r="E820" s="13" t="str">
        <f t="shared" si="1"/>
        <v/>
      </c>
    </row>
    <row r="821" ht="15.75" customHeight="1">
      <c r="E821" s="13" t="str">
        <f t="shared" si="1"/>
        <v/>
      </c>
    </row>
    <row r="822" ht="15.75" customHeight="1">
      <c r="E822" s="13" t="str">
        <f t="shared" si="1"/>
        <v/>
      </c>
    </row>
    <row r="823" ht="15.75" customHeight="1">
      <c r="E823" s="13" t="str">
        <f t="shared" si="1"/>
        <v/>
      </c>
    </row>
    <row r="824" ht="15.75" customHeight="1">
      <c r="E824" s="13" t="str">
        <f t="shared" si="1"/>
        <v/>
      </c>
    </row>
    <row r="825" ht="15.75" customHeight="1">
      <c r="E825" s="13" t="str">
        <f t="shared" si="1"/>
        <v/>
      </c>
    </row>
    <row r="826" ht="15.75" customHeight="1">
      <c r="E826" s="13" t="str">
        <f t="shared" si="1"/>
        <v/>
      </c>
    </row>
    <row r="827" ht="15.75" customHeight="1">
      <c r="E827" s="13" t="str">
        <f t="shared" si="1"/>
        <v/>
      </c>
    </row>
    <row r="828" ht="15.75" customHeight="1">
      <c r="E828" s="13" t="str">
        <f t="shared" si="1"/>
        <v/>
      </c>
    </row>
    <row r="829" ht="15.75" customHeight="1">
      <c r="E829" s="13" t="str">
        <f t="shared" si="1"/>
        <v/>
      </c>
    </row>
    <row r="830" ht="15.75" customHeight="1">
      <c r="E830" s="13" t="str">
        <f t="shared" si="1"/>
        <v/>
      </c>
    </row>
    <row r="831" ht="15.75" customHeight="1">
      <c r="E831" s="13" t="str">
        <f t="shared" si="1"/>
        <v/>
      </c>
    </row>
    <row r="832" ht="15.75" customHeight="1">
      <c r="E832" s="13" t="str">
        <f t="shared" si="1"/>
        <v/>
      </c>
    </row>
    <row r="833" ht="15.75" customHeight="1">
      <c r="E833" s="13" t="str">
        <f t="shared" si="1"/>
        <v/>
      </c>
    </row>
    <row r="834" ht="15.75" customHeight="1">
      <c r="E834" s="13" t="str">
        <f t="shared" si="1"/>
        <v/>
      </c>
    </row>
    <row r="835" ht="15.75" customHeight="1">
      <c r="E835" s="13" t="str">
        <f t="shared" si="1"/>
        <v/>
      </c>
    </row>
    <row r="836" ht="15.75" customHeight="1">
      <c r="E836" s="13" t="str">
        <f t="shared" si="1"/>
        <v/>
      </c>
    </row>
    <row r="837" ht="15.75" customHeight="1">
      <c r="E837" s="13" t="str">
        <f t="shared" si="1"/>
        <v/>
      </c>
    </row>
    <row r="838" ht="15.75" customHeight="1">
      <c r="E838" s="13" t="str">
        <f t="shared" si="1"/>
        <v/>
      </c>
    </row>
    <row r="839" ht="15.75" customHeight="1">
      <c r="E839" s="13" t="str">
        <f t="shared" si="1"/>
        <v/>
      </c>
    </row>
    <row r="840" ht="15.75" customHeight="1">
      <c r="E840" s="13" t="str">
        <f t="shared" si="1"/>
        <v/>
      </c>
    </row>
    <row r="841" ht="15.75" customHeight="1">
      <c r="E841" s="13" t="str">
        <f t="shared" si="1"/>
        <v/>
      </c>
    </row>
    <row r="842" ht="15.75" customHeight="1">
      <c r="E842" s="13" t="str">
        <f t="shared" si="1"/>
        <v/>
      </c>
    </row>
    <row r="843" ht="15.75" customHeight="1">
      <c r="E843" s="13" t="str">
        <f t="shared" si="1"/>
        <v/>
      </c>
    </row>
    <row r="844" ht="15.75" customHeight="1">
      <c r="E844" s="13" t="str">
        <f t="shared" si="1"/>
        <v/>
      </c>
    </row>
    <row r="845" ht="15.75" customHeight="1">
      <c r="E845" s="13" t="str">
        <f t="shared" si="1"/>
        <v/>
      </c>
    </row>
    <row r="846" ht="15.75" customHeight="1">
      <c r="E846" s="13" t="str">
        <f t="shared" si="1"/>
        <v/>
      </c>
    </row>
    <row r="847" ht="15.75" customHeight="1">
      <c r="E847" s="13" t="str">
        <f t="shared" si="1"/>
        <v/>
      </c>
    </row>
    <row r="848" ht="15.75" customHeight="1">
      <c r="E848" s="13" t="str">
        <f t="shared" si="1"/>
        <v/>
      </c>
    </row>
    <row r="849" ht="15.75" customHeight="1">
      <c r="E849" s="13" t="str">
        <f t="shared" si="1"/>
        <v/>
      </c>
    </row>
    <row r="850" ht="15.75" customHeight="1">
      <c r="E850" s="13" t="str">
        <f t="shared" si="1"/>
        <v/>
      </c>
    </row>
    <row r="851" ht="15.75" customHeight="1">
      <c r="E851" s="13" t="str">
        <f t="shared" si="1"/>
        <v/>
      </c>
    </row>
    <row r="852" ht="15.75" customHeight="1">
      <c r="E852" s="13" t="str">
        <f t="shared" si="1"/>
        <v/>
      </c>
    </row>
    <row r="853" ht="15.75" customHeight="1">
      <c r="E853" s="13" t="str">
        <f t="shared" si="1"/>
        <v/>
      </c>
    </row>
    <row r="854" ht="15.75" customHeight="1">
      <c r="E854" s="13" t="str">
        <f t="shared" si="1"/>
        <v/>
      </c>
    </row>
    <row r="855" ht="15.75" customHeight="1">
      <c r="E855" s="13" t="str">
        <f t="shared" si="1"/>
        <v/>
      </c>
    </row>
    <row r="856" ht="15.75" customHeight="1">
      <c r="E856" s="13" t="str">
        <f t="shared" si="1"/>
        <v/>
      </c>
    </row>
    <row r="857" ht="15.75" customHeight="1">
      <c r="E857" s="13" t="str">
        <f t="shared" si="1"/>
        <v/>
      </c>
    </row>
    <row r="858" ht="15.75" customHeight="1">
      <c r="E858" s="13" t="str">
        <f t="shared" si="1"/>
        <v/>
      </c>
    </row>
    <row r="859" ht="15.75" customHeight="1">
      <c r="E859" s="13" t="str">
        <f t="shared" si="1"/>
        <v/>
      </c>
    </row>
    <row r="860" ht="15.75" customHeight="1">
      <c r="E860" s="13" t="str">
        <f t="shared" si="1"/>
        <v/>
      </c>
    </row>
    <row r="861" ht="15.75" customHeight="1">
      <c r="E861" s="13" t="str">
        <f t="shared" si="1"/>
        <v/>
      </c>
    </row>
    <row r="862" ht="15.75" customHeight="1">
      <c r="E862" s="13" t="str">
        <f t="shared" si="1"/>
        <v/>
      </c>
    </row>
    <row r="863" ht="15.75" customHeight="1">
      <c r="E863" s="13" t="str">
        <f t="shared" si="1"/>
        <v/>
      </c>
    </row>
    <row r="864" ht="15.75" customHeight="1">
      <c r="E864" s="13" t="str">
        <f t="shared" si="1"/>
        <v/>
      </c>
    </row>
    <row r="865" ht="15.75" customHeight="1">
      <c r="E865" s="13" t="str">
        <f t="shared" si="1"/>
        <v/>
      </c>
    </row>
    <row r="866" ht="15.75" customHeight="1">
      <c r="E866" s="13" t="str">
        <f t="shared" si="1"/>
        <v/>
      </c>
    </row>
    <row r="867" ht="15.75" customHeight="1">
      <c r="E867" s="13" t="str">
        <f t="shared" si="1"/>
        <v/>
      </c>
    </row>
    <row r="868" ht="15.75" customHeight="1">
      <c r="E868" s="13" t="str">
        <f t="shared" si="1"/>
        <v/>
      </c>
    </row>
    <row r="869" ht="15.75" customHeight="1">
      <c r="E869" s="13" t="str">
        <f t="shared" si="1"/>
        <v/>
      </c>
    </row>
    <row r="870" ht="15.75" customHeight="1">
      <c r="E870" s="13" t="str">
        <f t="shared" si="1"/>
        <v/>
      </c>
    </row>
    <row r="871" ht="15.75" customHeight="1">
      <c r="E871" s="13" t="str">
        <f t="shared" si="1"/>
        <v/>
      </c>
    </row>
    <row r="872" ht="15.75" customHeight="1">
      <c r="E872" s="13" t="str">
        <f t="shared" si="1"/>
        <v/>
      </c>
    </row>
    <row r="873" ht="15.75" customHeight="1">
      <c r="E873" s="13" t="str">
        <f t="shared" si="1"/>
        <v/>
      </c>
    </row>
    <row r="874" ht="15.75" customHeight="1">
      <c r="E874" s="13" t="str">
        <f t="shared" si="1"/>
        <v/>
      </c>
    </row>
    <row r="875" ht="15.75" customHeight="1">
      <c r="E875" s="13" t="str">
        <f t="shared" si="1"/>
        <v/>
      </c>
    </row>
    <row r="876" ht="15.75" customHeight="1">
      <c r="E876" s="13" t="str">
        <f t="shared" si="1"/>
        <v/>
      </c>
    </row>
    <row r="877" ht="15.75" customHeight="1">
      <c r="E877" s="13" t="str">
        <f t="shared" si="1"/>
        <v/>
      </c>
    </row>
    <row r="878" ht="15.75" customHeight="1">
      <c r="E878" s="13" t="str">
        <f t="shared" si="1"/>
        <v/>
      </c>
    </row>
    <row r="879" ht="15.75" customHeight="1">
      <c r="E879" s="13" t="str">
        <f t="shared" si="1"/>
        <v/>
      </c>
    </row>
    <row r="880" ht="15.75" customHeight="1">
      <c r="E880" s="13" t="str">
        <f t="shared" si="1"/>
        <v/>
      </c>
    </row>
    <row r="881" ht="15.75" customHeight="1">
      <c r="E881" s="13" t="str">
        <f t="shared" si="1"/>
        <v/>
      </c>
    </row>
    <row r="882" ht="15.75" customHeight="1">
      <c r="E882" s="13" t="str">
        <f t="shared" si="1"/>
        <v/>
      </c>
    </row>
    <row r="883" ht="15.75" customHeight="1">
      <c r="E883" s="13" t="str">
        <f t="shared" si="1"/>
        <v/>
      </c>
    </row>
    <row r="884" ht="15.75" customHeight="1">
      <c r="E884" s="13" t="str">
        <f t="shared" si="1"/>
        <v/>
      </c>
    </row>
    <row r="885" ht="15.75" customHeight="1">
      <c r="E885" s="13" t="str">
        <f t="shared" si="1"/>
        <v/>
      </c>
    </row>
    <row r="886" ht="15.75" customHeight="1">
      <c r="E886" s="13" t="str">
        <f t="shared" si="1"/>
        <v/>
      </c>
    </row>
    <row r="887" ht="15.75" customHeight="1">
      <c r="E887" s="13" t="str">
        <f t="shared" si="1"/>
        <v/>
      </c>
    </row>
    <row r="888" ht="15.75" customHeight="1">
      <c r="E888" s="13" t="str">
        <f t="shared" si="1"/>
        <v/>
      </c>
    </row>
    <row r="889" ht="15.75" customHeight="1">
      <c r="E889" s="13" t="str">
        <f t="shared" si="1"/>
        <v/>
      </c>
    </row>
    <row r="890" ht="15.75" customHeight="1">
      <c r="E890" s="13" t="str">
        <f t="shared" si="1"/>
        <v/>
      </c>
    </row>
    <row r="891" ht="15.75" customHeight="1">
      <c r="E891" s="13" t="str">
        <f t="shared" si="1"/>
        <v/>
      </c>
    </row>
    <row r="892" ht="15.75" customHeight="1">
      <c r="E892" s="13" t="str">
        <f t="shared" si="1"/>
        <v/>
      </c>
    </row>
    <row r="893" ht="15.75" customHeight="1">
      <c r="E893" s="13" t="str">
        <f t="shared" si="1"/>
        <v/>
      </c>
    </row>
    <row r="894" ht="15.75" customHeight="1">
      <c r="E894" s="13" t="str">
        <f t="shared" si="1"/>
        <v/>
      </c>
    </row>
    <row r="895" ht="15.75" customHeight="1">
      <c r="E895" s="13" t="str">
        <f t="shared" si="1"/>
        <v/>
      </c>
    </row>
    <row r="896" ht="15.75" customHeight="1">
      <c r="E896" s="13" t="str">
        <f t="shared" si="1"/>
        <v/>
      </c>
    </row>
    <row r="897" ht="15.75" customHeight="1">
      <c r="E897" s="13" t="str">
        <f t="shared" si="1"/>
        <v/>
      </c>
    </row>
    <row r="898" ht="15.75" customHeight="1">
      <c r="E898" s="13" t="str">
        <f t="shared" si="1"/>
        <v/>
      </c>
    </row>
    <row r="899" ht="15.75" customHeight="1">
      <c r="E899" s="13" t="str">
        <f t="shared" si="1"/>
        <v/>
      </c>
    </row>
    <row r="900" ht="15.75" customHeight="1">
      <c r="E900" s="13" t="str">
        <f t="shared" si="1"/>
        <v/>
      </c>
    </row>
    <row r="901" ht="15.75" customHeight="1">
      <c r="E901" s="13" t="str">
        <f t="shared" si="1"/>
        <v/>
      </c>
    </row>
    <row r="902" ht="15.75" customHeight="1">
      <c r="E902" s="13" t="str">
        <f t="shared" si="1"/>
        <v/>
      </c>
    </row>
    <row r="903" ht="15.75" customHeight="1">
      <c r="E903" s="13" t="str">
        <f t="shared" si="1"/>
        <v/>
      </c>
    </row>
    <row r="904" ht="15.75" customHeight="1">
      <c r="E904" s="13" t="str">
        <f t="shared" si="1"/>
        <v/>
      </c>
    </row>
    <row r="905" ht="15.75" customHeight="1">
      <c r="E905" s="13" t="str">
        <f t="shared" si="1"/>
        <v/>
      </c>
    </row>
    <row r="906" ht="15.75" customHeight="1">
      <c r="E906" s="13" t="str">
        <f t="shared" si="1"/>
        <v/>
      </c>
    </row>
    <row r="907" ht="15.75" customHeight="1">
      <c r="E907" s="13" t="str">
        <f t="shared" si="1"/>
        <v/>
      </c>
    </row>
    <row r="908" ht="15.75" customHeight="1">
      <c r="E908" s="13" t="str">
        <f t="shared" si="1"/>
        <v/>
      </c>
    </row>
    <row r="909" ht="15.75" customHeight="1">
      <c r="E909" s="13" t="str">
        <f t="shared" si="1"/>
        <v/>
      </c>
    </row>
    <row r="910" ht="15.75" customHeight="1">
      <c r="E910" s="13" t="str">
        <f t="shared" si="1"/>
        <v/>
      </c>
    </row>
    <row r="911" ht="15.75" customHeight="1">
      <c r="E911" s="13" t="str">
        <f t="shared" si="1"/>
        <v/>
      </c>
    </row>
    <row r="912" ht="15.75" customHeight="1">
      <c r="E912" s="13" t="str">
        <f t="shared" si="1"/>
        <v/>
      </c>
    </row>
    <row r="913" ht="15.75" customHeight="1">
      <c r="E913" s="13" t="str">
        <f t="shared" si="1"/>
        <v/>
      </c>
    </row>
    <row r="914" ht="15.75" customHeight="1">
      <c r="E914" s="13" t="str">
        <f t="shared" si="1"/>
        <v/>
      </c>
    </row>
    <row r="915" ht="15.75" customHeight="1">
      <c r="E915" s="13" t="str">
        <f t="shared" si="1"/>
        <v/>
      </c>
    </row>
    <row r="916" ht="15.75" customHeight="1">
      <c r="E916" s="13" t="str">
        <f t="shared" si="1"/>
        <v/>
      </c>
    </row>
    <row r="917" ht="15.75" customHeight="1">
      <c r="E917" s="13" t="str">
        <f t="shared" si="1"/>
        <v/>
      </c>
    </row>
    <row r="918" ht="15.75" customHeight="1">
      <c r="E918" s="13" t="str">
        <f t="shared" si="1"/>
        <v/>
      </c>
    </row>
    <row r="919" ht="15.75" customHeight="1">
      <c r="E919" s="13" t="str">
        <f t="shared" si="1"/>
        <v/>
      </c>
    </row>
    <row r="920" ht="15.75" customHeight="1">
      <c r="E920" s="13" t="str">
        <f t="shared" si="1"/>
        <v/>
      </c>
    </row>
    <row r="921" ht="15.75" customHeight="1">
      <c r="E921" s="13" t="str">
        <f t="shared" si="1"/>
        <v/>
      </c>
    </row>
    <row r="922" ht="15.75" customHeight="1">
      <c r="E922" s="13" t="str">
        <f t="shared" si="1"/>
        <v/>
      </c>
    </row>
    <row r="923" ht="15.75" customHeight="1">
      <c r="E923" s="13" t="str">
        <f t="shared" si="1"/>
        <v/>
      </c>
    </row>
    <row r="924" ht="15.75" customHeight="1">
      <c r="E924" s="13" t="str">
        <f t="shared" si="1"/>
        <v/>
      </c>
    </row>
    <row r="925" ht="15.75" customHeight="1">
      <c r="E925" s="13" t="str">
        <f t="shared" si="1"/>
        <v/>
      </c>
    </row>
    <row r="926" ht="15.75" customHeight="1">
      <c r="E926" s="13" t="str">
        <f t="shared" si="1"/>
        <v/>
      </c>
    </row>
    <row r="927" ht="15.75" customHeight="1">
      <c r="E927" s="13" t="str">
        <f t="shared" si="1"/>
        <v/>
      </c>
    </row>
    <row r="928" ht="15.75" customHeight="1">
      <c r="E928" s="13" t="str">
        <f t="shared" si="1"/>
        <v/>
      </c>
    </row>
    <row r="929" ht="15.75" customHeight="1">
      <c r="E929" s="13" t="str">
        <f t="shared" si="1"/>
        <v/>
      </c>
    </row>
    <row r="930" ht="15.75" customHeight="1">
      <c r="E930" s="13" t="str">
        <f t="shared" si="1"/>
        <v/>
      </c>
    </row>
    <row r="931" ht="15.75" customHeight="1">
      <c r="E931" s="13" t="str">
        <f t="shared" si="1"/>
        <v/>
      </c>
    </row>
    <row r="932" ht="15.75" customHeight="1">
      <c r="E932" s="13" t="str">
        <f t="shared" si="1"/>
        <v/>
      </c>
    </row>
    <row r="933" ht="15.75" customHeight="1">
      <c r="E933" s="13" t="str">
        <f t="shared" si="1"/>
        <v/>
      </c>
    </row>
    <row r="934" ht="15.75" customHeight="1">
      <c r="E934" s="13" t="str">
        <f t="shared" si="1"/>
        <v/>
      </c>
    </row>
    <row r="935" ht="15.75" customHeight="1">
      <c r="E935" s="13" t="str">
        <f t="shared" si="1"/>
        <v/>
      </c>
    </row>
    <row r="936" ht="15.75" customHeight="1">
      <c r="E936" s="13" t="str">
        <f t="shared" si="1"/>
        <v/>
      </c>
    </row>
    <row r="937" ht="15.75" customHeight="1">
      <c r="E937" s="13" t="str">
        <f t="shared" si="1"/>
        <v/>
      </c>
    </row>
    <row r="938" ht="15.75" customHeight="1">
      <c r="E938" s="13" t="str">
        <f t="shared" si="1"/>
        <v/>
      </c>
    </row>
    <row r="939" ht="15.75" customHeight="1">
      <c r="E939" s="13" t="str">
        <f t="shared" si="1"/>
        <v/>
      </c>
    </row>
    <row r="940" ht="15.75" customHeight="1">
      <c r="E940" s="13" t="str">
        <f t="shared" si="1"/>
        <v/>
      </c>
    </row>
    <row r="941" ht="15.75" customHeight="1">
      <c r="E941" s="13" t="str">
        <f t="shared" si="1"/>
        <v/>
      </c>
    </row>
    <row r="942" ht="15.75" customHeight="1">
      <c r="E942" s="13" t="str">
        <f t="shared" si="1"/>
        <v/>
      </c>
    </row>
    <row r="943" ht="15.75" customHeight="1">
      <c r="E943" s="13" t="str">
        <f t="shared" si="1"/>
        <v/>
      </c>
    </row>
    <row r="944" ht="15.75" customHeight="1">
      <c r="E944" s="13" t="str">
        <f t="shared" si="1"/>
        <v/>
      </c>
    </row>
    <row r="945" ht="15.75" customHeight="1">
      <c r="E945" s="13" t="str">
        <f t="shared" si="1"/>
        <v/>
      </c>
    </row>
    <row r="946" ht="15.75" customHeight="1">
      <c r="E946" s="13" t="str">
        <f t="shared" si="1"/>
        <v/>
      </c>
    </row>
    <row r="947" ht="15.75" customHeight="1">
      <c r="E947" s="13" t="str">
        <f t="shared" si="1"/>
        <v/>
      </c>
    </row>
    <row r="948" ht="15.75" customHeight="1">
      <c r="E948" s="13" t="str">
        <f t="shared" si="1"/>
        <v/>
      </c>
    </row>
    <row r="949" ht="15.75" customHeight="1">
      <c r="E949" s="13" t="str">
        <f t="shared" si="1"/>
        <v/>
      </c>
    </row>
    <row r="950" ht="15.75" customHeight="1">
      <c r="E950" s="13" t="str">
        <f t="shared" si="1"/>
        <v/>
      </c>
    </row>
    <row r="951" ht="15.75" customHeight="1">
      <c r="E951" s="13" t="str">
        <f t="shared" si="1"/>
        <v/>
      </c>
    </row>
    <row r="952" ht="15.75" customHeight="1">
      <c r="E952" s="13" t="str">
        <f t="shared" si="1"/>
        <v/>
      </c>
    </row>
    <row r="953" ht="15.75" customHeight="1">
      <c r="E953" s="13" t="str">
        <f t="shared" si="1"/>
        <v/>
      </c>
    </row>
    <row r="954" ht="15.75" customHeight="1">
      <c r="E954" s="13" t="str">
        <f t="shared" si="1"/>
        <v/>
      </c>
    </row>
    <row r="955" ht="15.75" customHeight="1">
      <c r="E955" s="13" t="str">
        <f t="shared" si="1"/>
        <v/>
      </c>
    </row>
    <row r="956" ht="15.75" customHeight="1">
      <c r="E956" s="13" t="str">
        <f t="shared" si="1"/>
        <v/>
      </c>
    </row>
    <row r="957" ht="15.75" customHeight="1">
      <c r="E957" s="13" t="str">
        <f t="shared" si="1"/>
        <v/>
      </c>
    </row>
    <row r="958" ht="15.75" customHeight="1">
      <c r="E958" s="13" t="str">
        <f t="shared" si="1"/>
        <v/>
      </c>
    </row>
    <row r="959" ht="15.75" customHeight="1">
      <c r="E959" s="13" t="str">
        <f t="shared" si="1"/>
        <v/>
      </c>
    </row>
    <row r="960" ht="15.75" customHeight="1">
      <c r="E960" s="13" t="str">
        <f t="shared" si="1"/>
        <v/>
      </c>
    </row>
    <row r="961" ht="15.75" customHeight="1">
      <c r="E961" s="13" t="str">
        <f t="shared" si="1"/>
        <v/>
      </c>
    </row>
    <row r="962" ht="15.75" customHeight="1">
      <c r="E962" s="13" t="str">
        <f t="shared" si="1"/>
        <v/>
      </c>
    </row>
    <row r="963" ht="15.75" customHeight="1">
      <c r="E963" s="13" t="str">
        <f t="shared" si="1"/>
        <v/>
      </c>
    </row>
    <row r="964" ht="15.75" customHeight="1">
      <c r="E964" s="13" t="str">
        <f t="shared" si="1"/>
        <v/>
      </c>
    </row>
    <row r="965" ht="15.75" customHeight="1">
      <c r="E965" s="13" t="str">
        <f t="shared" si="1"/>
        <v/>
      </c>
    </row>
    <row r="966" ht="15.75" customHeight="1">
      <c r="E966" s="13" t="str">
        <f t="shared" si="1"/>
        <v/>
      </c>
    </row>
    <row r="967" ht="15.75" customHeight="1">
      <c r="E967" s="13" t="str">
        <f t="shared" si="1"/>
        <v/>
      </c>
    </row>
    <row r="968" ht="15.75" customHeight="1">
      <c r="E968" s="13" t="str">
        <f t="shared" si="1"/>
        <v/>
      </c>
    </row>
    <row r="969" ht="15.75" customHeight="1">
      <c r="E969" s="13" t="str">
        <f t="shared" si="1"/>
        <v/>
      </c>
    </row>
    <row r="970" ht="15.75" customHeight="1">
      <c r="E970" s="13" t="str">
        <f t="shared" si="1"/>
        <v/>
      </c>
    </row>
    <row r="971" ht="15.75" customHeight="1">
      <c r="E971" s="13" t="str">
        <f t="shared" si="1"/>
        <v/>
      </c>
    </row>
    <row r="972" ht="15.75" customHeight="1">
      <c r="E972" s="13" t="str">
        <f t="shared" si="1"/>
        <v/>
      </c>
    </row>
    <row r="973" ht="15.75" customHeight="1">
      <c r="E973" s="13" t="str">
        <f t="shared" si="1"/>
        <v/>
      </c>
    </row>
    <row r="974" ht="15.75" customHeight="1">
      <c r="E974" s="13" t="str">
        <f t="shared" si="1"/>
        <v/>
      </c>
    </row>
    <row r="975" ht="15.75" customHeight="1">
      <c r="E975" s="13" t="str">
        <f t="shared" si="1"/>
        <v/>
      </c>
    </row>
    <row r="976" ht="15.75" customHeight="1">
      <c r="E976" s="13" t="str">
        <f t="shared" si="1"/>
        <v/>
      </c>
    </row>
    <row r="977" ht="15.75" customHeight="1">
      <c r="E977" s="13" t="str">
        <f t="shared" si="1"/>
        <v/>
      </c>
    </row>
    <row r="978" ht="15.75" customHeight="1">
      <c r="E978" s="13" t="str">
        <f t="shared" si="1"/>
        <v/>
      </c>
    </row>
    <row r="979" ht="15.75" customHeight="1">
      <c r="E979" s="13" t="str">
        <f t="shared" si="1"/>
        <v/>
      </c>
    </row>
    <row r="980" ht="15.75" customHeight="1">
      <c r="E980" s="13" t="str">
        <f t="shared" si="1"/>
        <v/>
      </c>
    </row>
    <row r="981" ht="15.75" customHeight="1">
      <c r="E981" s="13" t="str">
        <f t="shared" si="1"/>
        <v/>
      </c>
    </row>
    <row r="982" ht="15.75" customHeight="1">
      <c r="E982" s="13" t="str">
        <f t="shared" si="1"/>
        <v/>
      </c>
    </row>
    <row r="983" ht="15.75" customHeight="1">
      <c r="E983" s="13" t="str">
        <f t="shared" si="1"/>
        <v/>
      </c>
    </row>
    <row r="984" ht="15.75" customHeight="1">
      <c r="E984" s="13" t="str">
        <f t="shared" si="1"/>
        <v/>
      </c>
    </row>
    <row r="985" ht="15.75" customHeight="1">
      <c r="E985" s="13" t="str">
        <f t="shared" si="1"/>
        <v/>
      </c>
    </row>
    <row r="986" ht="15.75" customHeight="1">
      <c r="E986" s="13" t="str">
        <f t="shared" si="1"/>
        <v/>
      </c>
    </row>
    <row r="987" ht="15.75" customHeight="1">
      <c r="E987" s="13" t="str">
        <f t="shared" si="1"/>
        <v/>
      </c>
    </row>
    <row r="988" ht="15.75" customHeight="1">
      <c r="E988" s="13" t="str">
        <f t="shared" si="1"/>
        <v/>
      </c>
    </row>
    <row r="989" ht="15.75" customHeight="1">
      <c r="E989" s="13" t="str">
        <f t="shared" si="1"/>
        <v/>
      </c>
    </row>
    <row r="990" ht="15.75" customHeight="1">
      <c r="E990" s="13" t="str">
        <f t="shared" si="1"/>
        <v/>
      </c>
    </row>
    <row r="991" ht="15.75" customHeight="1">
      <c r="E991" s="13" t="str">
        <f t="shared" si="1"/>
        <v/>
      </c>
    </row>
    <row r="992" ht="15.75" customHeight="1">
      <c r="E992" s="13" t="str">
        <f t="shared" si="1"/>
        <v/>
      </c>
    </row>
    <row r="993" ht="15.75" customHeight="1">
      <c r="E993" s="13" t="str">
        <f t="shared" si="1"/>
        <v/>
      </c>
    </row>
    <row r="994" ht="15.75" customHeight="1">
      <c r="E994" s="13" t="str">
        <f t="shared" si="1"/>
        <v/>
      </c>
    </row>
    <row r="995" ht="15.75" customHeight="1">
      <c r="E995" s="13" t="str">
        <f t="shared" si="1"/>
        <v/>
      </c>
    </row>
    <row r="996" ht="15.75" customHeight="1">
      <c r="E996" s="13" t="str">
        <f t="shared" si="1"/>
        <v/>
      </c>
    </row>
    <row r="997" ht="15.75" customHeight="1">
      <c r="E997" s="13" t="str">
        <f t="shared" si="1"/>
        <v/>
      </c>
    </row>
    <row r="998" ht="15.75" customHeight="1">
      <c r="E998" s="13" t="str">
        <f t="shared" si="1"/>
        <v/>
      </c>
    </row>
    <row r="999" ht="15.75" customHeight="1">
      <c r="E999" s="13" t="str">
        <f t="shared" si="1"/>
        <v/>
      </c>
    </row>
    <row r="1000" ht="15.75" customHeight="1">
      <c r="E1000" s="3" t="str">
        <f t="shared" si="1"/>
        <v/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22.0"/>
    <col customWidth="1" min="4" max="4" width="16.0"/>
    <col customWidth="1" min="5" max="6" width="18.0"/>
    <col customWidth="1" min="7" max="7" width="15.71"/>
    <col customWidth="1" min="8" max="8" width="24.14"/>
    <col customWidth="1" min="9" max="26" width="8.71"/>
  </cols>
  <sheetData>
    <row r="1">
      <c r="A1" s="1" t="s">
        <v>115</v>
      </c>
      <c r="B1" s="1" t="s">
        <v>93</v>
      </c>
      <c r="C1" s="1" t="s">
        <v>116</v>
      </c>
      <c r="D1" s="1" t="s">
        <v>106</v>
      </c>
      <c r="E1" s="1" t="s">
        <v>117</v>
      </c>
      <c r="F1" s="1" t="s">
        <v>107</v>
      </c>
      <c r="G1" s="1" t="s">
        <v>118</v>
      </c>
      <c r="H1" s="1" t="s">
        <v>119</v>
      </c>
    </row>
    <row r="2">
      <c r="A2" s="12">
        <v>1.0</v>
      </c>
      <c r="B2" s="4">
        <f>DATEVALUE(Inputs!B$2) + (A2-1)*14</f>
        <v>45897</v>
      </c>
      <c r="C2" s="13">
        <f>(1-1)*Inputs!B3</f>
        <v>0</v>
      </c>
      <c r="D2" s="13">
        <f>SUM(Holdings!J2:J1000) + C2</f>
        <v>2006.68</v>
      </c>
      <c r="E2" s="13">
        <f>D2 * IFERROR((SUM(Holdings!K2:K1000)*12)/(SUM(Holdings!J2:J1000)), Inputs!B4) / 52</f>
        <v>30.71903846</v>
      </c>
      <c r="F2" s="13">
        <f t="shared" ref="F2:F131" si="1">E2*4.33</f>
        <v>133.0134365</v>
      </c>
      <c r="G2" s="13">
        <f t="shared" ref="G2:G131" si="2">E2*52</f>
        <v>1597.39</v>
      </c>
      <c r="H2" s="13">
        <f>D2 * Inputs!B6 * Inputs!B7</f>
        <v>173.07615</v>
      </c>
    </row>
    <row r="3">
      <c r="A3" s="12">
        <v>2.0</v>
      </c>
      <c r="B3" s="4">
        <f>DATEVALUE(Inputs!B$2) + (A3-1)*14</f>
        <v>45911</v>
      </c>
      <c r="C3" s="13">
        <f>(2-1)*Inputs!B3</f>
        <v>2200</v>
      </c>
      <c r="D3" s="13">
        <f>SUM(Holdings!J2:J1000) + C3</f>
        <v>4206.68</v>
      </c>
      <c r="E3" s="13">
        <f>D3 * IFERROR((SUM(Holdings!K2:K1000)*12)/(SUM(Holdings!J2:J1000)), Inputs!B4) / 52</f>
        <v>64.39749473</v>
      </c>
      <c r="F3" s="13">
        <f t="shared" si="1"/>
        <v>278.8411522</v>
      </c>
      <c r="G3" s="13">
        <f t="shared" si="2"/>
        <v>3348.669726</v>
      </c>
      <c r="H3" s="13">
        <f>D3 * Inputs!B6 * Inputs!B7</f>
        <v>362.82615</v>
      </c>
    </row>
    <row r="4">
      <c r="A4" s="12">
        <v>3.0</v>
      </c>
      <c r="B4" s="4">
        <f>DATEVALUE(Inputs!B$2) + (A4-1)*14</f>
        <v>45925</v>
      </c>
      <c r="C4" s="13">
        <f>(3-1)*Inputs!B3</f>
        <v>4400</v>
      </c>
      <c r="D4" s="13">
        <f>SUM(Holdings!J2:J1000) + C4</f>
        <v>6406.68</v>
      </c>
      <c r="E4" s="13">
        <f>D4 * IFERROR((SUM(Holdings!K2:K1000)*12)/(SUM(Holdings!J2:J1000)), Inputs!B4) / 52</f>
        <v>98.07595099</v>
      </c>
      <c r="F4" s="13">
        <f t="shared" si="1"/>
        <v>424.6688678</v>
      </c>
      <c r="G4" s="13">
        <f t="shared" si="2"/>
        <v>5099.949451</v>
      </c>
      <c r="H4" s="13">
        <f>D4 * Inputs!B6 * Inputs!B7</f>
        <v>552.57615</v>
      </c>
    </row>
    <row r="5">
      <c r="A5" s="12">
        <v>4.0</v>
      </c>
      <c r="B5" s="4">
        <f>DATEVALUE(Inputs!B$2) + (A5-1)*14</f>
        <v>45939</v>
      </c>
      <c r="C5" s="13">
        <f>(4-1)*Inputs!B3</f>
        <v>6600</v>
      </c>
      <c r="D5" s="13">
        <f>SUM(Holdings!J2:J1000) + C5</f>
        <v>8606.68</v>
      </c>
      <c r="E5" s="13">
        <f>D5 * IFERROR((SUM(Holdings!K2:K1000)*12)/(SUM(Holdings!J2:J1000)), Inputs!B4) / 52</f>
        <v>131.7544073</v>
      </c>
      <c r="F5" s="13">
        <f t="shared" si="1"/>
        <v>570.4965834</v>
      </c>
      <c r="G5" s="13">
        <f t="shared" si="2"/>
        <v>6851.229177</v>
      </c>
      <c r="H5" s="13">
        <f>D5 * Inputs!B6 * Inputs!B7</f>
        <v>742.32615</v>
      </c>
    </row>
    <row r="6">
      <c r="A6" s="12">
        <v>5.0</v>
      </c>
      <c r="B6" s="4">
        <f>DATEVALUE(Inputs!B$2) + (A6-1)*14</f>
        <v>45953</v>
      </c>
      <c r="C6" s="13">
        <f>(5-1)*Inputs!B3</f>
        <v>8800</v>
      </c>
      <c r="D6" s="13">
        <f>SUM(Holdings!J2:J1000) + C6</f>
        <v>10806.68</v>
      </c>
      <c r="E6" s="13">
        <f>D6 * IFERROR((SUM(Holdings!K2:K1000)*12)/(SUM(Holdings!J2:J1000)), Inputs!B4) / 52</f>
        <v>165.4328635</v>
      </c>
      <c r="F6" s="13">
        <f t="shared" si="1"/>
        <v>716.324299</v>
      </c>
      <c r="G6" s="13">
        <f t="shared" si="2"/>
        <v>8602.508903</v>
      </c>
      <c r="H6" s="13">
        <f>D6 * Inputs!B6 * Inputs!B7</f>
        <v>932.07615</v>
      </c>
    </row>
    <row r="7">
      <c r="A7" s="12">
        <v>6.0</v>
      </c>
      <c r="B7" s="4">
        <f>DATEVALUE(Inputs!B$2) + (A7-1)*14</f>
        <v>45967</v>
      </c>
      <c r="C7" s="13">
        <f>(6-1)*Inputs!B3</f>
        <v>11000</v>
      </c>
      <c r="D7" s="13">
        <f>SUM(Holdings!J2:J1000) + C7</f>
        <v>13006.68</v>
      </c>
      <c r="E7" s="13">
        <f>D7 * IFERROR((SUM(Holdings!K2:K1000)*12)/(SUM(Holdings!J2:J1000)), Inputs!B4) / 52</f>
        <v>199.1113198</v>
      </c>
      <c r="F7" s="13">
        <f t="shared" si="1"/>
        <v>862.1520146</v>
      </c>
      <c r="G7" s="13">
        <f t="shared" si="2"/>
        <v>10353.78863</v>
      </c>
      <c r="H7" s="13">
        <f>D7 * Inputs!B6 * Inputs!B7</f>
        <v>1121.82615</v>
      </c>
    </row>
    <row r="8">
      <c r="A8" s="12">
        <v>7.0</v>
      </c>
      <c r="B8" s="4">
        <f>DATEVALUE(Inputs!B$2) + (A8-1)*14</f>
        <v>45981</v>
      </c>
      <c r="C8" s="13">
        <f>(7-1)*Inputs!B3</f>
        <v>13200</v>
      </c>
      <c r="D8" s="13">
        <f>SUM(Holdings!J2:J1000) + C8</f>
        <v>15206.68</v>
      </c>
      <c r="E8" s="13">
        <f>D8 * IFERROR((SUM(Holdings!K2:K1000)*12)/(SUM(Holdings!J2:J1000)), Inputs!B4) / 52</f>
        <v>232.789776</v>
      </c>
      <c r="F8" s="13">
        <f t="shared" si="1"/>
        <v>1007.97973</v>
      </c>
      <c r="G8" s="13">
        <f t="shared" si="2"/>
        <v>12105.06835</v>
      </c>
      <c r="H8" s="13">
        <f>D8 * Inputs!B6 * Inputs!B7</f>
        <v>1311.57615</v>
      </c>
    </row>
    <row r="9">
      <c r="A9" s="12">
        <v>8.0</v>
      </c>
      <c r="B9" s="4">
        <f>DATEVALUE(Inputs!B$2) + (A9-1)*14</f>
        <v>45995</v>
      </c>
      <c r="C9" s="13">
        <f>(8-1)*Inputs!B3</f>
        <v>15400</v>
      </c>
      <c r="D9" s="13">
        <f>SUM(Holdings!J2:J1000) + C9</f>
        <v>17406.68</v>
      </c>
      <c r="E9" s="13">
        <f>D9 * IFERROR((SUM(Holdings!K2:K1000)*12)/(SUM(Holdings!J2:J1000)), Inputs!B4) / 52</f>
        <v>266.4682323</v>
      </c>
      <c r="F9" s="13">
        <f t="shared" si="1"/>
        <v>1153.807446</v>
      </c>
      <c r="G9" s="13">
        <f t="shared" si="2"/>
        <v>13856.34808</v>
      </c>
      <c r="H9" s="13">
        <f>D9 * Inputs!B6 * Inputs!B7</f>
        <v>1501.32615</v>
      </c>
    </row>
    <row r="10">
      <c r="A10" s="12">
        <v>9.0</v>
      </c>
      <c r="B10" s="4">
        <f>DATEVALUE(Inputs!B$2) + (A10-1)*14</f>
        <v>46009</v>
      </c>
      <c r="C10" s="13">
        <f>(9-1)*Inputs!B3</f>
        <v>17600</v>
      </c>
      <c r="D10" s="13">
        <f>SUM(Holdings!J2:J1000) + C10</f>
        <v>19606.68</v>
      </c>
      <c r="E10" s="13">
        <f>D10 * IFERROR((SUM(Holdings!K2:K1000)*12)/(SUM(Holdings!J2:J1000)), Inputs!B4) / 52</f>
        <v>300.1466886</v>
      </c>
      <c r="F10" s="13">
        <f t="shared" si="1"/>
        <v>1299.635162</v>
      </c>
      <c r="G10" s="13">
        <f t="shared" si="2"/>
        <v>15607.62781</v>
      </c>
      <c r="H10" s="13">
        <f>D10 * Inputs!B6 * Inputs!B7</f>
        <v>1691.07615</v>
      </c>
    </row>
    <row r="11">
      <c r="A11" s="12">
        <v>10.0</v>
      </c>
      <c r="B11" s="4">
        <f>DATEVALUE(Inputs!B$2) + (A11-1)*14</f>
        <v>46023</v>
      </c>
      <c r="C11" s="13">
        <f>(10-1)*Inputs!B3</f>
        <v>19800</v>
      </c>
      <c r="D11" s="13">
        <f>SUM(Holdings!J2:J1000) + C11</f>
        <v>21806.68</v>
      </c>
      <c r="E11" s="13">
        <f>D11 * IFERROR((SUM(Holdings!K2:K1000)*12)/(SUM(Holdings!J2:J1000)), Inputs!B4) / 52</f>
        <v>333.8251448</v>
      </c>
      <c r="F11" s="13">
        <f t="shared" si="1"/>
        <v>1445.462877</v>
      </c>
      <c r="G11" s="13">
        <f t="shared" si="2"/>
        <v>17358.90753</v>
      </c>
      <c r="H11" s="13">
        <f>D11 * Inputs!B6 * Inputs!B7</f>
        <v>1880.82615</v>
      </c>
    </row>
    <row r="12">
      <c r="A12" s="12">
        <v>11.0</v>
      </c>
      <c r="B12" s="4">
        <f>DATEVALUE(Inputs!B$2) + (A12-1)*14</f>
        <v>46037</v>
      </c>
      <c r="C12" s="13">
        <f>(11-1)*Inputs!B3</f>
        <v>22000</v>
      </c>
      <c r="D12" s="13">
        <f>SUM(Holdings!J2:J1000) + C12</f>
        <v>24006.68</v>
      </c>
      <c r="E12" s="13">
        <f>D12 * IFERROR((SUM(Holdings!K2:K1000)*12)/(SUM(Holdings!J2:J1000)), Inputs!B4) / 52</f>
        <v>367.5036011</v>
      </c>
      <c r="F12" s="13">
        <f t="shared" si="1"/>
        <v>1591.290593</v>
      </c>
      <c r="G12" s="13">
        <f t="shared" si="2"/>
        <v>19110.18726</v>
      </c>
      <c r="H12" s="13">
        <f>D12 * Inputs!B6 * Inputs!B7</f>
        <v>2070.57615</v>
      </c>
    </row>
    <row r="13">
      <c r="A13" s="12">
        <v>12.0</v>
      </c>
      <c r="B13" s="4">
        <f>DATEVALUE(Inputs!B$2) + (A13-1)*14</f>
        <v>46051</v>
      </c>
      <c r="C13" s="13">
        <f>(12-1)*Inputs!B3</f>
        <v>24200</v>
      </c>
      <c r="D13" s="13">
        <f>SUM(Holdings!J2:J1000) + C13</f>
        <v>26206.68</v>
      </c>
      <c r="E13" s="13">
        <f>D13 * IFERROR((SUM(Holdings!K2:K1000)*12)/(SUM(Holdings!J2:J1000)), Inputs!B4) / 52</f>
        <v>401.1820574</v>
      </c>
      <c r="F13" s="13">
        <f t="shared" si="1"/>
        <v>1737.118308</v>
      </c>
      <c r="G13" s="13">
        <f t="shared" si="2"/>
        <v>20861.46698</v>
      </c>
      <c r="H13" s="13">
        <f>D13 * Inputs!B6 * Inputs!B7</f>
        <v>2260.32615</v>
      </c>
    </row>
    <row r="14">
      <c r="A14" s="12">
        <v>13.0</v>
      </c>
      <c r="B14" s="4">
        <f>DATEVALUE(Inputs!B$2) + (A14-1)*14</f>
        <v>46065</v>
      </c>
      <c r="C14" s="13">
        <f>(13-1)*Inputs!B3</f>
        <v>26400</v>
      </c>
      <c r="D14" s="13">
        <f>SUM(Holdings!J2:J1000) + C14</f>
        <v>28406.68</v>
      </c>
      <c r="E14" s="13">
        <f>D14 * IFERROR((SUM(Holdings!K2:K1000)*12)/(SUM(Holdings!J2:J1000)), Inputs!B4) / 52</f>
        <v>434.8605136</v>
      </c>
      <c r="F14" s="13">
        <f t="shared" si="1"/>
        <v>1882.946024</v>
      </c>
      <c r="G14" s="13">
        <f t="shared" si="2"/>
        <v>22612.74671</v>
      </c>
      <c r="H14" s="13">
        <f>D14 * Inputs!B6 * Inputs!B7</f>
        <v>2450.07615</v>
      </c>
    </row>
    <row r="15">
      <c r="A15" s="12">
        <v>14.0</v>
      </c>
      <c r="B15" s="4">
        <f>DATEVALUE(Inputs!B$2) + (A15-1)*14</f>
        <v>46079</v>
      </c>
      <c r="C15" s="13">
        <f>(14-1)*Inputs!B3</f>
        <v>28600</v>
      </c>
      <c r="D15" s="13">
        <f>SUM(Holdings!J2:J1000) + C15</f>
        <v>30606.68</v>
      </c>
      <c r="E15" s="13">
        <f>D15 * IFERROR((SUM(Holdings!K2:K1000)*12)/(SUM(Holdings!J2:J1000)), Inputs!B4) / 52</f>
        <v>468.5389699</v>
      </c>
      <c r="F15" s="13">
        <f t="shared" si="1"/>
        <v>2028.77374</v>
      </c>
      <c r="G15" s="13">
        <f t="shared" si="2"/>
        <v>24364.02643</v>
      </c>
      <c r="H15" s="13">
        <f>D15 * Inputs!B6 * Inputs!B7</f>
        <v>2639.82615</v>
      </c>
    </row>
    <row r="16">
      <c r="A16" s="12">
        <v>15.0</v>
      </c>
      <c r="B16" s="4">
        <f>DATEVALUE(Inputs!B$2) + (A16-1)*14</f>
        <v>46093</v>
      </c>
      <c r="C16" s="13">
        <f>(15-1)*Inputs!B3</f>
        <v>30800</v>
      </c>
      <c r="D16" s="13">
        <f>SUM(Holdings!J2:J1000) + C16</f>
        <v>32806.68</v>
      </c>
      <c r="E16" s="13">
        <f>D16 * IFERROR((SUM(Holdings!K2:K1000)*12)/(SUM(Holdings!J2:J1000)), Inputs!B4) / 52</f>
        <v>502.2174262</v>
      </c>
      <c r="F16" s="13">
        <f t="shared" si="1"/>
        <v>2174.601455</v>
      </c>
      <c r="G16" s="13">
        <f t="shared" si="2"/>
        <v>26115.30616</v>
      </c>
      <c r="H16" s="13">
        <f>D16 * Inputs!B6 * Inputs!B7</f>
        <v>2829.57615</v>
      </c>
    </row>
    <row r="17">
      <c r="A17" s="12">
        <v>16.0</v>
      </c>
      <c r="B17" s="4">
        <f>DATEVALUE(Inputs!B$2) + (A17-1)*14</f>
        <v>46107</v>
      </c>
      <c r="C17" s="13">
        <f>(16-1)*Inputs!B3</f>
        <v>33000</v>
      </c>
      <c r="D17" s="13">
        <f>SUM(Holdings!J2:J1000) + C17</f>
        <v>35006.68</v>
      </c>
      <c r="E17" s="13">
        <f>D17 * IFERROR((SUM(Holdings!K2:K1000)*12)/(SUM(Holdings!J2:J1000)), Inputs!B4) / 52</f>
        <v>535.8958824</v>
      </c>
      <c r="F17" s="13">
        <f t="shared" si="1"/>
        <v>2320.429171</v>
      </c>
      <c r="G17" s="13">
        <f t="shared" si="2"/>
        <v>27866.58589</v>
      </c>
      <c r="H17" s="13">
        <f>D17 * Inputs!B6 * Inputs!B7</f>
        <v>3019.32615</v>
      </c>
    </row>
    <row r="18">
      <c r="A18" s="12">
        <v>17.0</v>
      </c>
      <c r="B18" s="4">
        <f>DATEVALUE(Inputs!B$2) + (A18-1)*14</f>
        <v>46121</v>
      </c>
      <c r="C18" s="13">
        <f>(17-1)*Inputs!B3</f>
        <v>35200</v>
      </c>
      <c r="D18" s="13">
        <f>SUM(Holdings!J2:J1000) + C18</f>
        <v>37206.68</v>
      </c>
      <c r="E18" s="13">
        <f>D18 * IFERROR((SUM(Holdings!K2:K1000)*12)/(SUM(Holdings!J2:J1000)), Inputs!B4) / 52</f>
        <v>569.5743387</v>
      </c>
      <c r="F18" s="13">
        <f t="shared" si="1"/>
        <v>2466.256886</v>
      </c>
      <c r="G18" s="13">
        <f t="shared" si="2"/>
        <v>29617.86561</v>
      </c>
      <c r="H18" s="13">
        <f>D18 * Inputs!B6 * Inputs!B7</f>
        <v>3209.07615</v>
      </c>
    </row>
    <row r="19">
      <c r="A19" s="12">
        <v>18.0</v>
      </c>
      <c r="B19" s="4">
        <f>DATEVALUE(Inputs!B$2) + (A19-1)*14</f>
        <v>46135</v>
      </c>
      <c r="C19" s="13">
        <f>(18-1)*Inputs!B3</f>
        <v>37400</v>
      </c>
      <c r="D19" s="13">
        <f>SUM(Holdings!J2:J1000) + C19</f>
        <v>39406.68</v>
      </c>
      <c r="E19" s="13">
        <f>D19 * IFERROR((SUM(Holdings!K2:K1000)*12)/(SUM(Holdings!J2:J1000)), Inputs!B4) / 52</f>
        <v>603.2527949</v>
      </c>
      <c r="F19" s="13">
        <f t="shared" si="1"/>
        <v>2612.084602</v>
      </c>
      <c r="G19" s="13">
        <f t="shared" si="2"/>
        <v>31369.14534</v>
      </c>
      <c r="H19" s="13">
        <f>D19 * Inputs!B6 * Inputs!B7</f>
        <v>3398.82615</v>
      </c>
    </row>
    <row r="20">
      <c r="A20" s="12">
        <v>19.0</v>
      </c>
      <c r="B20" s="4">
        <f>DATEVALUE(Inputs!B$2) + (A20-1)*14</f>
        <v>46149</v>
      </c>
      <c r="C20" s="13">
        <f>(19-1)*Inputs!B3</f>
        <v>39600</v>
      </c>
      <c r="D20" s="13">
        <f>SUM(Holdings!J2:J1000) + C20</f>
        <v>41606.68</v>
      </c>
      <c r="E20" s="13">
        <f>D20 * IFERROR((SUM(Holdings!K2:K1000)*12)/(SUM(Holdings!J2:J1000)), Inputs!B4) / 52</f>
        <v>636.9312512</v>
      </c>
      <c r="F20" s="13">
        <f t="shared" si="1"/>
        <v>2757.912318</v>
      </c>
      <c r="G20" s="13">
        <f t="shared" si="2"/>
        <v>33120.42506</v>
      </c>
      <c r="H20" s="13">
        <f>D20 * Inputs!B6 * Inputs!B7</f>
        <v>3588.57615</v>
      </c>
    </row>
    <row r="21" ht="15.75" customHeight="1">
      <c r="A21" s="12">
        <v>20.0</v>
      </c>
      <c r="B21" s="4">
        <f>DATEVALUE(Inputs!B$2) + (A21-1)*14</f>
        <v>46163</v>
      </c>
      <c r="C21" s="13">
        <f>(20-1)*Inputs!B3</f>
        <v>41800</v>
      </c>
      <c r="D21" s="13">
        <f>SUM(Holdings!J2:J1000) + C21</f>
        <v>43806.68</v>
      </c>
      <c r="E21" s="13">
        <f>D21 * IFERROR((SUM(Holdings!K2:K1000)*12)/(SUM(Holdings!J2:J1000)), Inputs!B4) / 52</f>
        <v>670.6097075</v>
      </c>
      <c r="F21" s="13">
        <f t="shared" si="1"/>
        <v>2903.740033</v>
      </c>
      <c r="G21" s="13">
        <f t="shared" si="2"/>
        <v>34871.70479</v>
      </c>
      <c r="H21" s="13">
        <f>D21 * Inputs!B6 * Inputs!B7</f>
        <v>3778.32615</v>
      </c>
    </row>
    <row r="22" ht="15.75" customHeight="1">
      <c r="A22" s="12">
        <v>21.0</v>
      </c>
      <c r="B22" s="4">
        <f>DATEVALUE(Inputs!B$2) + (A22-1)*14</f>
        <v>46177</v>
      </c>
      <c r="C22" s="13">
        <f>(21-1)*Inputs!B3</f>
        <v>44000</v>
      </c>
      <c r="D22" s="13">
        <f>SUM(Holdings!J2:J1000) + C22</f>
        <v>46006.68</v>
      </c>
      <c r="E22" s="13">
        <f>D22 * IFERROR((SUM(Holdings!K2:K1000)*12)/(SUM(Holdings!J2:J1000)), Inputs!B4) / 52</f>
        <v>704.2881637</v>
      </c>
      <c r="F22" s="13">
        <f t="shared" si="1"/>
        <v>3049.567749</v>
      </c>
      <c r="G22" s="13">
        <f t="shared" si="2"/>
        <v>36622.98451</v>
      </c>
      <c r="H22" s="13">
        <f>D22 * Inputs!B6 * Inputs!B7</f>
        <v>3968.07615</v>
      </c>
    </row>
    <row r="23" ht="15.75" customHeight="1">
      <c r="A23" s="12">
        <v>22.0</v>
      </c>
      <c r="B23" s="4">
        <f>DATEVALUE(Inputs!B$2) + (A23-1)*14</f>
        <v>46191</v>
      </c>
      <c r="C23" s="13">
        <f>(22-1)*Inputs!B3</f>
        <v>46200</v>
      </c>
      <c r="D23" s="13">
        <f>SUM(Holdings!J2:J1000) + C23</f>
        <v>48206.68</v>
      </c>
      <c r="E23" s="13">
        <f>D23 * IFERROR((SUM(Holdings!K2:K1000)*12)/(SUM(Holdings!J2:J1000)), Inputs!B4) / 52</f>
        <v>737.96662</v>
      </c>
      <c r="F23" s="13">
        <f t="shared" si="1"/>
        <v>3195.395465</v>
      </c>
      <c r="G23" s="13">
        <f t="shared" si="2"/>
        <v>38374.26424</v>
      </c>
      <c r="H23" s="13">
        <f>D23 * Inputs!B6 * Inputs!B7</f>
        <v>4157.82615</v>
      </c>
    </row>
    <row r="24" ht="15.75" customHeight="1">
      <c r="A24" s="12">
        <v>23.0</v>
      </c>
      <c r="B24" s="4">
        <f>DATEVALUE(Inputs!B$2) + (A24-1)*14</f>
        <v>46205</v>
      </c>
      <c r="C24" s="13">
        <f>(23-1)*Inputs!B3</f>
        <v>48400</v>
      </c>
      <c r="D24" s="13">
        <f>SUM(Holdings!J2:J1000) + C24</f>
        <v>50406.68</v>
      </c>
      <c r="E24" s="13">
        <f>D24 * IFERROR((SUM(Holdings!K2:K1000)*12)/(SUM(Holdings!J2:J1000)), Inputs!B4) / 52</f>
        <v>771.6450763</v>
      </c>
      <c r="F24" s="13">
        <f t="shared" si="1"/>
        <v>3341.22318</v>
      </c>
      <c r="G24" s="13">
        <f t="shared" si="2"/>
        <v>40125.54397</v>
      </c>
      <c r="H24" s="13">
        <f>D24 * Inputs!B6 * Inputs!B7</f>
        <v>4347.57615</v>
      </c>
    </row>
    <row r="25" ht="15.75" customHeight="1">
      <c r="A25" s="12">
        <v>24.0</v>
      </c>
      <c r="B25" s="4">
        <f>DATEVALUE(Inputs!B$2) + (A25-1)*14</f>
        <v>46219</v>
      </c>
      <c r="C25" s="13">
        <f>(24-1)*Inputs!B3</f>
        <v>50600</v>
      </c>
      <c r="D25" s="13">
        <f>SUM(Holdings!J2:J1000) + C25</f>
        <v>52606.68</v>
      </c>
      <c r="E25" s="13">
        <f>D25 * IFERROR((SUM(Holdings!K2:K1000)*12)/(SUM(Holdings!J2:J1000)), Inputs!B4) / 52</f>
        <v>805.3235325</v>
      </c>
      <c r="F25" s="13">
        <f t="shared" si="1"/>
        <v>3487.050896</v>
      </c>
      <c r="G25" s="13">
        <f t="shared" si="2"/>
        <v>41876.82369</v>
      </c>
      <c r="H25" s="13">
        <f>D25 * Inputs!B6 * Inputs!B7</f>
        <v>4537.32615</v>
      </c>
    </row>
    <row r="26" ht="15.75" customHeight="1">
      <c r="A26" s="12">
        <v>25.0</v>
      </c>
      <c r="B26" s="4">
        <f>DATEVALUE(Inputs!B$2) + (A26-1)*14</f>
        <v>46233</v>
      </c>
      <c r="C26" s="13">
        <f>(25-1)*Inputs!B3</f>
        <v>52800</v>
      </c>
      <c r="D26" s="13">
        <f>SUM(Holdings!J2:J1000) + C26</f>
        <v>54806.68</v>
      </c>
      <c r="E26" s="13">
        <f>D26 * IFERROR((SUM(Holdings!K2:K1000)*12)/(SUM(Holdings!J2:J1000)), Inputs!B4) / 52</f>
        <v>839.0019888</v>
      </c>
      <c r="F26" s="13">
        <f t="shared" si="1"/>
        <v>3632.878611</v>
      </c>
      <c r="G26" s="13">
        <f t="shared" si="2"/>
        <v>43628.10342</v>
      </c>
      <c r="H26" s="13">
        <f>D26 * Inputs!B6 * Inputs!B7</f>
        <v>4727.07615</v>
      </c>
    </row>
    <row r="27" ht="15.75" customHeight="1">
      <c r="A27" s="12">
        <v>26.0</v>
      </c>
      <c r="B27" s="4">
        <f>DATEVALUE(Inputs!B$2) + (A27-1)*14</f>
        <v>46247</v>
      </c>
      <c r="C27" s="13">
        <f>(26-1)*Inputs!B3</f>
        <v>55000</v>
      </c>
      <c r="D27" s="13">
        <f>SUM(Holdings!J2:J1000) + C27</f>
        <v>57006.68</v>
      </c>
      <c r="E27" s="13">
        <f>D27 * IFERROR((SUM(Holdings!K2:K1000)*12)/(SUM(Holdings!J2:J1000)), Inputs!B4) / 52</f>
        <v>872.6804451</v>
      </c>
      <c r="F27" s="13">
        <f t="shared" si="1"/>
        <v>3778.706327</v>
      </c>
      <c r="G27" s="13">
        <f t="shared" si="2"/>
        <v>45379.38314</v>
      </c>
      <c r="H27" s="13">
        <f>D27 * Inputs!B6 * Inputs!B7</f>
        <v>4916.82615</v>
      </c>
    </row>
    <row r="28" ht="15.75" customHeight="1">
      <c r="A28" s="12">
        <v>27.0</v>
      </c>
      <c r="B28" s="4">
        <f>DATEVALUE(Inputs!B$2) + (A28-1)*14</f>
        <v>46261</v>
      </c>
      <c r="C28" s="13">
        <f>(27-1)*Inputs!B3</f>
        <v>57200</v>
      </c>
      <c r="D28" s="13">
        <f>SUM(Holdings!J2:J1000) + C28</f>
        <v>59206.68</v>
      </c>
      <c r="E28" s="13">
        <f>D28 * IFERROR((SUM(Holdings!K2:K1000)*12)/(SUM(Holdings!J2:J1000)), Inputs!B4) / 52</f>
        <v>906.3589013</v>
      </c>
      <c r="F28" s="13">
        <f t="shared" si="1"/>
        <v>3924.534043</v>
      </c>
      <c r="G28" s="13">
        <f t="shared" si="2"/>
        <v>47130.66287</v>
      </c>
      <c r="H28" s="13">
        <f>D28 * Inputs!B6 * Inputs!B7</f>
        <v>5106.57615</v>
      </c>
    </row>
    <row r="29" ht="15.75" customHeight="1">
      <c r="A29" s="12">
        <v>28.0</v>
      </c>
      <c r="B29" s="4">
        <f>DATEVALUE(Inputs!B$2) + (A29-1)*14</f>
        <v>46275</v>
      </c>
      <c r="C29" s="13">
        <f>(28-1)*Inputs!B3</f>
        <v>59400</v>
      </c>
      <c r="D29" s="13">
        <f>SUM(Holdings!J2:J1000) + C29</f>
        <v>61406.68</v>
      </c>
      <c r="E29" s="13">
        <f>D29 * IFERROR((SUM(Holdings!K2:K1000)*12)/(SUM(Holdings!J2:J1000)), Inputs!B4) / 52</f>
        <v>940.0373576</v>
      </c>
      <c r="F29" s="13">
        <f t="shared" si="1"/>
        <v>4070.361758</v>
      </c>
      <c r="G29" s="13">
        <f t="shared" si="2"/>
        <v>48881.94259</v>
      </c>
      <c r="H29" s="13">
        <f>D29 * Inputs!B6 * Inputs!B7</f>
        <v>5296.32615</v>
      </c>
    </row>
    <row r="30" ht="15.75" customHeight="1">
      <c r="A30" s="12">
        <v>29.0</v>
      </c>
      <c r="B30" s="4">
        <f>DATEVALUE(Inputs!B$2) + (A30-1)*14</f>
        <v>46289</v>
      </c>
      <c r="C30" s="13">
        <f>(29-1)*Inputs!B3</f>
        <v>61600</v>
      </c>
      <c r="D30" s="13">
        <f>SUM(Holdings!J2:J1000) + C30</f>
        <v>63606.68</v>
      </c>
      <c r="E30" s="13">
        <f>D30 * IFERROR((SUM(Holdings!K2:K1000)*12)/(SUM(Holdings!J2:J1000)), Inputs!B4) / 52</f>
        <v>973.7158138</v>
      </c>
      <c r="F30" s="13">
        <f t="shared" si="1"/>
        <v>4216.189474</v>
      </c>
      <c r="G30" s="13">
        <f t="shared" si="2"/>
        <v>50633.22232</v>
      </c>
      <c r="H30" s="13">
        <f>D30 * Inputs!B6 * Inputs!B7</f>
        <v>5486.07615</v>
      </c>
    </row>
    <row r="31" ht="15.75" customHeight="1">
      <c r="A31" s="12">
        <v>30.0</v>
      </c>
      <c r="B31" s="4">
        <f>DATEVALUE(Inputs!B$2) + (A31-1)*14</f>
        <v>46303</v>
      </c>
      <c r="C31" s="13">
        <f>(30-1)*Inputs!B3</f>
        <v>63800</v>
      </c>
      <c r="D31" s="13">
        <f>SUM(Holdings!J2:J1000) + C31</f>
        <v>65806.68</v>
      </c>
      <c r="E31" s="13">
        <f>D31 * IFERROR((SUM(Holdings!K2:K1000)*12)/(SUM(Holdings!J2:J1000)), Inputs!B4) / 52</f>
        <v>1007.39427</v>
      </c>
      <c r="F31" s="13">
        <f t="shared" si="1"/>
        <v>4362.01719</v>
      </c>
      <c r="G31" s="13">
        <f t="shared" si="2"/>
        <v>52384.50205</v>
      </c>
      <c r="H31" s="13">
        <f>D31 * Inputs!B6 * Inputs!B7</f>
        <v>5675.82615</v>
      </c>
    </row>
    <row r="32" ht="15.75" customHeight="1">
      <c r="A32" s="12">
        <v>31.0</v>
      </c>
      <c r="B32" s="4">
        <f>DATEVALUE(Inputs!B$2) + (A32-1)*14</f>
        <v>46317</v>
      </c>
      <c r="C32" s="13">
        <f>(31-1)*Inputs!B3</f>
        <v>66000</v>
      </c>
      <c r="D32" s="13">
        <f>SUM(Holdings!J2:J1000) + C32</f>
        <v>68006.68</v>
      </c>
      <c r="E32" s="13">
        <f>D32 * IFERROR((SUM(Holdings!K2:K1000)*12)/(SUM(Holdings!J2:J1000)), Inputs!B4) / 52</f>
        <v>1041.072726</v>
      </c>
      <c r="F32" s="13">
        <f t="shared" si="1"/>
        <v>4507.844905</v>
      </c>
      <c r="G32" s="13">
        <f t="shared" si="2"/>
        <v>54135.78177</v>
      </c>
      <c r="H32" s="13">
        <f>D32 * Inputs!B6 * Inputs!B7</f>
        <v>5865.57615</v>
      </c>
    </row>
    <row r="33" ht="15.75" customHeight="1">
      <c r="A33" s="12">
        <v>32.0</v>
      </c>
      <c r="B33" s="4">
        <f>DATEVALUE(Inputs!B$2) + (A33-1)*14</f>
        <v>46331</v>
      </c>
      <c r="C33" s="13">
        <f>(32-1)*Inputs!B3</f>
        <v>68200</v>
      </c>
      <c r="D33" s="13">
        <f>SUM(Holdings!J2:J1000) + C33</f>
        <v>70206.68</v>
      </c>
      <c r="E33" s="13">
        <f>D33 * IFERROR((SUM(Holdings!K2:K1000)*12)/(SUM(Holdings!J2:J1000)), Inputs!B4) / 52</f>
        <v>1074.751183</v>
      </c>
      <c r="F33" s="13">
        <f t="shared" si="1"/>
        <v>4653.672621</v>
      </c>
      <c r="G33" s="13">
        <f t="shared" si="2"/>
        <v>55887.0615</v>
      </c>
      <c r="H33" s="13">
        <f>D33 * Inputs!B6 * Inputs!B7</f>
        <v>6055.32615</v>
      </c>
    </row>
    <row r="34" ht="15.75" customHeight="1">
      <c r="A34" s="12">
        <v>33.0</v>
      </c>
      <c r="B34" s="4">
        <f>DATEVALUE(Inputs!B$2) + (A34-1)*14</f>
        <v>46345</v>
      </c>
      <c r="C34" s="13">
        <f>(33-1)*Inputs!B3</f>
        <v>70400</v>
      </c>
      <c r="D34" s="13">
        <f>SUM(Holdings!J2:J1000) + C34</f>
        <v>72406.68</v>
      </c>
      <c r="E34" s="13">
        <f>D34 * IFERROR((SUM(Holdings!K2:K1000)*12)/(SUM(Holdings!J2:J1000)), Inputs!B4) / 52</f>
        <v>1108.429639</v>
      </c>
      <c r="F34" s="13">
        <f t="shared" si="1"/>
        <v>4799.500336</v>
      </c>
      <c r="G34" s="13">
        <f t="shared" si="2"/>
        <v>57638.34122</v>
      </c>
      <c r="H34" s="13">
        <f>D34 * Inputs!B6 * Inputs!B7</f>
        <v>6245.07615</v>
      </c>
    </row>
    <row r="35" ht="15.75" customHeight="1">
      <c r="A35" s="12">
        <v>34.0</v>
      </c>
      <c r="B35" s="4">
        <f>DATEVALUE(Inputs!B$2) + (A35-1)*14</f>
        <v>46359</v>
      </c>
      <c r="C35" s="13">
        <f>(34-1)*Inputs!B3</f>
        <v>72600</v>
      </c>
      <c r="D35" s="13">
        <f>SUM(Holdings!J2:J1000) + C35</f>
        <v>74606.68</v>
      </c>
      <c r="E35" s="13">
        <f>D35 * IFERROR((SUM(Holdings!K2:K1000)*12)/(SUM(Holdings!J2:J1000)), Inputs!B4) / 52</f>
        <v>1142.108095</v>
      </c>
      <c r="F35" s="13">
        <f t="shared" si="1"/>
        <v>4945.328052</v>
      </c>
      <c r="G35" s="13">
        <f t="shared" si="2"/>
        <v>59389.62095</v>
      </c>
      <c r="H35" s="13">
        <f>D35 * Inputs!B6 * Inputs!B7</f>
        <v>6434.82615</v>
      </c>
    </row>
    <row r="36" ht="15.75" customHeight="1">
      <c r="A36" s="12">
        <v>35.0</v>
      </c>
      <c r="B36" s="4">
        <f>DATEVALUE(Inputs!B$2) + (A36-1)*14</f>
        <v>46373</v>
      </c>
      <c r="C36" s="13">
        <f>(35-1)*Inputs!B3</f>
        <v>74800</v>
      </c>
      <c r="D36" s="13">
        <f>SUM(Holdings!J2:J1000) + C36</f>
        <v>76806.68</v>
      </c>
      <c r="E36" s="13">
        <f>D36 * IFERROR((SUM(Holdings!K2:K1000)*12)/(SUM(Holdings!J2:J1000)), Inputs!B4) / 52</f>
        <v>1175.786551</v>
      </c>
      <c r="F36" s="13">
        <f t="shared" si="1"/>
        <v>5091.155768</v>
      </c>
      <c r="G36" s="13">
        <f t="shared" si="2"/>
        <v>61140.90067</v>
      </c>
      <c r="H36" s="13">
        <f>D36 * Inputs!B6 * Inputs!B7</f>
        <v>6624.57615</v>
      </c>
    </row>
    <row r="37" ht="15.75" customHeight="1">
      <c r="A37" s="12">
        <v>36.0</v>
      </c>
      <c r="B37" s="4">
        <f>DATEVALUE(Inputs!B$2) + (A37-1)*14</f>
        <v>46387</v>
      </c>
      <c r="C37" s="13">
        <f>(36-1)*Inputs!B3</f>
        <v>77000</v>
      </c>
      <c r="D37" s="13">
        <f>SUM(Holdings!J2:J1000) + C37</f>
        <v>79006.68</v>
      </c>
      <c r="E37" s="13">
        <f>D37 * IFERROR((SUM(Holdings!K2:K1000)*12)/(SUM(Holdings!J2:J1000)), Inputs!B4) / 52</f>
        <v>1209.465008</v>
      </c>
      <c r="F37" s="13">
        <f t="shared" si="1"/>
        <v>5236.983483</v>
      </c>
      <c r="G37" s="13">
        <f t="shared" si="2"/>
        <v>62892.1804</v>
      </c>
      <c r="H37" s="13">
        <f>D37 * Inputs!B6 * Inputs!B7</f>
        <v>6814.32615</v>
      </c>
    </row>
    <row r="38" ht="15.75" customHeight="1">
      <c r="A38" s="12">
        <v>37.0</v>
      </c>
      <c r="B38" s="4">
        <f>DATEVALUE(Inputs!B$2) + (A38-1)*14</f>
        <v>46401</v>
      </c>
      <c r="C38" s="13">
        <f>(37-1)*Inputs!B3</f>
        <v>79200</v>
      </c>
      <c r="D38" s="13">
        <f>SUM(Holdings!J2:J1000) + C38</f>
        <v>81206.68</v>
      </c>
      <c r="E38" s="13">
        <f>D38 * IFERROR((SUM(Holdings!K2:K1000)*12)/(SUM(Holdings!J2:J1000)), Inputs!B4) / 52</f>
        <v>1243.143464</v>
      </c>
      <c r="F38" s="13">
        <f t="shared" si="1"/>
        <v>5382.811199</v>
      </c>
      <c r="G38" s="13">
        <f t="shared" si="2"/>
        <v>64643.46013</v>
      </c>
      <c r="H38" s="13">
        <f>D38 * Inputs!B6 * Inputs!B7</f>
        <v>7004.07615</v>
      </c>
    </row>
    <row r="39" ht="15.75" customHeight="1">
      <c r="A39" s="12">
        <v>38.0</v>
      </c>
      <c r="B39" s="4">
        <f>DATEVALUE(Inputs!B$2) + (A39-1)*14</f>
        <v>46415</v>
      </c>
      <c r="C39" s="13">
        <f>(38-1)*Inputs!B3</f>
        <v>81400</v>
      </c>
      <c r="D39" s="13">
        <f>SUM(Holdings!J2:J1000) + C39</f>
        <v>83406.68</v>
      </c>
      <c r="E39" s="13">
        <f>D39 * IFERROR((SUM(Holdings!K2:K1000)*12)/(SUM(Holdings!J2:J1000)), Inputs!B4) / 52</f>
        <v>1276.82192</v>
      </c>
      <c r="F39" s="13">
        <f t="shared" si="1"/>
        <v>5528.638915</v>
      </c>
      <c r="G39" s="13">
        <f t="shared" si="2"/>
        <v>66394.73985</v>
      </c>
      <c r="H39" s="13">
        <f>D39 * Inputs!B6 * Inputs!B7</f>
        <v>7193.82615</v>
      </c>
    </row>
    <row r="40" ht="15.75" customHeight="1">
      <c r="A40" s="12">
        <v>39.0</v>
      </c>
      <c r="B40" s="4">
        <f>DATEVALUE(Inputs!B$2) + (A40-1)*14</f>
        <v>46429</v>
      </c>
      <c r="C40" s="13">
        <f>(39-1)*Inputs!B3</f>
        <v>83600</v>
      </c>
      <c r="D40" s="13">
        <f>SUM(Holdings!J2:J1000) + C40</f>
        <v>85606.68</v>
      </c>
      <c r="E40" s="13">
        <f>D40 * IFERROR((SUM(Holdings!K2:K1000)*12)/(SUM(Holdings!J2:J1000)), Inputs!B4) / 52</f>
        <v>1310.500376</v>
      </c>
      <c r="F40" s="13">
        <f t="shared" si="1"/>
        <v>5674.46663</v>
      </c>
      <c r="G40" s="13">
        <f t="shared" si="2"/>
        <v>68146.01958</v>
      </c>
      <c r="H40" s="13">
        <f>D40 * Inputs!B6 * Inputs!B7</f>
        <v>7383.57615</v>
      </c>
    </row>
    <row r="41" ht="15.75" customHeight="1">
      <c r="A41" s="12">
        <v>40.0</v>
      </c>
      <c r="B41" s="4">
        <f>DATEVALUE(Inputs!B$2) + (A41-1)*14</f>
        <v>46443</v>
      </c>
      <c r="C41" s="13">
        <f>(40-1)*Inputs!B3</f>
        <v>85800</v>
      </c>
      <c r="D41" s="13">
        <f>SUM(Holdings!J2:J1000) + C41</f>
        <v>87806.68</v>
      </c>
      <c r="E41" s="13">
        <f>D41 * IFERROR((SUM(Holdings!K2:K1000)*12)/(SUM(Holdings!J2:J1000)), Inputs!B4) / 52</f>
        <v>1344.178833</v>
      </c>
      <c r="F41" s="13">
        <f t="shared" si="1"/>
        <v>5820.294346</v>
      </c>
      <c r="G41" s="13">
        <f t="shared" si="2"/>
        <v>69897.2993</v>
      </c>
      <c r="H41" s="13">
        <f>D41 * Inputs!B6 * Inputs!B7</f>
        <v>7573.32615</v>
      </c>
    </row>
    <row r="42" ht="15.75" customHeight="1">
      <c r="A42" s="12">
        <v>41.0</v>
      </c>
      <c r="B42" s="4">
        <f>DATEVALUE(Inputs!B$2) + (A42-1)*14</f>
        <v>46457</v>
      </c>
      <c r="C42" s="13">
        <f>(41-1)*Inputs!B3</f>
        <v>88000</v>
      </c>
      <c r="D42" s="13">
        <f>SUM(Holdings!J2:J1000) + C42</f>
        <v>90006.68</v>
      </c>
      <c r="E42" s="13">
        <f>D42 * IFERROR((SUM(Holdings!K2:K1000)*12)/(SUM(Holdings!J2:J1000)), Inputs!B4) / 52</f>
        <v>1377.857289</v>
      </c>
      <c r="F42" s="13">
        <f t="shared" si="1"/>
        <v>5966.122061</v>
      </c>
      <c r="G42" s="13">
        <f t="shared" si="2"/>
        <v>71648.57903</v>
      </c>
      <c r="H42" s="13">
        <f>D42 * Inputs!B6 * Inputs!B7</f>
        <v>7763.07615</v>
      </c>
    </row>
    <row r="43" ht="15.75" customHeight="1">
      <c r="A43" s="12">
        <v>42.0</v>
      </c>
      <c r="B43" s="4">
        <f>DATEVALUE(Inputs!B$2) + (A43-1)*14</f>
        <v>46471</v>
      </c>
      <c r="C43" s="13">
        <f>(42-1)*Inputs!B3</f>
        <v>90200</v>
      </c>
      <c r="D43" s="13">
        <f>SUM(Holdings!J2:J1000) + C43</f>
        <v>92206.68</v>
      </c>
      <c r="E43" s="13">
        <f>D43 * IFERROR((SUM(Holdings!K2:K1000)*12)/(SUM(Holdings!J2:J1000)), Inputs!B4) / 52</f>
        <v>1411.535745</v>
      </c>
      <c r="F43" s="13">
        <f t="shared" si="1"/>
        <v>6111.949777</v>
      </c>
      <c r="G43" s="13">
        <f t="shared" si="2"/>
        <v>73399.85875</v>
      </c>
      <c r="H43" s="13">
        <f>D43 * Inputs!B6 * Inputs!B7</f>
        <v>7952.82615</v>
      </c>
    </row>
    <row r="44" ht="15.75" customHeight="1">
      <c r="A44" s="12">
        <v>43.0</v>
      </c>
      <c r="B44" s="4">
        <f>DATEVALUE(Inputs!B$2) + (A44-1)*14</f>
        <v>46485</v>
      </c>
      <c r="C44" s="13">
        <f>(43-1)*Inputs!B3</f>
        <v>92400</v>
      </c>
      <c r="D44" s="13">
        <f>SUM(Holdings!J2:J1000) + C44</f>
        <v>94406.68</v>
      </c>
      <c r="E44" s="13">
        <f>D44 * IFERROR((SUM(Holdings!K2:K1000)*12)/(SUM(Holdings!J2:J1000)), Inputs!B4) / 52</f>
        <v>1445.214202</v>
      </c>
      <c r="F44" s="13">
        <f t="shared" si="1"/>
        <v>6257.777493</v>
      </c>
      <c r="G44" s="13">
        <f t="shared" si="2"/>
        <v>75151.13848</v>
      </c>
      <c r="H44" s="13">
        <f>D44 * Inputs!B6 * Inputs!B7</f>
        <v>8142.57615</v>
      </c>
    </row>
    <row r="45" ht="15.75" customHeight="1">
      <c r="A45" s="12">
        <v>44.0</v>
      </c>
      <c r="B45" s="4">
        <f>DATEVALUE(Inputs!B$2) + (A45-1)*14</f>
        <v>46499</v>
      </c>
      <c r="C45" s="13">
        <f>(44-1)*Inputs!B3</f>
        <v>94600</v>
      </c>
      <c r="D45" s="13">
        <f>SUM(Holdings!J2:J1000) + C45</f>
        <v>96606.68</v>
      </c>
      <c r="E45" s="13">
        <f>D45 * IFERROR((SUM(Holdings!K2:K1000)*12)/(SUM(Holdings!J2:J1000)), Inputs!B4) / 52</f>
        <v>1478.892658</v>
      </c>
      <c r="F45" s="13">
        <f t="shared" si="1"/>
        <v>6403.605208</v>
      </c>
      <c r="G45" s="13">
        <f t="shared" si="2"/>
        <v>76902.41821</v>
      </c>
      <c r="H45" s="13">
        <f>D45 * Inputs!B6 * Inputs!B7</f>
        <v>8332.32615</v>
      </c>
    </row>
    <row r="46" ht="15.75" customHeight="1">
      <c r="A46" s="12">
        <v>45.0</v>
      </c>
      <c r="B46" s="4">
        <f>DATEVALUE(Inputs!B$2) + (A46-1)*14</f>
        <v>46513</v>
      </c>
      <c r="C46" s="13">
        <f>(45-1)*Inputs!B3</f>
        <v>96800</v>
      </c>
      <c r="D46" s="13">
        <f>SUM(Holdings!J2:J1000) + C46</f>
        <v>98806.68</v>
      </c>
      <c r="E46" s="13">
        <f>D46 * IFERROR((SUM(Holdings!K2:K1000)*12)/(SUM(Holdings!J2:J1000)), Inputs!B4) / 52</f>
        <v>1512.571114</v>
      </c>
      <c r="F46" s="13">
        <f t="shared" si="1"/>
        <v>6549.432924</v>
      </c>
      <c r="G46" s="13">
        <f t="shared" si="2"/>
        <v>78653.69793</v>
      </c>
      <c r="H46" s="13">
        <f>D46 * Inputs!B6 * Inputs!B7</f>
        <v>8522.07615</v>
      </c>
    </row>
    <row r="47" ht="15.75" customHeight="1">
      <c r="A47" s="12">
        <v>46.0</v>
      </c>
      <c r="B47" s="4">
        <f>DATEVALUE(Inputs!B$2) + (A47-1)*14</f>
        <v>46527</v>
      </c>
      <c r="C47" s="13">
        <f>(46-1)*Inputs!B3</f>
        <v>99000</v>
      </c>
      <c r="D47" s="13">
        <f>SUM(Holdings!J2:J1000) + C47</f>
        <v>101006.68</v>
      </c>
      <c r="E47" s="13">
        <f>D47 * IFERROR((SUM(Holdings!K2:K1000)*12)/(SUM(Holdings!J2:J1000)), Inputs!B4) / 52</f>
        <v>1546.24957</v>
      </c>
      <c r="F47" s="13">
        <f t="shared" si="1"/>
        <v>6695.26064</v>
      </c>
      <c r="G47" s="13">
        <f t="shared" si="2"/>
        <v>80404.97766</v>
      </c>
      <c r="H47" s="13">
        <f>D47 * Inputs!B6 * Inputs!B7</f>
        <v>8711.82615</v>
      </c>
    </row>
    <row r="48" ht="15.75" customHeight="1">
      <c r="A48" s="12">
        <v>47.0</v>
      </c>
      <c r="B48" s="4">
        <f>DATEVALUE(Inputs!B$2) + (A48-1)*14</f>
        <v>46541</v>
      </c>
      <c r="C48" s="13">
        <f>(47-1)*Inputs!B3</f>
        <v>101200</v>
      </c>
      <c r="D48" s="13">
        <f>SUM(Holdings!J2:J1000) + C48</f>
        <v>103206.68</v>
      </c>
      <c r="E48" s="13">
        <f>D48 * IFERROR((SUM(Holdings!K2:K1000)*12)/(SUM(Holdings!J2:J1000)), Inputs!B4) / 52</f>
        <v>1579.928027</v>
      </c>
      <c r="F48" s="13">
        <f t="shared" si="1"/>
        <v>6841.088355</v>
      </c>
      <c r="G48" s="13">
        <f t="shared" si="2"/>
        <v>82156.25738</v>
      </c>
      <c r="H48" s="13">
        <f>D48 * Inputs!B6 * Inputs!B7</f>
        <v>8901.57615</v>
      </c>
    </row>
    <row r="49" ht="15.75" customHeight="1">
      <c r="A49" s="12">
        <v>48.0</v>
      </c>
      <c r="B49" s="4">
        <f>DATEVALUE(Inputs!B$2) + (A49-1)*14</f>
        <v>46555</v>
      </c>
      <c r="C49" s="13">
        <f>(48-1)*Inputs!B3</f>
        <v>103400</v>
      </c>
      <c r="D49" s="13">
        <f>SUM(Holdings!J2:J1000) + C49</f>
        <v>105406.68</v>
      </c>
      <c r="E49" s="13">
        <f>D49 * IFERROR((SUM(Holdings!K2:K1000)*12)/(SUM(Holdings!J2:J1000)), Inputs!B4) / 52</f>
        <v>1613.606483</v>
      </c>
      <c r="F49" s="13">
        <f t="shared" si="1"/>
        <v>6986.916071</v>
      </c>
      <c r="G49" s="13">
        <f t="shared" si="2"/>
        <v>83907.53711</v>
      </c>
      <c r="H49" s="13">
        <f>D49 * Inputs!B6 * Inputs!B7</f>
        <v>9091.32615</v>
      </c>
    </row>
    <row r="50" ht="15.75" customHeight="1">
      <c r="A50" s="12">
        <v>49.0</v>
      </c>
      <c r="B50" s="4">
        <f>DATEVALUE(Inputs!B$2) + (A50-1)*14</f>
        <v>46569</v>
      </c>
      <c r="C50" s="13">
        <f>(49-1)*Inputs!B3</f>
        <v>105600</v>
      </c>
      <c r="D50" s="13">
        <f>SUM(Holdings!J2:J1000) + C50</f>
        <v>107606.68</v>
      </c>
      <c r="E50" s="13">
        <f>D50 * IFERROR((SUM(Holdings!K2:K1000)*12)/(SUM(Holdings!J2:J1000)), Inputs!B4) / 52</f>
        <v>1647.284939</v>
      </c>
      <c r="F50" s="13">
        <f t="shared" si="1"/>
        <v>7132.743786</v>
      </c>
      <c r="G50" s="13">
        <f t="shared" si="2"/>
        <v>85658.81683</v>
      </c>
      <c r="H50" s="13">
        <f>D50 * Inputs!B6 * Inputs!B7</f>
        <v>9281.07615</v>
      </c>
    </row>
    <row r="51" ht="15.75" customHeight="1">
      <c r="A51" s="12">
        <v>50.0</v>
      </c>
      <c r="B51" s="4">
        <f>DATEVALUE(Inputs!B$2) + (A51-1)*14</f>
        <v>46583</v>
      </c>
      <c r="C51" s="13">
        <f>(50-1)*Inputs!B3</f>
        <v>107800</v>
      </c>
      <c r="D51" s="13">
        <f>SUM(Holdings!J2:J1000) + C51</f>
        <v>109806.68</v>
      </c>
      <c r="E51" s="13">
        <f>D51 * IFERROR((SUM(Holdings!K2:K1000)*12)/(SUM(Holdings!J2:J1000)), Inputs!B4) / 52</f>
        <v>1680.963395</v>
      </c>
      <c r="F51" s="13">
        <f t="shared" si="1"/>
        <v>7278.571502</v>
      </c>
      <c r="G51" s="13">
        <f t="shared" si="2"/>
        <v>87410.09656</v>
      </c>
      <c r="H51" s="13">
        <f>D51 * Inputs!B6 * Inputs!B7</f>
        <v>9470.82615</v>
      </c>
    </row>
    <row r="52" ht="15.75" customHeight="1">
      <c r="A52" s="12">
        <v>51.0</v>
      </c>
      <c r="B52" s="4">
        <f>DATEVALUE(Inputs!B$2) + (A52-1)*14</f>
        <v>46597</v>
      </c>
      <c r="C52" s="13">
        <f>(51-1)*Inputs!B3</f>
        <v>110000</v>
      </c>
      <c r="D52" s="13">
        <f>SUM(Holdings!J2:J1000) + C52</f>
        <v>112006.68</v>
      </c>
      <c r="E52" s="13">
        <f>D52 * IFERROR((SUM(Holdings!K2:K1000)*12)/(SUM(Holdings!J2:J1000)), Inputs!B4) / 52</f>
        <v>1714.641852</v>
      </c>
      <c r="F52" s="13">
        <f t="shared" si="1"/>
        <v>7424.399218</v>
      </c>
      <c r="G52" s="13">
        <f t="shared" si="2"/>
        <v>89161.37629</v>
      </c>
      <c r="H52" s="13">
        <f>D52 * Inputs!B6 * Inputs!B7</f>
        <v>9660.57615</v>
      </c>
    </row>
    <row r="53" ht="15.75" customHeight="1">
      <c r="A53" s="12">
        <v>52.0</v>
      </c>
      <c r="B53" s="4">
        <f>DATEVALUE(Inputs!B$2) + (A53-1)*14</f>
        <v>46611</v>
      </c>
      <c r="C53" s="13">
        <f>(52-1)*Inputs!B3</f>
        <v>112200</v>
      </c>
      <c r="D53" s="13">
        <f>SUM(Holdings!J2:J1000) + C53</f>
        <v>114206.68</v>
      </c>
      <c r="E53" s="13">
        <f>D53 * IFERROR((SUM(Holdings!K2:K1000)*12)/(SUM(Holdings!J2:J1000)), Inputs!B4) / 52</f>
        <v>1748.320308</v>
      </c>
      <c r="F53" s="13">
        <f t="shared" si="1"/>
        <v>7570.226933</v>
      </c>
      <c r="G53" s="13">
        <f t="shared" si="2"/>
        <v>90912.65601</v>
      </c>
      <c r="H53" s="13">
        <f>D53 * Inputs!B6 * Inputs!B7</f>
        <v>9850.32615</v>
      </c>
    </row>
    <row r="54" ht="15.75" customHeight="1">
      <c r="A54" s="12">
        <v>53.0</v>
      </c>
      <c r="B54" s="4">
        <f>DATEVALUE(Inputs!B$2) + (A54-1)*14</f>
        <v>46625</v>
      </c>
      <c r="C54" s="13">
        <f>(53-1)*Inputs!B3</f>
        <v>114400</v>
      </c>
      <c r="D54" s="13">
        <f>SUM(Holdings!J2:J1000) + C54</f>
        <v>116406.68</v>
      </c>
      <c r="E54" s="13">
        <f>D54 * IFERROR((SUM(Holdings!K2:K1000)*12)/(SUM(Holdings!J2:J1000)), Inputs!B4) / 52</f>
        <v>1781.998764</v>
      </c>
      <c r="F54" s="13">
        <f t="shared" si="1"/>
        <v>7716.054649</v>
      </c>
      <c r="G54" s="13">
        <f t="shared" si="2"/>
        <v>92663.93574</v>
      </c>
      <c r="H54" s="13">
        <f>D54 * Inputs!B6 * Inputs!B7</f>
        <v>10040.07615</v>
      </c>
    </row>
    <row r="55" ht="15.75" customHeight="1">
      <c r="A55" s="12">
        <v>54.0</v>
      </c>
      <c r="B55" s="4">
        <f>DATEVALUE(Inputs!B$2) + (A55-1)*14</f>
        <v>46639</v>
      </c>
      <c r="C55" s="13">
        <f>(54-1)*Inputs!B3</f>
        <v>116600</v>
      </c>
      <c r="D55" s="13">
        <f>SUM(Holdings!J2:J1000) + C55</f>
        <v>118606.68</v>
      </c>
      <c r="E55" s="13">
        <f>D55 * IFERROR((SUM(Holdings!K2:K1000)*12)/(SUM(Holdings!J2:J1000)), Inputs!B4) / 52</f>
        <v>1815.67722</v>
      </c>
      <c r="F55" s="13">
        <f t="shared" si="1"/>
        <v>7861.882365</v>
      </c>
      <c r="G55" s="13">
        <f t="shared" si="2"/>
        <v>94415.21546</v>
      </c>
      <c r="H55" s="13">
        <f>D55 * Inputs!B6 * Inputs!B7</f>
        <v>10229.82615</v>
      </c>
    </row>
    <row r="56" ht="15.75" customHeight="1">
      <c r="A56" s="12">
        <v>55.0</v>
      </c>
      <c r="B56" s="4">
        <f>DATEVALUE(Inputs!B$2) + (A56-1)*14</f>
        <v>46653</v>
      </c>
      <c r="C56" s="13">
        <f>(55-1)*Inputs!B3</f>
        <v>118800</v>
      </c>
      <c r="D56" s="13">
        <f>SUM(Holdings!J2:J1000) + C56</f>
        <v>120806.68</v>
      </c>
      <c r="E56" s="13">
        <f>D56 * IFERROR((SUM(Holdings!K2:K1000)*12)/(SUM(Holdings!J2:J1000)), Inputs!B4) / 52</f>
        <v>1849.355677</v>
      </c>
      <c r="F56" s="13">
        <f t="shared" si="1"/>
        <v>8007.71008</v>
      </c>
      <c r="G56" s="13">
        <f t="shared" si="2"/>
        <v>96166.49519</v>
      </c>
      <c r="H56" s="13">
        <f>D56 * Inputs!B6 * Inputs!B7</f>
        <v>10419.57615</v>
      </c>
    </row>
    <row r="57" ht="15.75" customHeight="1">
      <c r="A57" s="12">
        <v>56.0</v>
      </c>
      <c r="B57" s="4">
        <f>DATEVALUE(Inputs!B$2) + (A57-1)*14</f>
        <v>46667</v>
      </c>
      <c r="C57" s="13">
        <f>(56-1)*Inputs!B3</f>
        <v>121000</v>
      </c>
      <c r="D57" s="13">
        <f>SUM(Holdings!J2:J1000) + C57</f>
        <v>123006.68</v>
      </c>
      <c r="E57" s="13">
        <f>D57 * IFERROR((SUM(Holdings!K2:K1000)*12)/(SUM(Holdings!J2:J1000)), Inputs!B4) / 52</f>
        <v>1883.034133</v>
      </c>
      <c r="F57" s="13">
        <f t="shared" si="1"/>
        <v>8153.537796</v>
      </c>
      <c r="G57" s="13">
        <f t="shared" si="2"/>
        <v>97917.77491</v>
      </c>
      <c r="H57" s="13">
        <f>D57 * Inputs!B6 * Inputs!B7</f>
        <v>10609.32615</v>
      </c>
    </row>
    <row r="58" ht="15.75" customHeight="1">
      <c r="A58" s="12">
        <v>57.0</v>
      </c>
      <c r="B58" s="4">
        <f>DATEVALUE(Inputs!B$2) + (A58-1)*14</f>
        <v>46681</v>
      </c>
      <c r="C58" s="13">
        <f>(57-1)*Inputs!B3</f>
        <v>123200</v>
      </c>
      <c r="D58" s="13">
        <f>SUM(Holdings!J2:J1000) + C58</f>
        <v>125206.68</v>
      </c>
      <c r="E58" s="13">
        <f>D58 * IFERROR((SUM(Holdings!K2:K1000)*12)/(SUM(Holdings!J2:J1000)), Inputs!B4) / 52</f>
        <v>1916.712589</v>
      </c>
      <c r="F58" s="13">
        <f t="shared" si="1"/>
        <v>8299.365511</v>
      </c>
      <c r="G58" s="13">
        <f t="shared" si="2"/>
        <v>99669.05464</v>
      </c>
      <c r="H58" s="13">
        <f>D58 * Inputs!B6 * Inputs!B7</f>
        <v>10799.07615</v>
      </c>
    </row>
    <row r="59" ht="15.75" customHeight="1">
      <c r="A59" s="12">
        <v>58.0</v>
      </c>
      <c r="B59" s="4">
        <f>DATEVALUE(Inputs!B$2) + (A59-1)*14</f>
        <v>46695</v>
      </c>
      <c r="C59" s="13">
        <f>(58-1)*Inputs!B3</f>
        <v>125400</v>
      </c>
      <c r="D59" s="13">
        <f>SUM(Holdings!J2:J1000) + C59</f>
        <v>127406.68</v>
      </c>
      <c r="E59" s="13">
        <f>D59 * IFERROR((SUM(Holdings!K2:K1000)*12)/(SUM(Holdings!J2:J1000)), Inputs!B4) / 52</f>
        <v>1950.391045</v>
      </c>
      <c r="F59" s="13">
        <f t="shared" si="1"/>
        <v>8445.193227</v>
      </c>
      <c r="G59" s="13">
        <f t="shared" si="2"/>
        <v>101420.3344</v>
      </c>
      <c r="H59" s="13">
        <f>D59 * Inputs!B6 * Inputs!B7</f>
        <v>10988.82615</v>
      </c>
    </row>
    <row r="60" ht="15.75" customHeight="1">
      <c r="A60" s="12">
        <v>59.0</v>
      </c>
      <c r="B60" s="4">
        <f>DATEVALUE(Inputs!B$2) + (A60-1)*14</f>
        <v>46709</v>
      </c>
      <c r="C60" s="13">
        <f>(59-1)*Inputs!B3</f>
        <v>127600</v>
      </c>
      <c r="D60" s="13">
        <f>SUM(Holdings!J2:J1000) + C60</f>
        <v>129606.68</v>
      </c>
      <c r="E60" s="13">
        <f>D60 * IFERROR((SUM(Holdings!K2:K1000)*12)/(SUM(Holdings!J2:J1000)), Inputs!B4) / 52</f>
        <v>1984.069502</v>
      </c>
      <c r="F60" s="13">
        <f t="shared" si="1"/>
        <v>8591.020943</v>
      </c>
      <c r="G60" s="13">
        <f t="shared" si="2"/>
        <v>103171.6141</v>
      </c>
      <c r="H60" s="13">
        <f>D60 * Inputs!B6 * Inputs!B7</f>
        <v>11178.57615</v>
      </c>
    </row>
    <row r="61" ht="15.75" customHeight="1">
      <c r="A61" s="12">
        <v>60.0</v>
      </c>
      <c r="B61" s="4">
        <f>DATEVALUE(Inputs!B$2) + (A61-1)*14</f>
        <v>46723</v>
      </c>
      <c r="C61" s="13">
        <f>(60-1)*Inputs!B3</f>
        <v>129800</v>
      </c>
      <c r="D61" s="13">
        <f>SUM(Holdings!J2:J1000) + C61</f>
        <v>131806.68</v>
      </c>
      <c r="E61" s="13">
        <f>D61 * IFERROR((SUM(Holdings!K2:K1000)*12)/(SUM(Holdings!J2:J1000)), Inputs!B4) / 52</f>
        <v>2017.747958</v>
      </c>
      <c r="F61" s="13">
        <f t="shared" si="1"/>
        <v>8736.848658</v>
      </c>
      <c r="G61" s="13">
        <f t="shared" si="2"/>
        <v>104922.8938</v>
      </c>
      <c r="H61" s="13">
        <f>D61 * Inputs!B6 * Inputs!B7</f>
        <v>11368.32615</v>
      </c>
    </row>
    <row r="62" ht="15.75" customHeight="1">
      <c r="A62" s="12">
        <v>61.0</v>
      </c>
      <c r="B62" s="4">
        <f>DATEVALUE(Inputs!B$2) + (A62-1)*14</f>
        <v>46737</v>
      </c>
      <c r="C62" s="13">
        <f>(61-1)*Inputs!B3</f>
        <v>132000</v>
      </c>
      <c r="D62" s="13">
        <f>SUM(Holdings!J2:J1000) + C62</f>
        <v>134006.68</v>
      </c>
      <c r="E62" s="13">
        <f>D62 * IFERROR((SUM(Holdings!K2:K1000)*12)/(SUM(Holdings!J2:J1000)), Inputs!B4) / 52</f>
        <v>2051.426414</v>
      </c>
      <c r="F62" s="13">
        <f t="shared" si="1"/>
        <v>8882.676374</v>
      </c>
      <c r="G62" s="13">
        <f t="shared" si="2"/>
        <v>106674.1735</v>
      </c>
      <c r="H62" s="13">
        <f>D62 * Inputs!B6 * Inputs!B7</f>
        <v>11558.07615</v>
      </c>
    </row>
    <row r="63" ht="15.75" customHeight="1">
      <c r="A63" s="12">
        <v>62.0</v>
      </c>
      <c r="B63" s="4">
        <f>DATEVALUE(Inputs!B$2) + (A63-1)*14</f>
        <v>46751</v>
      </c>
      <c r="C63" s="13">
        <f>(62-1)*Inputs!B3</f>
        <v>134200</v>
      </c>
      <c r="D63" s="13">
        <f>SUM(Holdings!J2:J1000) + C63</f>
        <v>136206.68</v>
      </c>
      <c r="E63" s="13">
        <f>D63 * IFERROR((SUM(Holdings!K2:K1000)*12)/(SUM(Holdings!J2:J1000)), Inputs!B4) / 52</f>
        <v>2085.104871</v>
      </c>
      <c r="F63" s="13">
        <f t="shared" si="1"/>
        <v>9028.504089</v>
      </c>
      <c r="G63" s="13">
        <f t="shared" si="2"/>
        <v>108425.4533</v>
      </c>
      <c r="H63" s="13">
        <f>D63 * Inputs!B6 * Inputs!B7</f>
        <v>11747.82615</v>
      </c>
    </row>
    <row r="64" ht="15.75" customHeight="1">
      <c r="A64" s="12">
        <v>63.0</v>
      </c>
      <c r="B64" s="4">
        <f>DATEVALUE(Inputs!B$2) + (A64-1)*14</f>
        <v>46765</v>
      </c>
      <c r="C64" s="13">
        <f>(63-1)*Inputs!B3</f>
        <v>136400</v>
      </c>
      <c r="D64" s="13">
        <f>SUM(Holdings!J2:J1000) + C64</f>
        <v>138406.68</v>
      </c>
      <c r="E64" s="13">
        <f>D64 * IFERROR((SUM(Holdings!K2:K1000)*12)/(SUM(Holdings!J2:J1000)), Inputs!B4) / 52</f>
        <v>2118.783327</v>
      </c>
      <c r="F64" s="13">
        <f t="shared" si="1"/>
        <v>9174.331805</v>
      </c>
      <c r="G64" s="13">
        <f t="shared" si="2"/>
        <v>110176.733</v>
      </c>
      <c r="H64" s="13">
        <f>D64 * Inputs!B6 * Inputs!B7</f>
        <v>11937.57615</v>
      </c>
    </row>
    <row r="65" ht="15.75" customHeight="1">
      <c r="A65" s="12">
        <v>64.0</v>
      </c>
      <c r="B65" s="4">
        <f>DATEVALUE(Inputs!B$2) + (A65-1)*14</f>
        <v>46779</v>
      </c>
      <c r="C65" s="13">
        <f>(64-1)*Inputs!B3</f>
        <v>138600</v>
      </c>
      <c r="D65" s="13">
        <f>SUM(Holdings!J2:J1000) + C65</f>
        <v>140606.68</v>
      </c>
      <c r="E65" s="13">
        <f>D65 * IFERROR((SUM(Holdings!K2:K1000)*12)/(SUM(Holdings!J2:J1000)), Inputs!B4) / 52</f>
        <v>2152.461783</v>
      </c>
      <c r="F65" s="13">
        <f t="shared" si="1"/>
        <v>9320.159521</v>
      </c>
      <c r="G65" s="13">
        <f t="shared" si="2"/>
        <v>111928.0127</v>
      </c>
      <c r="H65" s="13">
        <f>D65 * Inputs!B6 * Inputs!B7</f>
        <v>12127.32615</v>
      </c>
    </row>
    <row r="66" ht="15.75" customHeight="1">
      <c r="A66" s="12">
        <v>65.0</v>
      </c>
      <c r="B66" s="4">
        <f>DATEVALUE(Inputs!B$2) + (A66-1)*14</f>
        <v>46793</v>
      </c>
      <c r="C66" s="13">
        <f>(65-1)*Inputs!B3</f>
        <v>140800</v>
      </c>
      <c r="D66" s="13">
        <f>SUM(Holdings!J2:J1000) + C66</f>
        <v>142806.68</v>
      </c>
      <c r="E66" s="13">
        <f>D66 * IFERROR((SUM(Holdings!K2:K1000)*12)/(SUM(Holdings!J2:J1000)), Inputs!B4) / 52</f>
        <v>2186.140239</v>
      </c>
      <c r="F66" s="13">
        <f t="shared" si="1"/>
        <v>9465.987236</v>
      </c>
      <c r="G66" s="13">
        <f t="shared" si="2"/>
        <v>113679.2924</v>
      </c>
      <c r="H66" s="13">
        <f>D66 * Inputs!B6 * Inputs!B7</f>
        <v>12317.07615</v>
      </c>
    </row>
    <row r="67" ht="15.75" customHeight="1">
      <c r="A67" s="12">
        <v>66.0</v>
      </c>
      <c r="B67" s="4">
        <f>DATEVALUE(Inputs!B$2) + (A67-1)*14</f>
        <v>46807</v>
      </c>
      <c r="C67" s="13">
        <f>(66-1)*Inputs!B3</f>
        <v>143000</v>
      </c>
      <c r="D67" s="13">
        <f>SUM(Holdings!J2:J1000) + C67</f>
        <v>145006.68</v>
      </c>
      <c r="E67" s="13">
        <f>D67 * IFERROR((SUM(Holdings!K2:K1000)*12)/(SUM(Holdings!J2:J1000)), Inputs!B4) / 52</f>
        <v>2219.818696</v>
      </c>
      <c r="F67" s="13">
        <f t="shared" si="1"/>
        <v>9611.814952</v>
      </c>
      <c r="G67" s="13">
        <f t="shared" si="2"/>
        <v>115430.5722</v>
      </c>
      <c r="H67" s="13">
        <f>D67 * Inputs!B6 * Inputs!B7</f>
        <v>12506.82615</v>
      </c>
    </row>
    <row r="68" ht="15.75" customHeight="1">
      <c r="A68" s="12">
        <v>67.0</v>
      </c>
      <c r="B68" s="4">
        <f>DATEVALUE(Inputs!B$2) + (A68-1)*14</f>
        <v>46821</v>
      </c>
      <c r="C68" s="13">
        <f>(67-1)*Inputs!B3</f>
        <v>145200</v>
      </c>
      <c r="D68" s="13">
        <f>SUM(Holdings!J2:J1000) + C68</f>
        <v>147206.68</v>
      </c>
      <c r="E68" s="13">
        <f>D68 * IFERROR((SUM(Holdings!K2:K1000)*12)/(SUM(Holdings!J2:J1000)), Inputs!B4) / 52</f>
        <v>2253.497152</v>
      </c>
      <c r="F68" s="13">
        <f t="shared" si="1"/>
        <v>9757.642668</v>
      </c>
      <c r="G68" s="13">
        <f t="shared" si="2"/>
        <v>117181.8519</v>
      </c>
      <c r="H68" s="13">
        <f>D68 * Inputs!B6 * Inputs!B7</f>
        <v>12696.57615</v>
      </c>
    </row>
    <row r="69" ht="15.75" customHeight="1">
      <c r="A69" s="12">
        <v>68.0</v>
      </c>
      <c r="B69" s="4">
        <f>DATEVALUE(Inputs!B$2) + (A69-1)*14</f>
        <v>46835</v>
      </c>
      <c r="C69" s="13">
        <f>(68-1)*Inputs!B3</f>
        <v>147400</v>
      </c>
      <c r="D69" s="13">
        <f>SUM(Holdings!J2:J1000) + C69</f>
        <v>149406.68</v>
      </c>
      <c r="E69" s="13">
        <f>D69 * IFERROR((SUM(Holdings!K2:K1000)*12)/(SUM(Holdings!J2:J1000)), Inputs!B4) / 52</f>
        <v>2287.175608</v>
      </c>
      <c r="F69" s="13">
        <f t="shared" si="1"/>
        <v>9903.470383</v>
      </c>
      <c r="G69" s="13">
        <f t="shared" si="2"/>
        <v>118933.1316</v>
      </c>
      <c r="H69" s="13">
        <f>D69 * Inputs!B6 * Inputs!B7</f>
        <v>12886.32615</v>
      </c>
    </row>
    <row r="70" ht="15.75" customHeight="1">
      <c r="A70" s="12">
        <v>69.0</v>
      </c>
      <c r="B70" s="4">
        <f>DATEVALUE(Inputs!B$2) + (A70-1)*14</f>
        <v>46849</v>
      </c>
      <c r="C70" s="13">
        <f>(69-1)*Inputs!B3</f>
        <v>149600</v>
      </c>
      <c r="D70" s="13">
        <f>SUM(Holdings!J2:J1000) + C70</f>
        <v>151606.68</v>
      </c>
      <c r="E70" s="13">
        <f>D70 * IFERROR((SUM(Holdings!K2:K1000)*12)/(SUM(Holdings!J2:J1000)), Inputs!B4) / 52</f>
        <v>2320.854064</v>
      </c>
      <c r="F70" s="13">
        <f t="shared" si="1"/>
        <v>10049.2981</v>
      </c>
      <c r="G70" s="13">
        <f t="shared" si="2"/>
        <v>120684.4113</v>
      </c>
      <c r="H70" s="13">
        <f>D70 * Inputs!B6 * Inputs!B7</f>
        <v>13076.07615</v>
      </c>
    </row>
    <row r="71" ht="15.75" customHeight="1">
      <c r="A71" s="12">
        <v>70.0</v>
      </c>
      <c r="B71" s="4">
        <f>DATEVALUE(Inputs!B$2) + (A71-1)*14</f>
        <v>46863</v>
      </c>
      <c r="C71" s="13">
        <f>(70-1)*Inputs!B3</f>
        <v>151800</v>
      </c>
      <c r="D71" s="13">
        <f>SUM(Holdings!J2:J1000) + C71</f>
        <v>153806.68</v>
      </c>
      <c r="E71" s="13">
        <f>D71 * IFERROR((SUM(Holdings!K2:K1000)*12)/(SUM(Holdings!J2:J1000)), Inputs!B4) / 52</f>
        <v>2354.532521</v>
      </c>
      <c r="F71" s="13">
        <f t="shared" si="1"/>
        <v>10195.12581</v>
      </c>
      <c r="G71" s="13">
        <f t="shared" si="2"/>
        <v>122435.6911</v>
      </c>
      <c r="H71" s="13">
        <f>D71 * Inputs!B6 * Inputs!B7</f>
        <v>13265.82615</v>
      </c>
    </row>
    <row r="72" ht="15.75" customHeight="1">
      <c r="A72" s="12">
        <v>71.0</v>
      </c>
      <c r="B72" s="4">
        <f>DATEVALUE(Inputs!B$2) + (A72-1)*14</f>
        <v>46877</v>
      </c>
      <c r="C72" s="13">
        <f>(71-1)*Inputs!B3</f>
        <v>154000</v>
      </c>
      <c r="D72" s="13">
        <f>SUM(Holdings!J2:J1000) + C72</f>
        <v>156006.68</v>
      </c>
      <c r="E72" s="13">
        <f>D72 * IFERROR((SUM(Holdings!K2:K1000)*12)/(SUM(Holdings!J2:J1000)), Inputs!B4) / 52</f>
        <v>2388.210977</v>
      </c>
      <c r="F72" s="13">
        <f t="shared" si="1"/>
        <v>10340.95353</v>
      </c>
      <c r="G72" s="13">
        <f t="shared" si="2"/>
        <v>124186.9708</v>
      </c>
      <c r="H72" s="13">
        <f>D72 * Inputs!B6 * Inputs!B7</f>
        <v>13455.57615</v>
      </c>
    </row>
    <row r="73" ht="15.75" customHeight="1">
      <c r="A73" s="12">
        <v>72.0</v>
      </c>
      <c r="B73" s="4">
        <f>DATEVALUE(Inputs!B$2) + (A73-1)*14</f>
        <v>46891</v>
      </c>
      <c r="C73" s="13">
        <f>(72-1)*Inputs!B3</f>
        <v>156200</v>
      </c>
      <c r="D73" s="13">
        <f>SUM(Holdings!J2:J1000) + C73</f>
        <v>158206.68</v>
      </c>
      <c r="E73" s="13">
        <f>D73 * IFERROR((SUM(Holdings!K2:K1000)*12)/(SUM(Holdings!J2:J1000)), Inputs!B4) / 52</f>
        <v>2421.889433</v>
      </c>
      <c r="F73" s="13">
        <f t="shared" si="1"/>
        <v>10486.78125</v>
      </c>
      <c r="G73" s="13">
        <f t="shared" si="2"/>
        <v>125938.2505</v>
      </c>
      <c r="H73" s="13">
        <f>D73 * Inputs!B6 * Inputs!B7</f>
        <v>13645.32615</v>
      </c>
    </row>
    <row r="74" ht="15.75" customHeight="1">
      <c r="A74" s="12">
        <v>73.0</v>
      </c>
      <c r="B74" s="4">
        <f>DATEVALUE(Inputs!B$2) + (A74-1)*14</f>
        <v>46905</v>
      </c>
      <c r="C74" s="13">
        <f>(73-1)*Inputs!B3</f>
        <v>158400</v>
      </c>
      <c r="D74" s="13">
        <f>SUM(Holdings!J2:J1000) + C74</f>
        <v>160406.68</v>
      </c>
      <c r="E74" s="13">
        <f>D74 * IFERROR((SUM(Holdings!K2:K1000)*12)/(SUM(Holdings!J2:J1000)), Inputs!B4) / 52</f>
        <v>2455.567889</v>
      </c>
      <c r="F74" s="13">
        <f t="shared" si="1"/>
        <v>10632.60896</v>
      </c>
      <c r="G74" s="13">
        <f t="shared" si="2"/>
        <v>127689.5303</v>
      </c>
      <c r="H74" s="13">
        <f>D74 * Inputs!B6 * Inputs!B7</f>
        <v>13835.07615</v>
      </c>
    </row>
    <row r="75" ht="15.75" customHeight="1">
      <c r="A75" s="12">
        <v>74.0</v>
      </c>
      <c r="B75" s="4">
        <f>DATEVALUE(Inputs!B$2) + (A75-1)*14</f>
        <v>46919</v>
      </c>
      <c r="C75" s="13">
        <f>(74-1)*Inputs!B3</f>
        <v>160600</v>
      </c>
      <c r="D75" s="13">
        <f>SUM(Holdings!J2:J1000) + C75</f>
        <v>162606.68</v>
      </c>
      <c r="E75" s="13">
        <f>D75 * IFERROR((SUM(Holdings!K2:K1000)*12)/(SUM(Holdings!J2:J1000)), Inputs!B4) / 52</f>
        <v>2489.246346</v>
      </c>
      <c r="F75" s="13">
        <f t="shared" si="1"/>
        <v>10778.43668</v>
      </c>
      <c r="G75" s="13">
        <f t="shared" si="2"/>
        <v>129440.81</v>
      </c>
      <c r="H75" s="13">
        <f>D75 * Inputs!B6 * Inputs!B7</f>
        <v>14024.82615</v>
      </c>
    </row>
    <row r="76" ht="15.75" customHeight="1">
      <c r="A76" s="12">
        <v>75.0</v>
      </c>
      <c r="B76" s="4">
        <f>DATEVALUE(Inputs!B$2) + (A76-1)*14</f>
        <v>46933</v>
      </c>
      <c r="C76" s="13">
        <f>(75-1)*Inputs!B3</f>
        <v>162800</v>
      </c>
      <c r="D76" s="13">
        <f>SUM(Holdings!J2:J1000) + C76</f>
        <v>164806.68</v>
      </c>
      <c r="E76" s="13">
        <f>D76 * IFERROR((SUM(Holdings!K2:K1000)*12)/(SUM(Holdings!J2:J1000)), Inputs!B4) / 52</f>
        <v>2522.924802</v>
      </c>
      <c r="F76" s="13">
        <f t="shared" si="1"/>
        <v>10924.26439</v>
      </c>
      <c r="G76" s="13">
        <f t="shared" si="2"/>
        <v>131192.0897</v>
      </c>
      <c r="H76" s="13">
        <f>D76 * Inputs!B6 * Inputs!B7</f>
        <v>14214.57615</v>
      </c>
    </row>
    <row r="77" ht="15.75" customHeight="1">
      <c r="A77" s="12">
        <v>76.0</v>
      </c>
      <c r="B77" s="4">
        <f>DATEVALUE(Inputs!B$2) + (A77-1)*14</f>
        <v>46947</v>
      </c>
      <c r="C77" s="13">
        <f>(76-1)*Inputs!B3</f>
        <v>165000</v>
      </c>
      <c r="D77" s="13">
        <f>SUM(Holdings!J2:J1000) + C77</f>
        <v>167006.68</v>
      </c>
      <c r="E77" s="13">
        <f>D77 * IFERROR((SUM(Holdings!K2:K1000)*12)/(SUM(Holdings!J2:J1000)), Inputs!B4) / 52</f>
        <v>2556.603258</v>
      </c>
      <c r="F77" s="13">
        <f t="shared" si="1"/>
        <v>11070.09211</v>
      </c>
      <c r="G77" s="13">
        <f t="shared" si="2"/>
        <v>132943.3694</v>
      </c>
      <c r="H77" s="13">
        <f>D77 * Inputs!B6 * Inputs!B7</f>
        <v>14404.32615</v>
      </c>
    </row>
    <row r="78" ht="15.75" customHeight="1">
      <c r="A78" s="12">
        <v>77.0</v>
      </c>
      <c r="B78" s="4">
        <f>DATEVALUE(Inputs!B$2) + (A78-1)*14</f>
        <v>46961</v>
      </c>
      <c r="C78" s="13">
        <f>(77-1)*Inputs!B3</f>
        <v>167200</v>
      </c>
      <c r="D78" s="13">
        <f>SUM(Holdings!J2:J1000) + C78</f>
        <v>169206.68</v>
      </c>
      <c r="E78" s="13">
        <f>D78 * IFERROR((SUM(Holdings!K2:K1000)*12)/(SUM(Holdings!J2:J1000)), Inputs!B4) / 52</f>
        <v>2590.281715</v>
      </c>
      <c r="F78" s="13">
        <f t="shared" si="1"/>
        <v>11215.91982</v>
      </c>
      <c r="G78" s="13">
        <f t="shared" si="2"/>
        <v>134694.6492</v>
      </c>
      <c r="H78" s="13">
        <f>D78 * Inputs!B6 * Inputs!B7</f>
        <v>14594.07615</v>
      </c>
    </row>
    <row r="79" ht="15.75" customHeight="1">
      <c r="A79" s="12">
        <v>78.0</v>
      </c>
      <c r="B79" s="4">
        <f>DATEVALUE(Inputs!B$2) + (A79-1)*14</f>
        <v>46975</v>
      </c>
      <c r="C79" s="13">
        <f>(78-1)*Inputs!B3</f>
        <v>169400</v>
      </c>
      <c r="D79" s="13">
        <f>SUM(Holdings!J2:J1000) + C79</f>
        <v>171406.68</v>
      </c>
      <c r="E79" s="13">
        <f>D79 * IFERROR((SUM(Holdings!K2:K1000)*12)/(SUM(Holdings!J2:J1000)), Inputs!B4) / 52</f>
        <v>2623.960171</v>
      </c>
      <c r="F79" s="13">
        <f t="shared" si="1"/>
        <v>11361.74754</v>
      </c>
      <c r="G79" s="13">
        <f t="shared" si="2"/>
        <v>136445.9289</v>
      </c>
      <c r="H79" s="13">
        <f>D79 * Inputs!B6 * Inputs!B7</f>
        <v>14783.82615</v>
      </c>
    </row>
    <row r="80" ht="15.75" customHeight="1">
      <c r="A80" s="12">
        <v>79.0</v>
      </c>
      <c r="B80" s="4">
        <f>DATEVALUE(Inputs!B$2) + (A80-1)*14</f>
        <v>46989</v>
      </c>
      <c r="C80" s="13">
        <f>(79-1)*Inputs!B3</f>
        <v>171600</v>
      </c>
      <c r="D80" s="13">
        <f>SUM(Holdings!J2:J1000) + C80</f>
        <v>173606.68</v>
      </c>
      <c r="E80" s="13">
        <f>D80 * IFERROR((SUM(Holdings!K2:K1000)*12)/(SUM(Holdings!J2:J1000)), Inputs!B4) / 52</f>
        <v>2657.638627</v>
      </c>
      <c r="F80" s="13">
        <f t="shared" si="1"/>
        <v>11507.57526</v>
      </c>
      <c r="G80" s="13">
        <f t="shared" si="2"/>
        <v>138197.2086</v>
      </c>
      <c r="H80" s="13">
        <f>D80 * Inputs!B6 * Inputs!B7</f>
        <v>14973.57615</v>
      </c>
    </row>
    <row r="81" ht="15.75" customHeight="1">
      <c r="A81" s="12">
        <v>80.0</v>
      </c>
      <c r="B81" s="4">
        <f>DATEVALUE(Inputs!B$2) + (A81-1)*14</f>
        <v>47003</v>
      </c>
      <c r="C81" s="13">
        <f>(80-1)*Inputs!B3</f>
        <v>173800</v>
      </c>
      <c r="D81" s="13">
        <f>SUM(Holdings!J2:J1000) + C81</f>
        <v>175806.68</v>
      </c>
      <c r="E81" s="13">
        <f>D81 * IFERROR((SUM(Holdings!K2:K1000)*12)/(SUM(Holdings!J2:J1000)), Inputs!B4) / 52</f>
        <v>2691.317083</v>
      </c>
      <c r="F81" s="13">
        <f t="shared" si="1"/>
        <v>11653.40297</v>
      </c>
      <c r="G81" s="13">
        <f t="shared" si="2"/>
        <v>139948.4883</v>
      </c>
      <c r="H81" s="13">
        <f>D81 * Inputs!B6 * Inputs!B7</f>
        <v>15163.32615</v>
      </c>
    </row>
    <row r="82" ht="15.75" customHeight="1">
      <c r="A82" s="12">
        <v>81.0</v>
      </c>
      <c r="B82" s="4">
        <f>DATEVALUE(Inputs!B$2) + (A82-1)*14</f>
        <v>47017</v>
      </c>
      <c r="C82" s="13">
        <f>(81-1)*Inputs!B3</f>
        <v>176000</v>
      </c>
      <c r="D82" s="13">
        <f>SUM(Holdings!J2:J1000) + C82</f>
        <v>178006.68</v>
      </c>
      <c r="E82" s="13">
        <f>D82 * IFERROR((SUM(Holdings!K2:K1000)*12)/(SUM(Holdings!J2:J1000)), Inputs!B4) / 52</f>
        <v>2724.99554</v>
      </c>
      <c r="F82" s="13">
        <f t="shared" si="1"/>
        <v>11799.23069</v>
      </c>
      <c r="G82" s="13">
        <f t="shared" si="2"/>
        <v>141699.7681</v>
      </c>
      <c r="H82" s="13">
        <f>D82 * Inputs!B6 * Inputs!B7</f>
        <v>15353.07615</v>
      </c>
    </row>
    <row r="83" ht="15.75" customHeight="1">
      <c r="A83" s="12">
        <v>82.0</v>
      </c>
      <c r="B83" s="4">
        <f>DATEVALUE(Inputs!B$2) + (A83-1)*14</f>
        <v>47031</v>
      </c>
      <c r="C83" s="13">
        <f>(82-1)*Inputs!B3</f>
        <v>178200</v>
      </c>
      <c r="D83" s="13">
        <f>SUM(Holdings!J2:J1000) + C83</f>
        <v>180206.68</v>
      </c>
      <c r="E83" s="13">
        <f>D83 * IFERROR((SUM(Holdings!K2:K1000)*12)/(SUM(Holdings!J2:J1000)), Inputs!B4) / 52</f>
        <v>2758.673996</v>
      </c>
      <c r="F83" s="13">
        <f t="shared" si="1"/>
        <v>11945.0584</v>
      </c>
      <c r="G83" s="13">
        <f t="shared" si="2"/>
        <v>143451.0478</v>
      </c>
      <c r="H83" s="13">
        <f>D83 * Inputs!B6 * Inputs!B7</f>
        <v>15542.82615</v>
      </c>
    </row>
    <row r="84" ht="15.75" customHeight="1">
      <c r="A84" s="12">
        <v>83.0</v>
      </c>
      <c r="B84" s="4">
        <f>DATEVALUE(Inputs!B$2) + (A84-1)*14</f>
        <v>47045</v>
      </c>
      <c r="C84" s="13">
        <f>(83-1)*Inputs!B3</f>
        <v>180400</v>
      </c>
      <c r="D84" s="13">
        <f>SUM(Holdings!J2:J1000) + C84</f>
        <v>182406.68</v>
      </c>
      <c r="E84" s="13">
        <f>D84 * IFERROR((SUM(Holdings!K2:K1000)*12)/(SUM(Holdings!J2:J1000)), Inputs!B4) / 52</f>
        <v>2792.352452</v>
      </c>
      <c r="F84" s="13">
        <f t="shared" si="1"/>
        <v>12090.88612</v>
      </c>
      <c r="G84" s="13">
        <f t="shared" si="2"/>
        <v>145202.3275</v>
      </c>
      <c r="H84" s="13">
        <f>D84 * Inputs!B6 * Inputs!B7</f>
        <v>15732.57615</v>
      </c>
    </row>
    <row r="85" ht="15.75" customHeight="1">
      <c r="A85" s="12">
        <v>84.0</v>
      </c>
      <c r="B85" s="4">
        <f>DATEVALUE(Inputs!B$2) + (A85-1)*14</f>
        <v>47059</v>
      </c>
      <c r="C85" s="13">
        <f>(84-1)*Inputs!B3</f>
        <v>182600</v>
      </c>
      <c r="D85" s="13">
        <f>SUM(Holdings!J2:J1000) + C85</f>
        <v>184606.68</v>
      </c>
      <c r="E85" s="13">
        <f>D85 * IFERROR((SUM(Holdings!K2:K1000)*12)/(SUM(Holdings!J2:J1000)), Inputs!B4) / 52</f>
        <v>2826.030908</v>
      </c>
      <c r="F85" s="13">
        <f t="shared" si="1"/>
        <v>12236.71383</v>
      </c>
      <c r="G85" s="13">
        <f t="shared" si="2"/>
        <v>146953.6072</v>
      </c>
      <c r="H85" s="13">
        <f>D85 * Inputs!B6 * Inputs!B7</f>
        <v>15922.32615</v>
      </c>
    </row>
    <row r="86" ht="15.75" customHeight="1">
      <c r="A86" s="12">
        <v>85.0</v>
      </c>
      <c r="B86" s="4">
        <f>DATEVALUE(Inputs!B$2) + (A86-1)*14</f>
        <v>47073</v>
      </c>
      <c r="C86" s="13">
        <f>(85-1)*Inputs!B3</f>
        <v>184800</v>
      </c>
      <c r="D86" s="13">
        <f>SUM(Holdings!J2:J1000) + C86</f>
        <v>186806.68</v>
      </c>
      <c r="E86" s="13">
        <f>D86 * IFERROR((SUM(Holdings!K2:K1000)*12)/(SUM(Holdings!J2:J1000)), Inputs!B4) / 52</f>
        <v>2859.709365</v>
      </c>
      <c r="F86" s="13">
        <f t="shared" si="1"/>
        <v>12382.54155</v>
      </c>
      <c r="G86" s="13">
        <f t="shared" si="2"/>
        <v>148704.887</v>
      </c>
      <c r="H86" s="13">
        <f>D86 * Inputs!B6 * Inputs!B7</f>
        <v>16112.07615</v>
      </c>
    </row>
    <row r="87" ht="15.75" customHeight="1">
      <c r="A87" s="12">
        <v>86.0</v>
      </c>
      <c r="B87" s="4">
        <f>DATEVALUE(Inputs!B$2) + (A87-1)*14</f>
        <v>47087</v>
      </c>
      <c r="C87" s="13">
        <f>(86-1)*Inputs!B3</f>
        <v>187000</v>
      </c>
      <c r="D87" s="13">
        <f>SUM(Holdings!J2:J1000) + C87</f>
        <v>189006.68</v>
      </c>
      <c r="E87" s="13">
        <f>D87 * IFERROR((SUM(Holdings!K2:K1000)*12)/(SUM(Holdings!J2:J1000)), Inputs!B4) / 52</f>
        <v>2893.387821</v>
      </c>
      <c r="F87" s="13">
        <f t="shared" si="1"/>
        <v>12528.36926</v>
      </c>
      <c r="G87" s="13">
        <f t="shared" si="2"/>
        <v>150456.1667</v>
      </c>
      <c r="H87" s="13">
        <f>D87 * Inputs!B6 * Inputs!B7</f>
        <v>16301.82615</v>
      </c>
    </row>
    <row r="88" ht="15.75" customHeight="1">
      <c r="A88" s="12">
        <v>87.0</v>
      </c>
      <c r="B88" s="4">
        <f>DATEVALUE(Inputs!B$2) + (A88-1)*14</f>
        <v>47101</v>
      </c>
      <c r="C88" s="13">
        <f>(87-1)*Inputs!B3</f>
        <v>189200</v>
      </c>
      <c r="D88" s="13">
        <f>SUM(Holdings!J2:J1000) + C88</f>
        <v>191206.68</v>
      </c>
      <c r="E88" s="13">
        <f>D88 * IFERROR((SUM(Holdings!K2:K1000)*12)/(SUM(Holdings!J2:J1000)), Inputs!B4) / 52</f>
        <v>2927.066277</v>
      </c>
      <c r="F88" s="13">
        <f t="shared" si="1"/>
        <v>12674.19698</v>
      </c>
      <c r="G88" s="13">
        <f t="shared" si="2"/>
        <v>152207.4464</v>
      </c>
      <c r="H88" s="13">
        <f>D88 * Inputs!B6 * Inputs!B7</f>
        <v>16491.57615</v>
      </c>
    </row>
    <row r="89" ht="15.75" customHeight="1">
      <c r="A89" s="12">
        <v>88.0</v>
      </c>
      <c r="B89" s="4">
        <f>DATEVALUE(Inputs!B$2) + (A89-1)*14</f>
        <v>47115</v>
      </c>
      <c r="C89" s="13">
        <f>(88-1)*Inputs!B3</f>
        <v>191400</v>
      </c>
      <c r="D89" s="13">
        <f>SUM(Holdings!J2:J1000) + C89</f>
        <v>193406.68</v>
      </c>
      <c r="E89" s="13">
        <f>D89 * IFERROR((SUM(Holdings!K2:K1000)*12)/(SUM(Holdings!J2:J1000)), Inputs!B4) / 52</f>
        <v>2960.744733</v>
      </c>
      <c r="F89" s="13">
        <f t="shared" si="1"/>
        <v>12820.0247</v>
      </c>
      <c r="G89" s="13">
        <f t="shared" si="2"/>
        <v>153958.7261</v>
      </c>
      <c r="H89" s="13">
        <f>D89 * Inputs!B6 * Inputs!B7</f>
        <v>16681.32615</v>
      </c>
    </row>
    <row r="90" ht="15.75" customHeight="1">
      <c r="A90" s="12">
        <v>89.0</v>
      </c>
      <c r="B90" s="4">
        <f>DATEVALUE(Inputs!B$2) + (A90-1)*14</f>
        <v>47129</v>
      </c>
      <c r="C90" s="13">
        <f>(89-1)*Inputs!B3</f>
        <v>193600</v>
      </c>
      <c r="D90" s="13">
        <f>SUM(Holdings!J2:J1000) + C90</f>
        <v>195606.68</v>
      </c>
      <c r="E90" s="13">
        <f>D90 * IFERROR((SUM(Holdings!K2:K1000)*12)/(SUM(Holdings!J2:J1000)), Inputs!B4) / 52</f>
        <v>2994.42319</v>
      </c>
      <c r="F90" s="13">
        <f t="shared" si="1"/>
        <v>12965.85241</v>
      </c>
      <c r="G90" s="13">
        <f t="shared" si="2"/>
        <v>155710.0059</v>
      </c>
      <c r="H90" s="13">
        <f>D90 * Inputs!B6 * Inputs!B7</f>
        <v>16871.07615</v>
      </c>
    </row>
    <row r="91" ht="15.75" customHeight="1">
      <c r="A91" s="12">
        <v>90.0</v>
      </c>
      <c r="B91" s="4">
        <f>DATEVALUE(Inputs!B$2) + (A91-1)*14</f>
        <v>47143</v>
      </c>
      <c r="C91" s="13">
        <f>(90-1)*Inputs!B3</f>
        <v>195800</v>
      </c>
      <c r="D91" s="13">
        <f>SUM(Holdings!J2:J1000) + C91</f>
        <v>197806.68</v>
      </c>
      <c r="E91" s="13">
        <f>D91 * IFERROR((SUM(Holdings!K2:K1000)*12)/(SUM(Holdings!J2:J1000)), Inputs!B4) / 52</f>
        <v>3028.101646</v>
      </c>
      <c r="F91" s="13">
        <f t="shared" si="1"/>
        <v>13111.68013</v>
      </c>
      <c r="G91" s="13">
        <f t="shared" si="2"/>
        <v>157461.2856</v>
      </c>
      <c r="H91" s="13">
        <f>D91 * Inputs!B6 * Inputs!B7</f>
        <v>17060.82615</v>
      </c>
    </row>
    <row r="92" ht="15.75" customHeight="1">
      <c r="A92" s="12">
        <v>91.0</v>
      </c>
      <c r="B92" s="4">
        <f>DATEVALUE(Inputs!B$2) + (A92-1)*14</f>
        <v>47157</v>
      </c>
      <c r="C92" s="13">
        <f>(91-1)*Inputs!B3</f>
        <v>198000</v>
      </c>
      <c r="D92" s="13">
        <f>SUM(Holdings!J2:J1000) + C92</f>
        <v>200006.68</v>
      </c>
      <c r="E92" s="13">
        <f>D92 * IFERROR((SUM(Holdings!K2:K1000)*12)/(SUM(Holdings!J2:J1000)), Inputs!B4) / 52</f>
        <v>3061.780102</v>
      </c>
      <c r="F92" s="13">
        <f t="shared" si="1"/>
        <v>13257.50784</v>
      </c>
      <c r="G92" s="13">
        <f t="shared" si="2"/>
        <v>159212.5653</v>
      </c>
      <c r="H92" s="13">
        <f>D92 * Inputs!B6 * Inputs!B7</f>
        <v>17250.57615</v>
      </c>
    </row>
    <row r="93" ht="15.75" customHeight="1">
      <c r="A93" s="12">
        <v>92.0</v>
      </c>
      <c r="B93" s="4">
        <f>DATEVALUE(Inputs!B$2) + (A93-1)*14</f>
        <v>47171</v>
      </c>
      <c r="C93" s="13">
        <f>(92-1)*Inputs!B3</f>
        <v>200200</v>
      </c>
      <c r="D93" s="13">
        <f>SUM(Holdings!J2:J1000) + C93</f>
        <v>202206.68</v>
      </c>
      <c r="E93" s="13">
        <f>D93 * IFERROR((SUM(Holdings!K2:K1000)*12)/(SUM(Holdings!J2:J1000)), Inputs!B4) / 52</f>
        <v>3095.458558</v>
      </c>
      <c r="F93" s="13">
        <f t="shared" si="1"/>
        <v>13403.33556</v>
      </c>
      <c r="G93" s="13">
        <f t="shared" si="2"/>
        <v>160963.845</v>
      </c>
      <c r="H93" s="13">
        <f>D93 * Inputs!B6 * Inputs!B7</f>
        <v>17440.32615</v>
      </c>
    </row>
    <row r="94" ht="15.75" customHeight="1">
      <c r="A94" s="12">
        <v>93.0</v>
      </c>
      <c r="B94" s="4">
        <f>DATEVALUE(Inputs!B$2) + (A94-1)*14</f>
        <v>47185</v>
      </c>
      <c r="C94" s="13">
        <f>(93-1)*Inputs!B3</f>
        <v>202400</v>
      </c>
      <c r="D94" s="13">
        <f>SUM(Holdings!J2:J1000) + C94</f>
        <v>204406.68</v>
      </c>
      <c r="E94" s="13">
        <f>D94 * IFERROR((SUM(Holdings!K2:K1000)*12)/(SUM(Holdings!J2:J1000)), Inputs!B4) / 52</f>
        <v>3129.137015</v>
      </c>
      <c r="F94" s="13">
        <f t="shared" si="1"/>
        <v>13549.16327</v>
      </c>
      <c r="G94" s="13">
        <f t="shared" si="2"/>
        <v>162715.1248</v>
      </c>
      <c r="H94" s="13">
        <f>D94 * Inputs!B6 * Inputs!B7</f>
        <v>17630.07615</v>
      </c>
    </row>
    <row r="95" ht="15.75" customHeight="1">
      <c r="A95" s="12">
        <v>94.0</v>
      </c>
      <c r="B95" s="4">
        <f>DATEVALUE(Inputs!B$2) + (A95-1)*14</f>
        <v>47199</v>
      </c>
      <c r="C95" s="13">
        <f>(94-1)*Inputs!B3</f>
        <v>204600</v>
      </c>
      <c r="D95" s="13">
        <f>SUM(Holdings!J2:J1000) + C95</f>
        <v>206606.68</v>
      </c>
      <c r="E95" s="13">
        <f>D95 * IFERROR((SUM(Holdings!K2:K1000)*12)/(SUM(Holdings!J2:J1000)), Inputs!B4) / 52</f>
        <v>3162.815471</v>
      </c>
      <c r="F95" s="13">
        <f t="shared" si="1"/>
        <v>13694.99099</v>
      </c>
      <c r="G95" s="13">
        <f t="shared" si="2"/>
        <v>164466.4045</v>
      </c>
      <c r="H95" s="13">
        <f>D95 * Inputs!B6 * Inputs!B7</f>
        <v>17819.82615</v>
      </c>
    </row>
    <row r="96" ht="15.75" customHeight="1">
      <c r="A96" s="12">
        <v>95.0</v>
      </c>
      <c r="B96" s="4">
        <f>DATEVALUE(Inputs!B$2) + (A96-1)*14</f>
        <v>47213</v>
      </c>
      <c r="C96" s="13">
        <f>(95-1)*Inputs!B3</f>
        <v>206800</v>
      </c>
      <c r="D96" s="13">
        <f>SUM(Holdings!J2:J1000) + C96</f>
        <v>208806.68</v>
      </c>
      <c r="E96" s="13">
        <f>D96 * IFERROR((SUM(Holdings!K2:K1000)*12)/(SUM(Holdings!J2:J1000)), Inputs!B4) / 52</f>
        <v>3196.493927</v>
      </c>
      <c r="F96" s="13">
        <f t="shared" si="1"/>
        <v>13840.81871</v>
      </c>
      <c r="G96" s="13">
        <f t="shared" si="2"/>
        <v>166217.6842</v>
      </c>
      <c r="H96" s="13">
        <f>D96 * Inputs!B6 * Inputs!B7</f>
        <v>18009.57615</v>
      </c>
    </row>
    <row r="97" ht="15.75" customHeight="1">
      <c r="A97" s="12">
        <v>96.0</v>
      </c>
      <c r="B97" s="4">
        <f>DATEVALUE(Inputs!B$2) + (A97-1)*14</f>
        <v>47227</v>
      </c>
      <c r="C97" s="13">
        <f>(96-1)*Inputs!B3</f>
        <v>209000</v>
      </c>
      <c r="D97" s="13">
        <f>SUM(Holdings!J2:J1000) + C97</f>
        <v>211006.68</v>
      </c>
      <c r="E97" s="13">
        <f>D97 * IFERROR((SUM(Holdings!K2:K1000)*12)/(SUM(Holdings!J2:J1000)), Inputs!B4) / 52</f>
        <v>3230.172384</v>
      </c>
      <c r="F97" s="13">
        <f t="shared" si="1"/>
        <v>13986.64642</v>
      </c>
      <c r="G97" s="13">
        <f t="shared" si="2"/>
        <v>167968.9639</v>
      </c>
      <c r="H97" s="13">
        <f>D97 * Inputs!B6 * Inputs!B7</f>
        <v>18199.32615</v>
      </c>
    </row>
    <row r="98" ht="15.75" customHeight="1">
      <c r="A98" s="12">
        <v>97.0</v>
      </c>
      <c r="B98" s="4">
        <f>DATEVALUE(Inputs!B$2) + (A98-1)*14</f>
        <v>47241</v>
      </c>
      <c r="C98" s="13">
        <f>(97-1)*Inputs!B3</f>
        <v>211200</v>
      </c>
      <c r="D98" s="13">
        <f>SUM(Holdings!J2:J1000) + C98</f>
        <v>213206.68</v>
      </c>
      <c r="E98" s="13">
        <f>D98 * IFERROR((SUM(Holdings!K2:K1000)*12)/(SUM(Holdings!J2:J1000)), Inputs!B4) / 52</f>
        <v>3263.85084</v>
      </c>
      <c r="F98" s="13">
        <f t="shared" si="1"/>
        <v>14132.47414</v>
      </c>
      <c r="G98" s="13">
        <f t="shared" si="2"/>
        <v>169720.2437</v>
      </c>
      <c r="H98" s="13">
        <f>D98 * Inputs!B6 * Inputs!B7</f>
        <v>18389.07615</v>
      </c>
    </row>
    <row r="99" ht="15.75" customHeight="1">
      <c r="A99" s="12">
        <v>98.0</v>
      </c>
      <c r="B99" s="4">
        <f>DATEVALUE(Inputs!B$2) + (A99-1)*14</f>
        <v>47255</v>
      </c>
      <c r="C99" s="13">
        <f>(98-1)*Inputs!B3</f>
        <v>213400</v>
      </c>
      <c r="D99" s="13">
        <f>SUM(Holdings!J2:J1000) + C99</f>
        <v>215406.68</v>
      </c>
      <c r="E99" s="13">
        <f>D99 * IFERROR((SUM(Holdings!K2:K1000)*12)/(SUM(Holdings!J2:J1000)), Inputs!B4) / 52</f>
        <v>3297.529296</v>
      </c>
      <c r="F99" s="13">
        <f t="shared" si="1"/>
        <v>14278.30185</v>
      </c>
      <c r="G99" s="13">
        <f t="shared" si="2"/>
        <v>171471.5234</v>
      </c>
      <c r="H99" s="13">
        <f>D99 * Inputs!B6 * Inputs!B7</f>
        <v>18578.82615</v>
      </c>
    </row>
    <row r="100" ht="15.75" customHeight="1">
      <c r="A100" s="12">
        <v>99.0</v>
      </c>
      <c r="B100" s="4">
        <f>DATEVALUE(Inputs!B$2) + (A100-1)*14</f>
        <v>47269</v>
      </c>
      <c r="C100" s="13">
        <f>(99-1)*Inputs!B3</f>
        <v>215600</v>
      </c>
      <c r="D100" s="13">
        <f>SUM(Holdings!J2:J1000) + C100</f>
        <v>217606.68</v>
      </c>
      <c r="E100" s="13">
        <f>D100 * IFERROR((SUM(Holdings!K2:K1000)*12)/(SUM(Holdings!J2:J1000)), Inputs!B4) / 52</f>
        <v>3331.207752</v>
      </c>
      <c r="F100" s="13">
        <f t="shared" si="1"/>
        <v>14424.12957</v>
      </c>
      <c r="G100" s="13">
        <f t="shared" si="2"/>
        <v>173222.8031</v>
      </c>
      <c r="H100" s="13">
        <f>D100 * Inputs!B6 * Inputs!B7</f>
        <v>18768.57615</v>
      </c>
    </row>
    <row r="101" ht="15.75" customHeight="1">
      <c r="A101" s="12">
        <v>100.0</v>
      </c>
      <c r="B101" s="4">
        <f>DATEVALUE(Inputs!B$2) + (A101-1)*14</f>
        <v>47283</v>
      </c>
      <c r="C101" s="13">
        <f>(100-1)*Inputs!B3</f>
        <v>217800</v>
      </c>
      <c r="D101" s="13">
        <f>SUM(Holdings!J2:J1000) + C101</f>
        <v>219806.68</v>
      </c>
      <c r="E101" s="13">
        <f>D101 * IFERROR((SUM(Holdings!K2:K1000)*12)/(SUM(Holdings!J2:J1000)), Inputs!B4) / 52</f>
        <v>3364.886209</v>
      </c>
      <c r="F101" s="13">
        <f t="shared" si="1"/>
        <v>14569.95728</v>
      </c>
      <c r="G101" s="13">
        <f t="shared" si="2"/>
        <v>174974.0828</v>
      </c>
      <c r="H101" s="13">
        <f>D101 * Inputs!B6 * Inputs!B7</f>
        <v>18958.32615</v>
      </c>
    </row>
    <row r="102" ht="15.75" customHeight="1">
      <c r="A102" s="12">
        <v>101.0</v>
      </c>
      <c r="B102" s="4">
        <f>DATEVALUE(Inputs!B$2) + (A102-1)*14</f>
        <v>47297</v>
      </c>
      <c r="C102" s="13">
        <f>(101-1)*Inputs!B3</f>
        <v>220000</v>
      </c>
      <c r="D102" s="13">
        <f>SUM(Holdings!J2:J1000) + C102</f>
        <v>222006.68</v>
      </c>
      <c r="E102" s="13">
        <f>D102 * IFERROR((SUM(Holdings!K2:K1000)*12)/(SUM(Holdings!J2:J1000)), Inputs!B4) / 52</f>
        <v>3398.564665</v>
      </c>
      <c r="F102" s="13">
        <f t="shared" si="1"/>
        <v>14715.785</v>
      </c>
      <c r="G102" s="13">
        <f t="shared" si="2"/>
        <v>176725.3626</v>
      </c>
      <c r="H102" s="13">
        <f>D102 * Inputs!B6 * Inputs!B7</f>
        <v>19148.07615</v>
      </c>
    </row>
    <row r="103" ht="15.75" customHeight="1">
      <c r="A103" s="12">
        <v>102.0</v>
      </c>
      <c r="B103" s="4">
        <f>DATEVALUE(Inputs!B$2) + (A103-1)*14</f>
        <v>47311</v>
      </c>
      <c r="C103" s="13">
        <f>(102-1)*Inputs!B3</f>
        <v>222200</v>
      </c>
      <c r="D103" s="13">
        <f>SUM(Holdings!J2:J1000) + C103</f>
        <v>224206.68</v>
      </c>
      <c r="E103" s="13">
        <f>D103 * IFERROR((SUM(Holdings!K2:K1000)*12)/(SUM(Holdings!J2:J1000)), Inputs!B4) / 52</f>
        <v>3432.243121</v>
      </c>
      <c r="F103" s="13">
        <f t="shared" si="1"/>
        <v>14861.61271</v>
      </c>
      <c r="G103" s="13">
        <f t="shared" si="2"/>
        <v>178476.6423</v>
      </c>
      <c r="H103" s="13">
        <f>D103 * Inputs!B6 * Inputs!B7</f>
        <v>19337.82615</v>
      </c>
    </row>
    <row r="104" ht="15.75" customHeight="1">
      <c r="A104" s="12">
        <v>103.0</v>
      </c>
      <c r="B104" s="4">
        <f>DATEVALUE(Inputs!B$2) + (A104-1)*14</f>
        <v>47325</v>
      </c>
      <c r="C104" s="13">
        <f>(103-1)*Inputs!B3</f>
        <v>224400</v>
      </c>
      <c r="D104" s="13">
        <f>SUM(Holdings!J2:J1000) + C104</f>
        <v>226406.68</v>
      </c>
      <c r="E104" s="13">
        <f>D104 * IFERROR((SUM(Holdings!K2:K1000)*12)/(SUM(Holdings!J2:J1000)), Inputs!B4) / 52</f>
        <v>3465.921577</v>
      </c>
      <c r="F104" s="13">
        <f t="shared" si="1"/>
        <v>15007.44043</v>
      </c>
      <c r="G104" s="13">
        <f t="shared" si="2"/>
        <v>180227.922</v>
      </c>
      <c r="H104" s="13">
        <f>D104 * Inputs!B6 * Inputs!B7</f>
        <v>19527.57615</v>
      </c>
    </row>
    <row r="105" ht="15.75" customHeight="1">
      <c r="A105" s="12">
        <v>104.0</v>
      </c>
      <c r="B105" s="4">
        <f>DATEVALUE(Inputs!B$2) + (A105-1)*14</f>
        <v>47339</v>
      </c>
      <c r="C105" s="13">
        <f>(104-1)*Inputs!B3</f>
        <v>226600</v>
      </c>
      <c r="D105" s="13">
        <f>SUM(Holdings!J2:J1000) + C105</f>
        <v>228606.68</v>
      </c>
      <c r="E105" s="13">
        <f>D105 * IFERROR((SUM(Holdings!K2:K1000)*12)/(SUM(Holdings!J2:J1000)), Inputs!B4) / 52</f>
        <v>3499.600034</v>
      </c>
      <c r="F105" s="13">
        <f t="shared" si="1"/>
        <v>15153.26815</v>
      </c>
      <c r="G105" s="13">
        <f t="shared" si="2"/>
        <v>181979.2017</v>
      </c>
      <c r="H105" s="13">
        <f>D105 * Inputs!B6 * Inputs!B7</f>
        <v>19717.32615</v>
      </c>
    </row>
    <row r="106" ht="15.75" customHeight="1">
      <c r="A106" s="12">
        <v>105.0</v>
      </c>
      <c r="B106" s="4">
        <f>DATEVALUE(Inputs!B$2) + (A106-1)*14</f>
        <v>47353</v>
      </c>
      <c r="C106" s="13">
        <f>(105-1)*Inputs!B3</f>
        <v>228800</v>
      </c>
      <c r="D106" s="13">
        <f>SUM(Holdings!J2:J1000) + C106</f>
        <v>230806.68</v>
      </c>
      <c r="E106" s="13">
        <f>D106 * IFERROR((SUM(Holdings!K2:K1000)*12)/(SUM(Holdings!J2:J1000)), Inputs!B4) / 52</f>
        <v>3533.27849</v>
      </c>
      <c r="F106" s="13">
        <f t="shared" si="1"/>
        <v>15299.09586</v>
      </c>
      <c r="G106" s="13">
        <f t="shared" si="2"/>
        <v>183730.4815</v>
      </c>
      <c r="H106" s="13">
        <f>D106 * Inputs!B6 * Inputs!B7</f>
        <v>19907.07615</v>
      </c>
    </row>
    <row r="107" ht="15.75" customHeight="1">
      <c r="A107" s="12">
        <v>106.0</v>
      </c>
      <c r="B107" s="4">
        <f>DATEVALUE(Inputs!B$2) + (A107-1)*14</f>
        <v>47367</v>
      </c>
      <c r="C107" s="13">
        <f>(106-1)*Inputs!B3</f>
        <v>231000</v>
      </c>
      <c r="D107" s="13">
        <f>SUM(Holdings!J2:J1000) + C107</f>
        <v>233006.68</v>
      </c>
      <c r="E107" s="13">
        <f>D107 * IFERROR((SUM(Holdings!K2:K1000)*12)/(SUM(Holdings!J2:J1000)), Inputs!B4) / 52</f>
        <v>3566.956946</v>
      </c>
      <c r="F107" s="13">
        <f t="shared" si="1"/>
        <v>15444.92358</v>
      </c>
      <c r="G107" s="13">
        <f t="shared" si="2"/>
        <v>185481.7612</v>
      </c>
      <c r="H107" s="13">
        <f>D107 * Inputs!B6 * Inputs!B7</f>
        <v>20096.82615</v>
      </c>
    </row>
    <row r="108" ht="15.75" customHeight="1">
      <c r="A108" s="12">
        <v>107.0</v>
      </c>
      <c r="B108" s="4">
        <f>DATEVALUE(Inputs!B$2) + (A108-1)*14</f>
        <v>47381</v>
      </c>
      <c r="C108" s="13">
        <f>(107-1)*Inputs!B3</f>
        <v>233200</v>
      </c>
      <c r="D108" s="13">
        <f>SUM(Holdings!J2:J1000) + C108</f>
        <v>235206.68</v>
      </c>
      <c r="E108" s="13">
        <f>D108 * IFERROR((SUM(Holdings!K2:K1000)*12)/(SUM(Holdings!J2:J1000)), Inputs!B4) / 52</f>
        <v>3600.635402</v>
      </c>
      <c r="F108" s="13">
        <f t="shared" si="1"/>
        <v>15590.75129</v>
      </c>
      <c r="G108" s="13">
        <f t="shared" si="2"/>
        <v>187233.0409</v>
      </c>
      <c r="H108" s="13">
        <f>D108 * Inputs!B6 * Inputs!B7</f>
        <v>20286.57615</v>
      </c>
    </row>
    <row r="109" ht="15.75" customHeight="1">
      <c r="A109" s="12">
        <v>108.0</v>
      </c>
      <c r="B109" s="4">
        <f>DATEVALUE(Inputs!B$2) + (A109-1)*14</f>
        <v>47395</v>
      </c>
      <c r="C109" s="13">
        <f>(108-1)*Inputs!B3</f>
        <v>235400</v>
      </c>
      <c r="D109" s="13">
        <f>SUM(Holdings!J2:J1000) + C109</f>
        <v>237406.68</v>
      </c>
      <c r="E109" s="13">
        <f>D109 * IFERROR((SUM(Holdings!K2:K1000)*12)/(SUM(Holdings!J2:J1000)), Inputs!B4) / 52</f>
        <v>3634.313859</v>
      </c>
      <c r="F109" s="13">
        <f t="shared" si="1"/>
        <v>15736.57901</v>
      </c>
      <c r="G109" s="13">
        <f t="shared" si="2"/>
        <v>188984.3207</v>
      </c>
      <c r="H109" s="13">
        <f>D109 * Inputs!B6 * Inputs!B7</f>
        <v>20476.32615</v>
      </c>
    </row>
    <row r="110" ht="15.75" customHeight="1">
      <c r="A110" s="12">
        <v>109.0</v>
      </c>
      <c r="B110" s="4">
        <f>DATEVALUE(Inputs!B$2) + (A110-1)*14</f>
        <v>47409</v>
      </c>
      <c r="C110" s="13">
        <f>(109-1)*Inputs!B3</f>
        <v>237600</v>
      </c>
      <c r="D110" s="13">
        <f>SUM(Holdings!J2:J1000) + C110</f>
        <v>239606.68</v>
      </c>
      <c r="E110" s="13">
        <f>D110 * IFERROR((SUM(Holdings!K2:K1000)*12)/(SUM(Holdings!J2:J1000)), Inputs!B4) / 52</f>
        <v>3667.992315</v>
      </c>
      <c r="F110" s="13">
        <f t="shared" si="1"/>
        <v>15882.40672</v>
      </c>
      <c r="G110" s="13">
        <f t="shared" si="2"/>
        <v>190735.6004</v>
      </c>
      <c r="H110" s="13">
        <f>D110 * Inputs!B6 * Inputs!B7</f>
        <v>20666.07615</v>
      </c>
    </row>
    <row r="111" ht="15.75" customHeight="1">
      <c r="A111" s="12">
        <v>110.0</v>
      </c>
      <c r="B111" s="4">
        <f>DATEVALUE(Inputs!B$2) + (A111-1)*14</f>
        <v>47423</v>
      </c>
      <c r="C111" s="13">
        <f>(110-1)*Inputs!B3</f>
        <v>239800</v>
      </c>
      <c r="D111" s="13">
        <f>SUM(Holdings!J2:J1000) + C111</f>
        <v>241806.68</v>
      </c>
      <c r="E111" s="13">
        <f>D111 * IFERROR((SUM(Holdings!K2:K1000)*12)/(SUM(Holdings!J2:J1000)), Inputs!B4) / 52</f>
        <v>3701.670771</v>
      </c>
      <c r="F111" s="13">
        <f t="shared" si="1"/>
        <v>16028.23444</v>
      </c>
      <c r="G111" s="13">
        <f t="shared" si="2"/>
        <v>192486.8801</v>
      </c>
      <c r="H111" s="13">
        <f>D111 * Inputs!B6 * Inputs!B7</f>
        <v>20855.82615</v>
      </c>
    </row>
    <row r="112" ht="15.75" customHeight="1">
      <c r="A112" s="12">
        <v>111.0</v>
      </c>
      <c r="B112" s="4">
        <f>DATEVALUE(Inputs!B$2) + (A112-1)*14</f>
        <v>47437</v>
      </c>
      <c r="C112" s="13">
        <f>(111-1)*Inputs!B3</f>
        <v>242000</v>
      </c>
      <c r="D112" s="13">
        <f>SUM(Holdings!J2:J1000) + C112</f>
        <v>244006.68</v>
      </c>
      <c r="E112" s="13">
        <f>D112 * IFERROR((SUM(Holdings!K2:K1000)*12)/(SUM(Holdings!J2:J1000)), Inputs!B4) / 52</f>
        <v>3735.349227</v>
      </c>
      <c r="F112" s="13">
        <f t="shared" si="1"/>
        <v>16174.06215</v>
      </c>
      <c r="G112" s="13">
        <f t="shared" si="2"/>
        <v>194238.1598</v>
      </c>
      <c r="H112" s="13">
        <f>D112 * Inputs!B6 * Inputs!B7</f>
        <v>21045.57615</v>
      </c>
    </row>
    <row r="113" ht="15.75" customHeight="1">
      <c r="A113" s="12">
        <v>112.0</v>
      </c>
      <c r="B113" s="4">
        <f>DATEVALUE(Inputs!B$2) + (A113-1)*14</f>
        <v>47451</v>
      </c>
      <c r="C113" s="13">
        <f>(112-1)*Inputs!B3</f>
        <v>244200</v>
      </c>
      <c r="D113" s="13">
        <f>SUM(Holdings!J2:J1000) + C113</f>
        <v>246206.68</v>
      </c>
      <c r="E113" s="13">
        <f>D113 * IFERROR((SUM(Holdings!K2:K1000)*12)/(SUM(Holdings!J2:J1000)), Inputs!B4) / 52</f>
        <v>3769.027684</v>
      </c>
      <c r="F113" s="13">
        <f t="shared" si="1"/>
        <v>16319.88987</v>
      </c>
      <c r="G113" s="13">
        <f t="shared" si="2"/>
        <v>195989.4396</v>
      </c>
      <c r="H113" s="13">
        <f>D113 * Inputs!B6 * Inputs!B7</f>
        <v>21235.32615</v>
      </c>
    </row>
    <row r="114" ht="15.75" customHeight="1">
      <c r="A114" s="12">
        <v>113.0</v>
      </c>
      <c r="B114" s="4">
        <f>DATEVALUE(Inputs!B$2) + (A114-1)*14</f>
        <v>47465</v>
      </c>
      <c r="C114" s="13">
        <f>(113-1)*Inputs!B3</f>
        <v>246400</v>
      </c>
      <c r="D114" s="13">
        <f>SUM(Holdings!J2:J1000) + C114</f>
        <v>248406.68</v>
      </c>
      <c r="E114" s="13">
        <f>D114 * IFERROR((SUM(Holdings!K2:K1000)*12)/(SUM(Holdings!J2:J1000)), Inputs!B4) / 52</f>
        <v>3802.70614</v>
      </c>
      <c r="F114" s="13">
        <f t="shared" si="1"/>
        <v>16465.71759</v>
      </c>
      <c r="G114" s="13">
        <f t="shared" si="2"/>
        <v>197740.7193</v>
      </c>
      <c r="H114" s="13">
        <f>D114 * Inputs!B6 * Inputs!B7</f>
        <v>21425.07615</v>
      </c>
    </row>
    <row r="115" ht="15.75" customHeight="1">
      <c r="A115" s="12">
        <v>114.0</v>
      </c>
      <c r="B115" s="4">
        <f>DATEVALUE(Inputs!B$2) + (A115-1)*14</f>
        <v>47479</v>
      </c>
      <c r="C115" s="13">
        <f>(114-1)*Inputs!B3</f>
        <v>248600</v>
      </c>
      <c r="D115" s="13">
        <f>SUM(Holdings!J2:J1000) + C115</f>
        <v>250606.68</v>
      </c>
      <c r="E115" s="13">
        <f>D115 * IFERROR((SUM(Holdings!K2:K1000)*12)/(SUM(Holdings!J2:J1000)), Inputs!B4) / 52</f>
        <v>3836.384596</v>
      </c>
      <c r="F115" s="13">
        <f t="shared" si="1"/>
        <v>16611.5453</v>
      </c>
      <c r="G115" s="13">
        <f t="shared" si="2"/>
        <v>199491.999</v>
      </c>
      <c r="H115" s="13">
        <f>D115 * Inputs!B6 * Inputs!B7</f>
        <v>21614.82615</v>
      </c>
    </row>
    <row r="116" ht="15.75" customHeight="1">
      <c r="A116" s="12">
        <v>115.0</v>
      </c>
      <c r="B116" s="4">
        <f>DATEVALUE(Inputs!B$2) + (A116-1)*14</f>
        <v>47493</v>
      </c>
      <c r="C116" s="13">
        <f>(115-1)*Inputs!B3</f>
        <v>250800</v>
      </c>
      <c r="D116" s="13">
        <f>SUM(Holdings!J2:J1000) + C116</f>
        <v>252806.68</v>
      </c>
      <c r="E116" s="13">
        <f>D116 * IFERROR((SUM(Holdings!K2:K1000)*12)/(SUM(Holdings!J2:J1000)), Inputs!B4) / 52</f>
        <v>3870.063053</v>
      </c>
      <c r="F116" s="13">
        <f t="shared" si="1"/>
        <v>16757.37302</v>
      </c>
      <c r="G116" s="13">
        <f t="shared" si="2"/>
        <v>201243.2787</v>
      </c>
      <c r="H116" s="13">
        <f>D116 * Inputs!B6 * Inputs!B7</f>
        <v>21804.57615</v>
      </c>
    </row>
    <row r="117" ht="15.75" customHeight="1">
      <c r="A117" s="12">
        <v>116.0</v>
      </c>
      <c r="B117" s="4">
        <f>DATEVALUE(Inputs!B$2) + (A117-1)*14</f>
        <v>47507</v>
      </c>
      <c r="C117" s="13">
        <f>(116-1)*Inputs!B3</f>
        <v>253000</v>
      </c>
      <c r="D117" s="13">
        <f>SUM(Holdings!J2:J1000) + C117</f>
        <v>255006.68</v>
      </c>
      <c r="E117" s="13">
        <f>D117 * IFERROR((SUM(Holdings!K2:K1000)*12)/(SUM(Holdings!J2:J1000)), Inputs!B4) / 52</f>
        <v>3903.741509</v>
      </c>
      <c r="F117" s="13">
        <f t="shared" si="1"/>
        <v>16903.20073</v>
      </c>
      <c r="G117" s="13">
        <f t="shared" si="2"/>
        <v>202994.5585</v>
      </c>
      <c r="H117" s="13">
        <f>D117 * Inputs!B6 * Inputs!B7</f>
        <v>21994.32615</v>
      </c>
    </row>
    <row r="118" ht="15.75" customHeight="1">
      <c r="A118" s="12">
        <v>117.0</v>
      </c>
      <c r="B118" s="4">
        <f>DATEVALUE(Inputs!B$2) + (A118-1)*14</f>
        <v>47521</v>
      </c>
      <c r="C118" s="13">
        <f>(117-1)*Inputs!B3</f>
        <v>255200</v>
      </c>
      <c r="D118" s="13">
        <f>SUM(Holdings!J2:J1000) + C118</f>
        <v>257206.68</v>
      </c>
      <c r="E118" s="13">
        <f>D118 * IFERROR((SUM(Holdings!K2:K1000)*12)/(SUM(Holdings!J2:J1000)), Inputs!B4) / 52</f>
        <v>3937.419965</v>
      </c>
      <c r="F118" s="13">
        <f t="shared" si="1"/>
        <v>17049.02845</v>
      </c>
      <c r="G118" s="13">
        <f t="shared" si="2"/>
        <v>204745.8382</v>
      </c>
      <c r="H118" s="13">
        <f>D118 * Inputs!B6 * Inputs!B7</f>
        <v>22184.07615</v>
      </c>
    </row>
    <row r="119" ht="15.75" customHeight="1">
      <c r="A119" s="12">
        <v>118.0</v>
      </c>
      <c r="B119" s="4">
        <f>DATEVALUE(Inputs!B$2) + (A119-1)*14</f>
        <v>47535</v>
      </c>
      <c r="C119" s="13">
        <f>(118-1)*Inputs!B3</f>
        <v>257400</v>
      </c>
      <c r="D119" s="13">
        <f>SUM(Holdings!J2:J1000) + C119</f>
        <v>259406.68</v>
      </c>
      <c r="E119" s="13">
        <f>D119 * IFERROR((SUM(Holdings!K2:K1000)*12)/(SUM(Holdings!J2:J1000)), Inputs!B4) / 52</f>
        <v>3971.098421</v>
      </c>
      <c r="F119" s="13">
        <f t="shared" si="1"/>
        <v>17194.85616</v>
      </c>
      <c r="G119" s="13">
        <f t="shared" si="2"/>
        <v>206497.1179</v>
      </c>
      <c r="H119" s="13">
        <f>D119 * Inputs!B6 * Inputs!B7</f>
        <v>22373.82615</v>
      </c>
    </row>
    <row r="120" ht="15.75" customHeight="1">
      <c r="A120" s="12">
        <v>119.0</v>
      </c>
      <c r="B120" s="4">
        <f>DATEVALUE(Inputs!B$2) + (A120-1)*14</f>
        <v>47549</v>
      </c>
      <c r="C120" s="13">
        <f>(119-1)*Inputs!B3</f>
        <v>259600</v>
      </c>
      <c r="D120" s="13">
        <f>SUM(Holdings!J2:J1000) + C120</f>
        <v>261606.68</v>
      </c>
      <c r="E120" s="13">
        <f>D120 * IFERROR((SUM(Holdings!K2:K1000)*12)/(SUM(Holdings!J2:J1000)), Inputs!B4) / 52</f>
        <v>4004.776878</v>
      </c>
      <c r="F120" s="13">
        <f t="shared" si="1"/>
        <v>17340.68388</v>
      </c>
      <c r="G120" s="13">
        <f t="shared" si="2"/>
        <v>208248.3976</v>
      </c>
      <c r="H120" s="13">
        <f>D120 * Inputs!B6 * Inputs!B7</f>
        <v>22563.57615</v>
      </c>
    </row>
    <row r="121" ht="15.75" customHeight="1">
      <c r="A121" s="12">
        <v>120.0</v>
      </c>
      <c r="B121" s="4">
        <f>DATEVALUE(Inputs!B$2) + (A121-1)*14</f>
        <v>47563</v>
      </c>
      <c r="C121" s="13">
        <f>(120-1)*Inputs!B3</f>
        <v>261800</v>
      </c>
      <c r="D121" s="13">
        <f>SUM(Holdings!J2:J1000) + C121</f>
        <v>263806.68</v>
      </c>
      <c r="E121" s="13">
        <f>D121 * IFERROR((SUM(Holdings!K2:K1000)*12)/(SUM(Holdings!J2:J1000)), Inputs!B4) / 52</f>
        <v>4038.455334</v>
      </c>
      <c r="F121" s="13">
        <f t="shared" si="1"/>
        <v>17486.5116</v>
      </c>
      <c r="G121" s="13">
        <f t="shared" si="2"/>
        <v>209999.6774</v>
      </c>
      <c r="H121" s="13">
        <f>D121 * Inputs!B6 * Inputs!B7</f>
        <v>22753.32615</v>
      </c>
    </row>
    <row r="122" ht="15.75" customHeight="1">
      <c r="A122" s="12">
        <v>121.0</v>
      </c>
      <c r="B122" s="4">
        <f>DATEVALUE(Inputs!B$2) + (A122-1)*14</f>
        <v>47577</v>
      </c>
      <c r="C122" s="13">
        <f>(121-1)*Inputs!B3</f>
        <v>264000</v>
      </c>
      <c r="D122" s="13">
        <f>SUM(Holdings!J2:J1000) + C122</f>
        <v>266006.68</v>
      </c>
      <c r="E122" s="13">
        <f>D122 * IFERROR((SUM(Holdings!K2:K1000)*12)/(SUM(Holdings!J2:J1000)), Inputs!B4) / 52</f>
        <v>4072.13379</v>
      </c>
      <c r="F122" s="13">
        <f t="shared" si="1"/>
        <v>17632.33931</v>
      </c>
      <c r="G122" s="13">
        <f t="shared" si="2"/>
        <v>211750.9571</v>
      </c>
      <c r="H122" s="13">
        <f>D122 * Inputs!B6 * Inputs!B7</f>
        <v>22943.07615</v>
      </c>
    </row>
    <row r="123" ht="15.75" customHeight="1">
      <c r="A123" s="12">
        <v>122.0</v>
      </c>
      <c r="B123" s="4">
        <f>DATEVALUE(Inputs!B$2) + (A123-1)*14</f>
        <v>47591</v>
      </c>
      <c r="C123" s="13">
        <f>(122-1)*Inputs!B3</f>
        <v>266200</v>
      </c>
      <c r="D123" s="13">
        <f>SUM(Holdings!J2:J1000) + C123</f>
        <v>268206.68</v>
      </c>
      <c r="E123" s="13">
        <f>D123 * IFERROR((SUM(Holdings!K2:K1000)*12)/(SUM(Holdings!J2:J1000)), Inputs!B4) / 52</f>
        <v>4105.812246</v>
      </c>
      <c r="F123" s="13">
        <f t="shared" si="1"/>
        <v>17778.16703</v>
      </c>
      <c r="G123" s="13">
        <f t="shared" si="2"/>
        <v>213502.2368</v>
      </c>
      <c r="H123" s="13">
        <f>D123 * Inputs!B6 * Inputs!B7</f>
        <v>23132.82615</v>
      </c>
    </row>
    <row r="124" ht="15.75" customHeight="1">
      <c r="A124" s="12">
        <v>123.0</v>
      </c>
      <c r="B124" s="4">
        <f>DATEVALUE(Inputs!B$2) + (A124-1)*14</f>
        <v>47605</v>
      </c>
      <c r="C124" s="13">
        <f>(123-1)*Inputs!B3</f>
        <v>268400</v>
      </c>
      <c r="D124" s="13">
        <f>SUM(Holdings!J2:J1000) + C124</f>
        <v>270406.68</v>
      </c>
      <c r="E124" s="13">
        <f>D124 * IFERROR((SUM(Holdings!K2:K1000)*12)/(SUM(Holdings!J2:J1000)), Inputs!B4) / 52</f>
        <v>4139.490703</v>
      </c>
      <c r="F124" s="13">
        <f t="shared" si="1"/>
        <v>17923.99474</v>
      </c>
      <c r="G124" s="13">
        <f t="shared" si="2"/>
        <v>215253.5165</v>
      </c>
      <c r="H124" s="13">
        <f>D124 * Inputs!B6 * Inputs!B7</f>
        <v>23322.57615</v>
      </c>
    </row>
    <row r="125" ht="15.75" customHeight="1">
      <c r="A125" s="12">
        <v>124.0</v>
      </c>
      <c r="B125" s="4">
        <f>DATEVALUE(Inputs!B$2) + (A125-1)*14</f>
        <v>47619</v>
      </c>
      <c r="C125" s="13">
        <f>(124-1)*Inputs!B3</f>
        <v>270600</v>
      </c>
      <c r="D125" s="13">
        <f>SUM(Holdings!J2:J1000) + C125</f>
        <v>272606.68</v>
      </c>
      <c r="E125" s="13">
        <f>D125 * IFERROR((SUM(Holdings!K2:K1000)*12)/(SUM(Holdings!J2:J1000)), Inputs!B4) / 52</f>
        <v>4173.169159</v>
      </c>
      <c r="F125" s="13">
        <f t="shared" si="1"/>
        <v>18069.82246</v>
      </c>
      <c r="G125" s="13">
        <f t="shared" si="2"/>
        <v>217004.7963</v>
      </c>
      <c r="H125" s="13">
        <f>D125 * Inputs!B6 * Inputs!B7</f>
        <v>23512.32615</v>
      </c>
    </row>
    <row r="126" ht="15.75" customHeight="1">
      <c r="A126" s="12">
        <v>125.0</v>
      </c>
      <c r="B126" s="4">
        <f>DATEVALUE(Inputs!B$2) + (A126-1)*14</f>
        <v>47633</v>
      </c>
      <c r="C126" s="13">
        <f>(125-1)*Inputs!B3</f>
        <v>272800</v>
      </c>
      <c r="D126" s="13">
        <f>SUM(Holdings!J2:J1000) + C126</f>
        <v>274806.68</v>
      </c>
      <c r="E126" s="13">
        <f>D126 * IFERROR((SUM(Holdings!K2:K1000)*12)/(SUM(Holdings!J2:J1000)), Inputs!B4) / 52</f>
        <v>4206.847615</v>
      </c>
      <c r="F126" s="13">
        <f t="shared" si="1"/>
        <v>18215.65017</v>
      </c>
      <c r="G126" s="13">
        <f t="shared" si="2"/>
        <v>218756.076</v>
      </c>
      <c r="H126" s="13">
        <f>D126 * Inputs!B6 * Inputs!B7</f>
        <v>23702.07615</v>
      </c>
    </row>
    <row r="127" ht="15.75" customHeight="1">
      <c r="A127" s="12">
        <v>126.0</v>
      </c>
      <c r="B127" s="4">
        <f>DATEVALUE(Inputs!B$2) + (A127-1)*14</f>
        <v>47647</v>
      </c>
      <c r="C127" s="13">
        <f>(126-1)*Inputs!B3</f>
        <v>275000</v>
      </c>
      <c r="D127" s="13">
        <f>SUM(Holdings!J2:J1000) + C127</f>
        <v>277006.68</v>
      </c>
      <c r="E127" s="13">
        <f>D127 * IFERROR((SUM(Holdings!K2:K1000)*12)/(SUM(Holdings!J2:J1000)), Inputs!B4) / 52</f>
        <v>4240.526071</v>
      </c>
      <c r="F127" s="13">
        <f t="shared" si="1"/>
        <v>18361.47789</v>
      </c>
      <c r="G127" s="13">
        <f t="shared" si="2"/>
        <v>220507.3557</v>
      </c>
      <c r="H127" s="13">
        <f>D127 * Inputs!B6 * Inputs!B7</f>
        <v>23891.82615</v>
      </c>
    </row>
    <row r="128" ht="15.75" customHeight="1">
      <c r="A128" s="12">
        <v>127.0</v>
      </c>
      <c r="B128" s="4">
        <f>DATEVALUE(Inputs!B$2) + (A128-1)*14</f>
        <v>47661</v>
      </c>
      <c r="C128" s="13">
        <f>(127-1)*Inputs!B3</f>
        <v>277200</v>
      </c>
      <c r="D128" s="13">
        <f>SUM(Holdings!J2:J1000) + C128</f>
        <v>279206.68</v>
      </c>
      <c r="E128" s="13">
        <f>D128 * IFERROR((SUM(Holdings!K2:K1000)*12)/(SUM(Holdings!J2:J1000)), Inputs!B4) / 52</f>
        <v>4274.204528</v>
      </c>
      <c r="F128" s="13">
        <f t="shared" si="1"/>
        <v>18507.3056</v>
      </c>
      <c r="G128" s="13">
        <f t="shared" si="2"/>
        <v>222258.6354</v>
      </c>
      <c r="H128" s="13">
        <f>D128 * Inputs!B6 * Inputs!B7</f>
        <v>24081.57615</v>
      </c>
    </row>
    <row r="129" ht="15.75" customHeight="1">
      <c r="A129" s="12">
        <v>128.0</v>
      </c>
      <c r="B129" s="4">
        <f>DATEVALUE(Inputs!B$2) + (A129-1)*14</f>
        <v>47675</v>
      </c>
      <c r="C129" s="13">
        <f>(128-1)*Inputs!B3</f>
        <v>279400</v>
      </c>
      <c r="D129" s="13">
        <f>SUM(Holdings!J2:J1000) + C129</f>
        <v>281406.68</v>
      </c>
      <c r="E129" s="13">
        <f>D129 * IFERROR((SUM(Holdings!K2:K1000)*12)/(SUM(Holdings!J2:J1000)), Inputs!B4) / 52</f>
        <v>4307.882984</v>
      </c>
      <c r="F129" s="13">
        <f t="shared" si="1"/>
        <v>18653.13332</v>
      </c>
      <c r="G129" s="13">
        <f t="shared" si="2"/>
        <v>224009.9152</v>
      </c>
      <c r="H129" s="13">
        <f>D129 * Inputs!B6 * Inputs!B7</f>
        <v>24271.32615</v>
      </c>
    </row>
    <row r="130" ht="15.75" customHeight="1">
      <c r="A130" s="12">
        <v>129.0</v>
      </c>
      <c r="B130" s="4">
        <f>DATEVALUE(Inputs!B$2) + (A130-1)*14</f>
        <v>47689</v>
      </c>
      <c r="C130" s="13">
        <f>(129-1)*Inputs!B3</f>
        <v>281600</v>
      </c>
      <c r="D130" s="13">
        <f>SUM(Holdings!J2:J1000) + C130</f>
        <v>283606.68</v>
      </c>
      <c r="E130" s="13">
        <f>D130 * IFERROR((SUM(Holdings!K2:K1000)*12)/(SUM(Holdings!J2:J1000)), Inputs!B4) / 52</f>
        <v>4341.56144</v>
      </c>
      <c r="F130" s="13">
        <f t="shared" si="1"/>
        <v>18798.96104</v>
      </c>
      <c r="G130" s="13">
        <f t="shared" si="2"/>
        <v>225761.1949</v>
      </c>
      <c r="H130" s="13">
        <f>D130 * Inputs!B6 * Inputs!B7</f>
        <v>24461.07615</v>
      </c>
    </row>
    <row r="131" ht="15.75" customHeight="1">
      <c r="A131" s="12">
        <v>130.0</v>
      </c>
      <c r="B131" s="4">
        <f>DATEVALUE(Inputs!B$2) + (A131-1)*14</f>
        <v>47703</v>
      </c>
      <c r="C131" s="13">
        <f>(130-1)*Inputs!B3</f>
        <v>283800</v>
      </c>
      <c r="D131" s="13">
        <f>SUM(Holdings!J2:J1000) + C131</f>
        <v>285806.68</v>
      </c>
      <c r="E131" s="13">
        <f>D131 * IFERROR((SUM(Holdings!K2:K1000)*12)/(SUM(Holdings!J2:J1000)), Inputs!B4) / 52</f>
        <v>4375.239896</v>
      </c>
      <c r="F131" s="13">
        <f t="shared" si="1"/>
        <v>18944.78875</v>
      </c>
      <c r="G131" s="13">
        <f t="shared" si="2"/>
        <v>227512.4746</v>
      </c>
      <c r="H131" s="13">
        <f>D131 * Inputs!B6 * Inputs!B7</f>
        <v>24650.82615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22.0"/>
    <col customWidth="1" min="4" max="4" width="16.0"/>
    <col customWidth="1" min="5" max="6" width="18.0"/>
    <col customWidth="1" min="7" max="7" width="24.14"/>
    <col customWidth="1" min="8" max="26" width="8.71"/>
  </cols>
  <sheetData>
    <row r="1">
      <c r="A1" s="1" t="s">
        <v>115</v>
      </c>
      <c r="B1" s="1" t="s">
        <v>93</v>
      </c>
      <c r="C1" s="1" t="s">
        <v>116</v>
      </c>
      <c r="D1" s="1" t="s">
        <v>106</v>
      </c>
      <c r="E1" s="1" t="s">
        <v>107</v>
      </c>
      <c r="F1" s="1" t="s">
        <v>118</v>
      </c>
      <c r="G1" s="1" t="s">
        <v>119</v>
      </c>
    </row>
    <row r="2">
      <c r="A2" s="12">
        <v>1.0</v>
      </c>
      <c r="B2" s="21">
        <f>EDATE(Inputs!B2, 1-1)</f>
        <v>45897</v>
      </c>
      <c r="C2" s="13">
        <f>(1-1) * (Inputs!B3*2)</f>
        <v>0</v>
      </c>
      <c r="D2" s="13">
        <f>SUM(Holdings!J2:J1000) + C2</f>
        <v>2006.68</v>
      </c>
      <c r="E2" s="13">
        <f>D2 * IFERROR((SUM(Holdings!K2:K1000)*12)/(SUM(Holdings!J2:J1000)), Inputs!B4) / 12</f>
        <v>133.1158333</v>
      </c>
      <c r="F2" s="13">
        <f t="shared" ref="F2:F61" si="1">E2*12</f>
        <v>1597.39</v>
      </c>
      <c r="G2" s="13">
        <f>D2 * Inputs!B6 * Inputs!B7</f>
        <v>173.07615</v>
      </c>
    </row>
    <row r="3">
      <c r="A3" s="12">
        <v>2.0</v>
      </c>
      <c r="B3" s="21">
        <f>EDATE(Inputs!B2, 2-1)</f>
        <v>45928</v>
      </c>
      <c r="C3" s="13">
        <f>(2-1) * (Inputs!B3*2)</f>
        <v>4400</v>
      </c>
      <c r="D3" s="13">
        <f>SUM(Holdings!J2:J1000) + C3</f>
        <v>6406.68</v>
      </c>
      <c r="E3" s="13">
        <f>D3 * IFERROR((SUM(Holdings!K2:K1000)*12)/(SUM(Holdings!J2:J1000)), Inputs!B4) / 12</f>
        <v>424.9957876</v>
      </c>
      <c r="F3" s="13">
        <f t="shared" si="1"/>
        <v>5099.949451</v>
      </c>
      <c r="G3" s="13">
        <f>D3 * Inputs!B6 * Inputs!B7</f>
        <v>552.57615</v>
      </c>
    </row>
    <row r="4">
      <c r="A4" s="12">
        <v>3.0</v>
      </c>
      <c r="B4" s="21">
        <f>EDATE(Inputs!B2, 3-1)</f>
        <v>45958</v>
      </c>
      <c r="C4" s="13">
        <f>(3-1) * (Inputs!B3*2)</f>
        <v>8800</v>
      </c>
      <c r="D4" s="13">
        <f>SUM(Holdings!J2:J1000) + C4</f>
        <v>10806.68</v>
      </c>
      <c r="E4" s="13">
        <f>D4 * IFERROR((SUM(Holdings!K2:K1000)*12)/(SUM(Holdings!J2:J1000)), Inputs!B4) / 12</f>
        <v>716.8757419</v>
      </c>
      <c r="F4" s="13">
        <f t="shared" si="1"/>
        <v>8602.508903</v>
      </c>
      <c r="G4" s="13">
        <f>D4 * Inputs!B6 * Inputs!B7</f>
        <v>932.07615</v>
      </c>
    </row>
    <row r="5">
      <c r="A5" s="12">
        <v>4.0</v>
      </c>
      <c r="B5" s="21">
        <f>EDATE(Inputs!B2, 4-1)</f>
        <v>45989</v>
      </c>
      <c r="C5" s="13">
        <f>(4-1) * (Inputs!B3*2)</f>
        <v>13200</v>
      </c>
      <c r="D5" s="13">
        <f>SUM(Holdings!J2:J1000) + C5</f>
        <v>15206.68</v>
      </c>
      <c r="E5" s="13">
        <f>D5 * IFERROR((SUM(Holdings!K2:K1000)*12)/(SUM(Holdings!J2:J1000)), Inputs!B4) / 12</f>
        <v>1008.755696</v>
      </c>
      <c r="F5" s="13">
        <f t="shared" si="1"/>
        <v>12105.06835</v>
      </c>
      <c r="G5" s="13">
        <f>D5 * Inputs!B6 * Inputs!B7</f>
        <v>1311.57615</v>
      </c>
    </row>
    <row r="6">
      <c r="A6" s="12">
        <v>5.0</v>
      </c>
      <c r="B6" s="21">
        <f>EDATE(Inputs!B2, 5-1)</f>
        <v>46019</v>
      </c>
      <c r="C6" s="13">
        <f>(5-1) * (Inputs!B3*2)</f>
        <v>17600</v>
      </c>
      <c r="D6" s="13">
        <f>SUM(Holdings!J2:J1000) + C6</f>
        <v>19606.68</v>
      </c>
      <c r="E6" s="13">
        <f>D6 * IFERROR((SUM(Holdings!K2:K1000)*12)/(SUM(Holdings!J2:J1000)), Inputs!B4) / 12</f>
        <v>1300.63565</v>
      </c>
      <c r="F6" s="13">
        <f t="shared" si="1"/>
        <v>15607.62781</v>
      </c>
      <c r="G6" s="13">
        <f>D6 * Inputs!B6 * Inputs!B7</f>
        <v>1691.07615</v>
      </c>
    </row>
    <row r="7">
      <c r="A7" s="12">
        <v>6.0</v>
      </c>
      <c r="B7" s="21">
        <f>EDATE(Inputs!B2, 6-1)</f>
        <v>46050</v>
      </c>
      <c r="C7" s="13">
        <f>(6-1) * (Inputs!B3*2)</f>
        <v>22000</v>
      </c>
      <c r="D7" s="13">
        <f>SUM(Holdings!J2:J1000) + C7</f>
        <v>24006.68</v>
      </c>
      <c r="E7" s="13">
        <f>D7 * IFERROR((SUM(Holdings!K2:K1000)*12)/(SUM(Holdings!J2:J1000)), Inputs!B4) / 12</f>
        <v>1592.515605</v>
      </c>
      <c r="F7" s="13">
        <f t="shared" si="1"/>
        <v>19110.18726</v>
      </c>
      <c r="G7" s="13">
        <f>D7 * Inputs!B6 * Inputs!B7</f>
        <v>2070.57615</v>
      </c>
    </row>
    <row r="8">
      <c r="A8" s="12">
        <v>7.0</v>
      </c>
      <c r="B8" s="21">
        <f>EDATE(Inputs!B2, 7-1)</f>
        <v>46081</v>
      </c>
      <c r="C8" s="13">
        <f>(7-1) * (Inputs!B3*2)</f>
        <v>26400</v>
      </c>
      <c r="D8" s="13">
        <f>SUM(Holdings!J2:J1000) + C8</f>
        <v>28406.68</v>
      </c>
      <c r="E8" s="13">
        <f>D8 * IFERROR((SUM(Holdings!K2:K1000)*12)/(SUM(Holdings!J2:J1000)), Inputs!B4) / 12</f>
        <v>1884.395559</v>
      </c>
      <c r="F8" s="13">
        <f t="shared" si="1"/>
        <v>22612.74671</v>
      </c>
      <c r="G8" s="13">
        <f>D8 * Inputs!B6 * Inputs!B7</f>
        <v>2450.07615</v>
      </c>
    </row>
    <row r="9">
      <c r="A9" s="12">
        <v>8.0</v>
      </c>
      <c r="B9" s="21">
        <f>EDATE(Inputs!B2, 8-1)</f>
        <v>46109</v>
      </c>
      <c r="C9" s="13">
        <f>(8-1) * (Inputs!B3*2)</f>
        <v>30800</v>
      </c>
      <c r="D9" s="13">
        <f>SUM(Holdings!J2:J1000) + C9</f>
        <v>32806.68</v>
      </c>
      <c r="E9" s="13">
        <f>D9 * IFERROR((SUM(Holdings!K2:K1000)*12)/(SUM(Holdings!J2:J1000)), Inputs!B4) / 12</f>
        <v>2176.275513</v>
      </c>
      <c r="F9" s="13">
        <f t="shared" si="1"/>
        <v>26115.30616</v>
      </c>
      <c r="G9" s="13">
        <f>D9 * Inputs!B6 * Inputs!B7</f>
        <v>2829.57615</v>
      </c>
    </row>
    <row r="10">
      <c r="A10" s="12">
        <v>9.0</v>
      </c>
      <c r="B10" s="21">
        <f>EDATE(Inputs!B2, 9-1)</f>
        <v>46140</v>
      </c>
      <c r="C10" s="13">
        <f>(9-1) * (Inputs!B3*2)</f>
        <v>35200</v>
      </c>
      <c r="D10" s="13">
        <f>SUM(Holdings!J2:J1000) + C10</f>
        <v>37206.68</v>
      </c>
      <c r="E10" s="13">
        <f>D10 * IFERROR((SUM(Holdings!K2:K1000)*12)/(SUM(Holdings!J2:J1000)), Inputs!B4) / 12</f>
        <v>2468.155468</v>
      </c>
      <c r="F10" s="13">
        <f t="shared" si="1"/>
        <v>29617.86561</v>
      </c>
      <c r="G10" s="13">
        <f>D10 * Inputs!B6 * Inputs!B7</f>
        <v>3209.07615</v>
      </c>
    </row>
    <row r="11">
      <c r="A11" s="12">
        <v>10.0</v>
      </c>
      <c r="B11" s="21">
        <f>EDATE(Inputs!B2, 10-1)</f>
        <v>46170</v>
      </c>
      <c r="C11" s="13">
        <f>(10-1) * (Inputs!B3*2)</f>
        <v>39600</v>
      </c>
      <c r="D11" s="13">
        <f>SUM(Holdings!J2:J1000) + C11</f>
        <v>41606.68</v>
      </c>
      <c r="E11" s="13">
        <f>D11 * IFERROR((SUM(Holdings!K2:K1000)*12)/(SUM(Holdings!J2:J1000)), Inputs!B4) / 12</f>
        <v>2760.035422</v>
      </c>
      <c r="F11" s="13">
        <f t="shared" si="1"/>
        <v>33120.42506</v>
      </c>
      <c r="G11" s="13">
        <f>D11 * Inputs!B6 * Inputs!B7</f>
        <v>3588.57615</v>
      </c>
    </row>
    <row r="12">
      <c r="A12" s="12">
        <v>11.0</v>
      </c>
      <c r="B12" s="21">
        <f>EDATE(Inputs!B2, 11-1)</f>
        <v>46201</v>
      </c>
      <c r="C12" s="13">
        <f>(11-1) * (Inputs!B3*2)</f>
        <v>44000</v>
      </c>
      <c r="D12" s="13">
        <f>SUM(Holdings!J2:J1000) + C12</f>
        <v>46006.68</v>
      </c>
      <c r="E12" s="13">
        <f>D12 * IFERROR((SUM(Holdings!K2:K1000)*12)/(SUM(Holdings!J2:J1000)), Inputs!B4) / 12</f>
        <v>3051.915376</v>
      </c>
      <c r="F12" s="13">
        <f t="shared" si="1"/>
        <v>36622.98451</v>
      </c>
      <c r="G12" s="13">
        <f>D12 * Inputs!B6 * Inputs!B7</f>
        <v>3968.07615</v>
      </c>
    </row>
    <row r="13">
      <c r="A13" s="12">
        <v>12.0</v>
      </c>
      <c r="B13" s="21">
        <f>EDATE(Inputs!B2, 12-1)</f>
        <v>46231</v>
      </c>
      <c r="C13" s="13">
        <f>(12-1) * (Inputs!B3*2)</f>
        <v>48400</v>
      </c>
      <c r="D13" s="13">
        <f>SUM(Holdings!J2:J1000) + C13</f>
        <v>50406.68</v>
      </c>
      <c r="E13" s="13">
        <f>D13 * IFERROR((SUM(Holdings!K2:K1000)*12)/(SUM(Holdings!J2:J1000)), Inputs!B4) / 12</f>
        <v>3343.79533</v>
      </c>
      <c r="F13" s="13">
        <f t="shared" si="1"/>
        <v>40125.54397</v>
      </c>
      <c r="G13" s="13">
        <f>D13 * Inputs!B6 * Inputs!B7</f>
        <v>4347.57615</v>
      </c>
    </row>
    <row r="14">
      <c r="A14" s="12">
        <v>13.0</v>
      </c>
      <c r="B14" s="21">
        <f>EDATE(Inputs!B2, 13-1)</f>
        <v>46262</v>
      </c>
      <c r="C14" s="13">
        <f>(13-1) * (Inputs!B3*2)</f>
        <v>52800</v>
      </c>
      <c r="D14" s="13">
        <f>SUM(Holdings!J2:J1000) + C14</f>
        <v>54806.68</v>
      </c>
      <c r="E14" s="13">
        <f>D14 * IFERROR((SUM(Holdings!K2:K1000)*12)/(SUM(Holdings!J2:J1000)), Inputs!B4) / 12</f>
        <v>3635.675285</v>
      </c>
      <c r="F14" s="13">
        <f t="shared" si="1"/>
        <v>43628.10342</v>
      </c>
      <c r="G14" s="13">
        <f>D14 * Inputs!B6 * Inputs!B7</f>
        <v>4727.07615</v>
      </c>
    </row>
    <row r="15">
      <c r="A15" s="12">
        <v>14.0</v>
      </c>
      <c r="B15" s="21">
        <f>EDATE(Inputs!B2, 14-1)</f>
        <v>46293</v>
      </c>
      <c r="C15" s="13">
        <f>(14-1) * (Inputs!B3*2)</f>
        <v>57200</v>
      </c>
      <c r="D15" s="13">
        <f>SUM(Holdings!J2:J1000) + C15</f>
        <v>59206.68</v>
      </c>
      <c r="E15" s="13">
        <f>D15 * IFERROR((SUM(Holdings!K2:K1000)*12)/(SUM(Holdings!J2:J1000)), Inputs!B4) / 12</f>
        <v>3927.555239</v>
      </c>
      <c r="F15" s="13">
        <f t="shared" si="1"/>
        <v>47130.66287</v>
      </c>
      <c r="G15" s="13">
        <f>D15 * Inputs!B6 * Inputs!B7</f>
        <v>5106.57615</v>
      </c>
    </row>
    <row r="16">
      <c r="A16" s="12">
        <v>15.0</v>
      </c>
      <c r="B16" s="21">
        <f>EDATE(Inputs!B2, 15-1)</f>
        <v>46323</v>
      </c>
      <c r="C16" s="13">
        <f>(15-1) * (Inputs!B3*2)</f>
        <v>61600</v>
      </c>
      <c r="D16" s="13">
        <f>SUM(Holdings!J2:J1000) + C16</f>
        <v>63606.68</v>
      </c>
      <c r="E16" s="13">
        <f>D16 * IFERROR((SUM(Holdings!K2:K1000)*12)/(SUM(Holdings!J2:J1000)), Inputs!B4) / 12</f>
        <v>4219.435193</v>
      </c>
      <c r="F16" s="13">
        <f t="shared" si="1"/>
        <v>50633.22232</v>
      </c>
      <c r="G16" s="13">
        <f>D16 * Inputs!B6 * Inputs!B7</f>
        <v>5486.07615</v>
      </c>
    </row>
    <row r="17">
      <c r="A17" s="12">
        <v>16.0</v>
      </c>
      <c r="B17" s="21">
        <f>EDATE(Inputs!B2, 16-1)</f>
        <v>46354</v>
      </c>
      <c r="C17" s="13">
        <f>(16-1) * (Inputs!B3*2)</f>
        <v>66000</v>
      </c>
      <c r="D17" s="13">
        <f>SUM(Holdings!J2:J1000) + C17</f>
        <v>68006.68</v>
      </c>
      <c r="E17" s="13">
        <f>D17 * IFERROR((SUM(Holdings!K2:K1000)*12)/(SUM(Holdings!J2:J1000)), Inputs!B4) / 12</f>
        <v>4511.315148</v>
      </c>
      <c r="F17" s="13">
        <f t="shared" si="1"/>
        <v>54135.78177</v>
      </c>
      <c r="G17" s="13">
        <f>D17 * Inputs!B6 * Inputs!B7</f>
        <v>5865.57615</v>
      </c>
    </row>
    <row r="18">
      <c r="A18" s="12">
        <v>17.0</v>
      </c>
      <c r="B18" s="21">
        <f>EDATE(Inputs!B2, 17-1)</f>
        <v>46384</v>
      </c>
      <c r="C18" s="13">
        <f>(17-1) * (Inputs!B3*2)</f>
        <v>70400</v>
      </c>
      <c r="D18" s="13">
        <f>SUM(Holdings!J2:J1000) + C18</f>
        <v>72406.68</v>
      </c>
      <c r="E18" s="13">
        <f>D18 * IFERROR((SUM(Holdings!K2:K1000)*12)/(SUM(Holdings!J2:J1000)), Inputs!B4) / 12</f>
        <v>4803.195102</v>
      </c>
      <c r="F18" s="13">
        <f t="shared" si="1"/>
        <v>57638.34122</v>
      </c>
      <c r="G18" s="13">
        <f>D18 * Inputs!B6 * Inputs!B7</f>
        <v>6245.07615</v>
      </c>
    </row>
    <row r="19">
      <c r="A19" s="12">
        <v>18.0</v>
      </c>
      <c r="B19" s="21">
        <f>EDATE(Inputs!B2, 18-1)</f>
        <v>46415</v>
      </c>
      <c r="C19" s="13">
        <f>(18-1) * (Inputs!B3*2)</f>
        <v>74800</v>
      </c>
      <c r="D19" s="13">
        <f>SUM(Holdings!J2:J1000) + C19</f>
        <v>76806.68</v>
      </c>
      <c r="E19" s="13">
        <f>D19 * IFERROR((SUM(Holdings!K2:K1000)*12)/(SUM(Holdings!J2:J1000)), Inputs!B4) / 12</f>
        <v>5095.075056</v>
      </c>
      <c r="F19" s="13">
        <f t="shared" si="1"/>
        <v>61140.90067</v>
      </c>
      <c r="G19" s="13">
        <f>D19 * Inputs!B6 * Inputs!B7</f>
        <v>6624.57615</v>
      </c>
    </row>
    <row r="20">
      <c r="A20" s="12">
        <v>19.0</v>
      </c>
      <c r="B20" s="21">
        <f>EDATE(Inputs!B2, 19-1)</f>
        <v>46446</v>
      </c>
      <c r="C20" s="13">
        <f>(19-1) * (Inputs!B3*2)</f>
        <v>79200</v>
      </c>
      <c r="D20" s="13">
        <f>SUM(Holdings!J2:J1000) + C20</f>
        <v>81206.68</v>
      </c>
      <c r="E20" s="13">
        <f>D20 * IFERROR((SUM(Holdings!K2:K1000)*12)/(SUM(Holdings!J2:J1000)), Inputs!B4) / 12</f>
        <v>5386.95501</v>
      </c>
      <c r="F20" s="13">
        <f t="shared" si="1"/>
        <v>64643.46013</v>
      </c>
      <c r="G20" s="13">
        <f>D20 * Inputs!B6 * Inputs!B7</f>
        <v>7004.07615</v>
      </c>
    </row>
    <row r="21" ht="15.75" customHeight="1">
      <c r="A21" s="12">
        <v>20.0</v>
      </c>
      <c r="B21" s="21">
        <f>EDATE(Inputs!B2, 20-1)</f>
        <v>46474</v>
      </c>
      <c r="C21" s="13">
        <f>(20-1) * (Inputs!B3*2)</f>
        <v>83600</v>
      </c>
      <c r="D21" s="13">
        <f>SUM(Holdings!J2:J1000) + C21</f>
        <v>85606.68</v>
      </c>
      <c r="E21" s="13">
        <f>D21 * IFERROR((SUM(Holdings!K2:K1000)*12)/(SUM(Holdings!J2:J1000)), Inputs!B4) / 12</f>
        <v>5678.834965</v>
      </c>
      <c r="F21" s="13">
        <f t="shared" si="1"/>
        <v>68146.01958</v>
      </c>
      <c r="G21" s="13">
        <f>D21 * Inputs!B6 * Inputs!B7</f>
        <v>7383.57615</v>
      </c>
    </row>
    <row r="22" ht="15.75" customHeight="1">
      <c r="A22" s="12">
        <v>21.0</v>
      </c>
      <c r="B22" s="21">
        <f>EDATE(Inputs!B2, 21-1)</f>
        <v>46505</v>
      </c>
      <c r="C22" s="13">
        <f>(21-1) * (Inputs!B3*2)</f>
        <v>88000</v>
      </c>
      <c r="D22" s="13">
        <f>SUM(Holdings!J2:J1000) + C22</f>
        <v>90006.68</v>
      </c>
      <c r="E22" s="13">
        <f>D22 * IFERROR((SUM(Holdings!K2:K1000)*12)/(SUM(Holdings!J2:J1000)), Inputs!B4) / 12</f>
        <v>5970.714919</v>
      </c>
      <c r="F22" s="13">
        <f t="shared" si="1"/>
        <v>71648.57903</v>
      </c>
      <c r="G22" s="13">
        <f>D22 * Inputs!B6 * Inputs!B7</f>
        <v>7763.07615</v>
      </c>
    </row>
    <row r="23" ht="15.75" customHeight="1">
      <c r="A23" s="12">
        <v>22.0</v>
      </c>
      <c r="B23" s="21">
        <f>EDATE(Inputs!B2, 22-1)</f>
        <v>46535</v>
      </c>
      <c r="C23" s="13">
        <f>(22-1) * (Inputs!B3*2)</f>
        <v>92400</v>
      </c>
      <c r="D23" s="13">
        <f>SUM(Holdings!J2:J1000) + C23</f>
        <v>94406.68</v>
      </c>
      <c r="E23" s="13">
        <f>D23 * IFERROR((SUM(Holdings!K2:K1000)*12)/(SUM(Holdings!J2:J1000)), Inputs!B4) / 12</f>
        <v>6262.594873</v>
      </c>
      <c r="F23" s="13">
        <f t="shared" si="1"/>
        <v>75151.13848</v>
      </c>
      <c r="G23" s="13">
        <f>D23 * Inputs!B6 * Inputs!B7</f>
        <v>8142.57615</v>
      </c>
    </row>
    <row r="24" ht="15.75" customHeight="1">
      <c r="A24" s="12">
        <v>23.0</v>
      </c>
      <c r="B24" s="21">
        <f>EDATE(Inputs!B2, 23-1)</f>
        <v>46566</v>
      </c>
      <c r="C24" s="13">
        <f>(23-1) * (Inputs!B3*2)</f>
        <v>96800</v>
      </c>
      <c r="D24" s="13">
        <f>SUM(Holdings!J2:J1000) + C24</f>
        <v>98806.68</v>
      </c>
      <c r="E24" s="13">
        <f>D24 * IFERROR((SUM(Holdings!K2:K1000)*12)/(SUM(Holdings!J2:J1000)), Inputs!B4) / 12</f>
        <v>6554.474828</v>
      </c>
      <c r="F24" s="13">
        <f t="shared" si="1"/>
        <v>78653.69793</v>
      </c>
      <c r="G24" s="13">
        <f>D24 * Inputs!B6 * Inputs!B7</f>
        <v>8522.07615</v>
      </c>
    </row>
    <row r="25" ht="15.75" customHeight="1">
      <c r="A25" s="12">
        <v>24.0</v>
      </c>
      <c r="B25" s="21">
        <f>EDATE(Inputs!B2, 24-1)</f>
        <v>46596</v>
      </c>
      <c r="C25" s="13">
        <f>(24-1) * (Inputs!B3*2)</f>
        <v>101200</v>
      </c>
      <c r="D25" s="13">
        <f>SUM(Holdings!J2:J1000) + C25</f>
        <v>103206.68</v>
      </c>
      <c r="E25" s="13">
        <f>D25 * IFERROR((SUM(Holdings!K2:K1000)*12)/(SUM(Holdings!J2:J1000)), Inputs!B4) / 12</f>
        <v>6846.354782</v>
      </c>
      <c r="F25" s="13">
        <f t="shared" si="1"/>
        <v>82156.25738</v>
      </c>
      <c r="G25" s="13">
        <f>D25 * Inputs!B6 * Inputs!B7</f>
        <v>8901.57615</v>
      </c>
    </row>
    <row r="26" ht="15.75" customHeight="1">
      <c r="A26" s="12">
        <v>25.0</v>
      </c>
      <c r="B26" s="21">
        <f>EDATE(Inputs!B2, 25-1)</f>
        <v>46627</v>
      </c>
      <c r="C26" s="13">
        <f>(25-1) * (Inputs!B3*2)</f>
        <v>105600</v>
      </c>
      <c r="D26" s="13">
        <f>SUM(Holdings!J2:J1000) + C26</f>
        <v>107606.68</v>
      </c>
      <c r="E26" s="13">
        <f>D26 * IFERROR((SUM(Holdings!K2:K1000)*12)/(SUM(Holdings!J2:J1000)), Inputs!B4) / 12</f>
        <v>7138.234736</v>
      </c>
      <c r="F26" s="13">
        <f t="shared" si="1"/>
        <v>85658.81683</v>
      </c>
      <c r="G26" s="13">
        <f>D26 * Inputs!B6 * Inputs!B7</f>
        <v>9281.07615</v>
      </c>
    </row>
    <row r="27" ht="15.75" customHeight="1">
      <c r="A27" s="12">
        <v>26.0</v>
      </c>
      <c r="B27" s="21">
        <f>EDATE(Inputs!B2, 26-1)</f>
        <v>46658</v>
      </c>
      <c r="C27" s="13">
        <f>(26-1) * (Inputs!B3*2)</f>
        <v>110000</v>
      </c>
      <c r="D27" s="13">
        <f>SUM(Holdings!J2:J1000) + C27</f>
        <v>112006.68</v>
      </c>
      <c r="E27" s="13">
        <f>D27 * IFERROR((SUM(Holdings!K2:K1000)*12)/(SUM(Holdings!J2:J1000)), Inputs!B4) / 12</f>
        <v>7430.11469</v>
      </c>
      <c r="F27" s="13">
        <f t="shared" si="1"/>
        <v>89161.37629</v>
      </c>
      <c r="G27" s="13">
        <f>D27 * Inputs!B6 * Inputs!B7</f>
        <v>9660.57615</v>
      </c>
    </row>
    <row r="28" ht="15.75" customHeight="1">
      <c r="A28" s="12">
        <v>27.0</v>
      </c>
      <c r="B28" s="21">
        <f>EDATE(Inputs!B2, 27-1)</f>
        <v>46688</v>
      </c>
      <c r="C28" s="13">
        <f>(27-1) * (Inputs!B3*2)</f>
        <v>114400</v>
      </c>
      <c r="D28" s="13">
        <f>SUM(Holdings!J2:J1000) + C28</f>
        <v>116406.68</v>
      </c>
      <c r="E28" s="13">
        <f>D28 * IFERROR((SUM(Holdings!K2:K1000)*12)/(SUM(Holdings!J2:J1000)), Inputs!B4) / 12</f>
        <v>7721.994645</v>
      </c>
      <c r="F28" s="13">
        <f t="shared" si="1"/>
        <v>92663.93574</v>
      </c>
      <c r="G28" s="13">
        <f>D28 * Inputs!B6 * Inputs!B7</f>
        <v>10040.07615</v>
      </c>
    </row>
    <row r="29" ht="15.75" customHeight="1">
      <c r="A29" s="12">
        <v>28.0</v>
      </c>
      <c r="B29" s="21">
        <f>EDATE(Inputs!B2, 28-1)</f>
        <v>46719</v>
      </c>
      <c r="C29" s="13">
        <f>(28-1) * (Inputs!B3*2)</f>
        <v>118800</v>
      </c>
      <c r="D29" s="13">
        <f>SUM(Holdings!J2:J1000) + C29</f>
        <v>120806.68</v>
      </c>
      <c r="E29" s="13">
        <f>D29 * IFERROR((SUM(Holdings!K2:K1000)*12)/(SUM(Holdings!J2:J1000)), Inputs!B4) / 12</f>
        <v>8013.874599</v>
      </c>
      <c r="F29" s="13">
        <f t="shared" si="1"/>
        <v>96166.49519</v>
      </c>
      <c r="G29" s="13">
        <f>D29 * Inputs!B6 * Inputs!B7</f>
        <v>10419.57615</v>
      </c>
    </row>
    <row r="30" ht="15.75" customHeight="1">
      <c r="A30" s="12">
        <v>29.0</v>
      </c>
      <c r="B30" s="21">
        <f>EDATE(Inputs!B2, 29-1)</f>
        <v>46749</v>
      </c>
      <c r="C30" s="13">
        <f>(29-1) * (Inputs!B3*2)</f>
        <v>123200</v>
      </c>
      <c r="D30" s="13">
        <f>SUM(Holdings!J2:J1000) + C30</f>
        <v>125206.68</v>
      </c>
      <c r="E30" s="13">
        <f>D30 * IFERROR((SUM(Holdings!K2:K1000)*12)/(SUM(Holdings!J2:J1000)), Inputs!B4) / 12</f>
        <v>8305.754553</v>
      </c>
      <c r="F30" s="13">
        <f t="shared" si="1"/>
        <v>99669.05464</v>
      </c>
      <c r="G30" s="13">
        <f>D30 * Inputs!B6 * Inputs!B7</f>
        <v>10799.07615</v>
      </c>
    </row>
    <row r="31" ht="15.75" customHeight="1">
      <c r="A31" s="12">
        <v>30.0</v>
      </c>
      <c r="B31" s="21">
        <f>EDATE(Inputs!B2, 30-1)</f>
        <v>46780</v>
      </c>
      <c r="C31" s="13">
        <f>(30-1) * (Inputs!B3*2)</f>
        <v>127600</v>
      </c>
      <c r="D31" s="13">
        <f>SUM(Holdings!J2:J1000) + C31</f>
        <v>129606.68</v>
      </c>
      <c r="E31" s="13">
        <f>D31 * IFERROR((SUM(Holdings!K2:K1000)*12)/(SUM(Holdings!J2:J1000)), Inputs!B4) / 12</f>
        <v>8597.634508</v>
      </c>
      <c r="F31" s="13">
        <f t="shared" si="1"/>
        <v>103171.6141</v>
      </c>
      <c r="G31" s="13">
        <f>D31 * Inputs!B6 * Inputs!B7</f>
        <v>11178.57615</v>
      </c>
    </row>
    <row r="32" ht="15.75" customHeight="1">
      <c r="A32" s="12">
        <v>31.0</v>
      </c>
      <c r="B32" s="21">
        <f>EDATE(Inputs!B2, 31-1)</f>
        <v>46811</v>
      </c>
      <c r="C32" s="13">
        <f>(31-1) * (Inputs!B3*2)</f>
        <v>132000</v>
      </c>
      <c r="D32" s="13">
        <f>SUM(Holdings!J2:J1000) + C32</f>
        <v>134006.68</v>
      </c>
      <c r="E32" s="13">
        <f>D32 * IFERROR((SUM(Holdings!K2:K1000)*12)/(SUM(Holdings!J2:J1000)), Inputs!B4) / 12</f>
        <v>8889.514462</v>
      </c>
      <c r="F32" s="13">
        <f t="shared" si="1"/>
        <v>106674.1735</v>
      </c>
      <c r="G32" s="13">
        <f>D32 * Inputs!B6 * Inputs!B7</f>
        <v>11558.07615</v>
      </c>
    </row>
    <row r="33" ht="15.75" customHeight="1">
      <c r="A33" s="12">
        <v>32.0</v>
      </c>
      <c r="B33" s="21">
        <f>EDATE(Inputs!B2, 32-1)</f>
        <v>46840</v>
      </c>
      <c r="C33" s="13">
        <f>(32-1) * (Inputs!B3*2)</f>
        <v>136400</v>
      </c>
      <c r="D33" s="13">
        <f>SUM(Holdings!J2:J1000) + C33</f>
        <v>138406.68</v>
      </c>
      <c r="E33" s="13">
        <f>D33 * IFERROR((SUM(Holdings!K2:K1000)*12)/(SUM(Holdings!J2:J1000)), Inputs!B4) / 12</f>
        <v>9181.394416</v>
      </c>
      <c r="F33" s="13">
        <f t="shared" si="1"/>
        <v>110176.733</v>
      </c>
      <c r="G33" s="13">
        <f>D33 * Inputs!B6 * Inputs!B7</f>
        <v>11937.57615</v>
      </c>
    </row>
    <row r="34" ht="15.75" customHeight="1">
      <c r="A34" s="12">
        <v>33.0</v>
      </c>
      <c r="B34" s="21">
        <f>EDATE(Inputs!B2, 33-1)</f>
        <v>46871</v>
      </c>
      <c r="C34" s="13">
        <f>(33-1) * (Inputs!B3*2)</f>
        <v>140800</v>
      </c>
      <c r="D34" s="13">
        <f>SUM(Holdings!J2:J1000) + C34</f>
        <v>142806.68</v>
      </c>
      <c r="E34" s="13">
        <f>D34 * IFERROR((SUM(Holdings!K2:K1000)*12)/(SUM(Holdings!J2:J1000)), Inputs!B4) / 12</f>
        <v>9473.27437</v>
      </c>
      <c r="F34" s="13">
        <f t="shared" si="1"/>
        <v>113679.2924</v>
      </c>
      <c r="G34" s="13">
        <f>D34 * Inputs!B6 * Inputs!B7</f>
        <v>12317.07615</v>
      </c>
    </row>
    <row r="35" ht="15.75" customHeight="1">
      <c r="A35" s="12">
        <v>34.0</v>
      </c>
      <c r="B35" s="21">
        <f>EDATE(Inputs!B2, 34-1)</f>
        <v>46901</v>
      </c>
      <c r="C35" s="13">
        <f>(34-1) * (Inputs!B3*2)</f>
        <v>145200</v>
      </c>
      <c r="D35" s="13">
        <f>SUM(Holdings!J2:J1000) + C35</f>
        <v>147206.68</v>
      </c>
      <c r="E35" s="13">
        <f>D35 * IFERROR((SUM(Holdings!K2:K1000)*12)/(SUM(Holdings!J2:J1000)), Inputs!B4) / 12</f>
        <v>9765.154325</v>
      </c>
      <c r="F35" s="13">
        <f t="shared" si="1"/>
        <v>117181.8519</v>
      </c>
      <c r="G35" s="13">
        <f>D35 * Inputs!B6 * Inputs!B7</f>
        <v>12696.57615</v>
      </c>
    </row>
    <row r="36" ht="15.75" customHeight="1">
      <c r="A36" s="12">
        <v>35.0</v>
      </c>
      <c r="B36" s="21">
        <f>EDATE(Inputs!B2, 35-1)</f>
        <v>46932</v>
      </c>
      <c r="C36" s="13">
        <f>(35-1) * (Inputs!B3*2)</f>
        <v>149600</v>
      </c>
      <c r="D36" s="13">
        <f>SUM(Holdings!J2:J1000) + C36</f>
        <v>151606.68</v>
      </c>
      <c r="E36" s="13">
        <f>D36 * IFERROR((SUM(Holdings!K2:K1000)*12)/(SUM(Holdings!J2:J1000)), Inputs!B4) / 12</f>
        <v>10057.03428</v>
      </c>
      <c r="F36" s="13">
        <f t="shared" si="1"/>
        <v>120684.4113</v>
      </c>
      <c r="G36" s="13">
        <f>D36 * Inputs!B6 * Inputs!B7</f>
        <v>13076.07615</v>
      </c>
    </row>
    <row r="37" ht="15.75" customHeight="1">
      <c r="A37" s="12">
        <v>36.0</v>
      </c>
      <c r="B37" s="21">
        <f>EDATE(Inputs!B2, 36-1)</f>
        <v>46962</v>
      </c>
      <c r="C37" s="13">
        <f>(36-1) * (Inputs!B3*2)</f>
        <v>154000</v>
      </c>
      <c r="D37" s="13">
        <f>SUM(Holdings!J2:J1000) + C37</f>
        <v>156006.68</v>
      </c>
      <c r="E37" s="13">
        <f>D37 * IFERROR((SUM(Holdings!K2:K1000)*12)/(SUM(Holdings!J2:J1000)), Inputs!B4) / 12</f>
        <v>10348.91423</v>
      </c>
      <c r="F37" s="13">
        <f t="shared" si="1"/>
        <v>124186.9708</v>
      </c>
      <c r="G37" s="13">
        <f>D37 * Inputs!B6 * Inputs!B7</f>
        <v>13455.57615</v>
      </c>
    </row>
    <row r="38" ht="15.75" customHeight="1">
      <c r="A38" s="12">
        <v>37.0</v>
      </c>
      <c r="B38" s="21">
        <f>EDATE(Inputs!B2, 37-1)</f>
        <v>46993</v>
      </c>
      <c r="C38" s="13">
        <f>(37-1) * (Inputs!B3*2)</f>
        <v>158400</v>
      </c>
      <c r="D38" s="13">
        <f>SUM(Holdings!J2:J1000) + C38</f>
        <v>160406.68</v>
      </c>
      <c r="E38" s="13">
        <f>D38 * IFERROR((SUM(Holdings!K2:K1000)*12)/(SUM(Holdings!J2:J1000)), Inputs!B4) / 12</f>
        <v>10640.79419</v>
      </c>
      <c r="F38" s="13">
        <f t="shared" si="1"/>
        <v>127689.5303</v>
      </c>
      <c r="G38" s="13">
        <f>D38 * Inputs!B6 * Inputs!B7</f>
        <v>13835.07615</v>
      </c>
    </row>
    <row r="39" ht="15.75" customHeight="1">
      <c r="A39" s="12">
        <v>38.0</v>
      </c>
      <c r="B39" s="21">
        <f>EDATE(Inputs!B2, 38-1)</f>
        <v>47024</v>
      </c>
      <c r="C39" s="13">
        <f>(38-1) * (Inputs!B3*2)</f>
        <v>162800</v>
      </c>
      <c r="D39" s="13">
        <f>SUM(Holdings!J2:J1000) + C39</f>
        <v>164806.68</v>
      </c>
      <c r="E39" s="13">
        <f>D39 * IFERROR((SUM(Holdings!K2:K1000)*12)/(SUM(Holdings!J2:J1000)), Inputs!B4) / 12</f>
        <v>10932.67414</v>
      </c>
      <c r="F39" s="13">
        <f t="shared" si="1"/>
        <v>131192.0897</v>
      </c>
      <c r="G39" s="13">
        <f>D39 * Inputs!B6 * Inputs!B7</f>
        <v>14214.57615</v>
      </c>
    </row>
    <row r="40" ht="15.75" customHeight="1">
      <c r="A40" s="12">
        <v>39.0</v>
      </c>
      <c r="B40" s="21">
        <f>EDATE(Inputs!B2, 39-1)</f>
        <v>47054</v>
      </c>
      <c r="C40" s="13">
        <f>(39-1) * (Inputs!B3*2)</f>
        <v>167200</v>
      </c>
      <c r="D40" s="13">
        <f>SUM(Holdings!J2:J1000) + C40</f>
        <v>169206.68</v>
      </c>
      <c r="E40" s="13">
        <f>D40 * IFERROR((SUM(Holdings!K2:K1000)*12)/(SUM(Holdings!J2:J1000)), Inputs!B4) / 12</f>
        <v>11224.5541</v>
      </c>
      <c r="F40" s="13">
        <f t="shared" si="1"/>
        <v>134694.6492</v>
      </c>
      <c r="G40" s="13">
        <f>D40 * Inputs!B6 * Inputs!B7</f>
        <v>14594.07615</v>
      </c>
    </row>
    <row r="41" ht="15.75" customHeight="1">
      <c r="A41" s="12">
        <v>40.0</v>
      </c>
      <c r="B41" s="21">
        <f>EDATE(Inputs!B2, 40-1)</f>
        <v>47085</v>
      </c>
      <c r="C41" s="13">
        <f>(40-1) * (Inputs!B3*2)</f>
        <v>171600</v>
      </c>
      <c r="D41" s="13">
        <f>SUM(Holdings!J2:J1000) + C41</f>
        <v>173606.68</v>
      </c>
      <c r="E41" s="13">
        <f>D41 * IFERROR((SUM(Holdings!K2:K1000)*12)/(SUM(Holdings!J2:J1000)), Inputs!B4) / 12</f>
        <v>11516.43405</v>
      </c>
      <c r="F41" s="13">
        <f t="shared" si="1"/>
        <v>138197.2086</v>
      </c>
      <c r="G41" s="13">
        <f>D41 * Inputs!B6 * Inputs!B7</f>
        <v>14973.57615</v>
      </c>
    </row>
    <row r="42" ht="15.75" customHeight="1">
      <c r="A42" s="12">
        <v>41.0</v>
      </c>
      <c r="B42" s="21">
        <f>EDATE(Inputs!B2, 41-1)</f>
        <v>47115</v>
      </c>
      <c r="C42" s="13">
        <f>(41-1) * (Inputs!B3*2)</f>
        <v>176000</v>
      </c>
      <c r="D42" s="13">
        <f>SUM(Holdings!J2:J1000) + C42</f>
        <v>178006.68</v>
      </c>
      <c r="E42" s="13">
        <f>D42 * IFERROR((SUM(Holdings!K2:K1000)*12)/(SUM(Holdings!J2:J1000)), Inputs!B4) / 12</f>
        <v>11808.314</v>
      </c>
      <c r="F42" s="13">
        <f t="shared" si="1"/>
        <v>141699.7681</v>
      </c>
      <c r="G42" s="13">
        <f>D42 * Inputs!B6 * Inputs!B7</f>
        <v>15353.07615</v>
      </c>
    </row>
    <row r="43" ht="15.75" customHeight="1">
      <c r="A43" s="12">
        <v>42.0</v>
      </c>
      <c r="B43" s="21">
        <f>EDATE(Inputs!B2, 42-1)</f>
        <v>47146</v>
      </c>
      <c r="C43" s="13">
        <f>(42-1) * (Inputs!B3*2)</f>
        <v>180400</v>
      </c>
      <c r="D43" s="13">
        <f>SUM(Holdings!J2:J1000) + C43</f>
        <v>182406.68</v>
      </c>
      <c r="E43" s="13">
        <f>D43 * IFERROR((SUM(Holdings!K2:K1000)*12)/(SUM(Holdings!J2:J1000)), Inputs!B4) / 12</f>
        <v>12100.19396</v>
      </c>
      <c r="F43" s="13">
        <f t="shared" si="1"/>
        <v>145202.3275</v>
      </c>
      <c r="G43" s="13">
        <f>D43 * Inputs!B6 * Inputs!B7</f>
        <v>15732.57615</v>
      </c>
    </row>
    <row r="44" ht="15.75" customHeight="1">
      <c r="A44" s="12">
        <v>43.0</v>
      </c>
      <c r="B44" s="21">
        <f>EDATE(Inputs!B2, 43-1)</f>
        <v>47177</v>
      </c>
      <c r="C44" s="13">
        <f>(43-1) * (Inputs!B3*2)</f>
        <v>184800</v>
      </c>
      <c r="D44" s="13">
        <f>SUM(Holdings!J2:J1000) + C44</f>
        <v>186806.68</v>
      </c>
      <c r="E44" s="13">
        <f>D44 * IFERROR((SUM(Holdings!K2:K1000)*12)/(SUM(Holdings!J2:J1000)), Inputs!B4) / 12</f>
        <v>12392.07391</v>
      </c>
      <c r="F44" s="13">
        <f t="shared" si="1"/>
        <v>148704.887</v>
      </c>
      <c r="G44" s="13">
        <f>D44 * Inputs!B6 * Inputs!B7</f>
        <v>16112.07615</v>
      </c>
    </row>
    <row r="45" ht="15.75" customHeight="1">
      <c r="A45" s="12">
        <v>44.0</v>
      </c>
      <c r="B45" s="21">
        <f>EDATE(Inputs!B2, 44-1)</f>
        <v>47205</v>
      </c>
      <c r="C45" s="13">
        <f>(44-1) * (Inputs!B3*2)</f>
        <v>189200</v>
      </c>
      <c r="D45" s="13">
        <f>SUM(Holdings!J2:J1000) + C45</f>
        <v>191206.68</v>
      </c>
      <c r="E45" s="13">
        <f>D45 * IFERROR((SUM(Holdings!K2:K1000)*12)/(SUM(Holdings!J2:J1000)), Inputs!B4) / 12</f>
        <v>12683.95387</v>
      </c>
      <c r="F45" s="13">
        <f t="shared" si="1"/>
        <v>152207.4464</v>
      </c>
      <c r="G45" s="13">
        <f>D45 * Inputs!B6 * Inputs!B7</f>
        <v>16491.57615</v>
      </c>
    </row>
    <row r="46" ht="15.75" customHeight="1">
      <c r="A46" s="12">
        <v>45.0</v>
      </c>
      <c r="B46" s="21">
        <f>EDATE(Inputs!B2, 45-1)</f>
        <v>47236</v>
      </c>
      <c r="C46" s="13">
        <f>(45-1) * (Inputs!B3*2)</f>
        <v>193600</v>
      </c>
      <c r="D46" s="13">
        <f>SUM(Holdings!J2:J1000) + C46</f>
        <v>195606.68</v>
      </c>
      <c r="E46" s="13">
        <f>D46 * IFERROR((SUM(Holdings!K2:K1000)*12)/(SUM(Holdings!J2:J1000)), Inputs!B4) / 12</f>
        <v>12975.83382</v>
      </c>
      <c r="F46" s="13">
        <f t="shared" si="1"/>
        <v>155710.0059</v>
      </c>
      <c r="G46" s="13">
        <f>D46 * Inputs!B6 * Inputs!B7</f>
        <v>16871.07615</v>
      </c>
    </row>
    <row r="47" ht="15.75" customHeight="1">
      <c r="A47" s="12">
        <v>46.0</v>
      </c>
      <c r="B47" s="21">
        <f>EDATE(Inputs!B2, 46-1)</f>
        <v>47266</v>
      </c>
      <c r="C47" s="13">
        <f>(46-1) * (Inputs!B3*2)</f>
        <v>198000</v>
      </c>
      <c r="D47" s="13">
        <f>SUM(Holdings!J2:J1000) + C47</f>
        <v>200006.68</v>
      </c>
      <c r="E47" s="13">
        <f>D47 * IFERROR((SUM(Holdings!K2:K1000)*12)/(SUM(Holdings!J2:J1000)), Inputs!B4) / 12</f>
        <v>13267.71378</v>
      </c>
      <c r="F47" s="13">
        <f t="shared" si="1"/>
        <v>159212.5653</v>
      </c>
      <c r="G47" s="13">
        <f>D47 * Inputs!B6 * Inputs!B7</f>
        <v>17250.57615</v>
      </c>
    </row>
    <row r="48" ht="15.75" customHeight="1">
      <c r="A48" s="12">
        <v>47.0</v>
      </c>
      <c r="B48" s="21">
        <f>EDATE(Inputs!B2, 47-1)</f>
        <v>47297</v>
      </c>
      <c r="C48" s="13">
        <f>(47-1) * (Inputs!B3*2)</f>
        <v>202400</v>
      </c>
      <c r="D48" s="13">
        <f>SUM(Holdings!J2:J1000) + C48</f>
        <v>204406.68</v>
      </c>
      <c r="E48" s="13">
        <f>D48 * IFERROR((SUM(Holdings!K2:K1000)*12)/(SUM(Holdings!J2:J1000)), Inputs!B4) / 12</f>
        <v>13559.59373</v>
      </c>
      <c r="F48" s="13">
        <f t="shared" si="1"/>
        <v>162715.1248</v>
      </c>
      <c r="G48" s="13">
        <f>D48 * Inputs!B6 * Inputs!B7</f>
        <v>17630.07615</v>
      </c>
    </row>
    <row r="49" ht="15.75" customHeight="1">
      <c r="A49" s="12">
        <v>48.0</v>
      </c>
      <c r="B49" s="21">
        <f>EDATE(Inputs!B2, 48-1)</f>
        <v>47327</v>
      </c>
      <c r="C49" s="13">
        <f>(48-1) * (Inputs!B3*2)</f>
        <v>206800</v>
      </c>
      <c r="D49" s="13">
        <f>SUM(Holdings!J2:J1000) + C49</f>
        <v>208806.68</v>
      </c>
      <c r="E49" s="13">
        <f>D49 * IFERROR((SUM(Holdings!K2:K1000)*12)/(SUM(Holdings!J2:J1000)), Inputs!B4) / 12</f>
        <v>13851.47368</v>
      </c>
      <c r="F49" s="13">
        <f t="shared" si="1"/>
        <v>166217.6842</v>
      </c>
      <c r="G49" s="13">
        <f>D49 * Inputs!B6 * Inputs!B7</f>
        <v>18009.57615</v>
      </c>
    </row>
    <row r="50" ht="15.75" customHeight="1">
      <c r="A50" s="12">
        <v>49.0</v>
      </c>
      <c r="B50" s="21">
        <f>EDATE(Inputs!B2, 49-1)</f>
        <v>47358</v>
      </c>
      <c r="C50" s="13">
        <f>(49-1) * (Inputs!B3*2)</f>
        <v>211200</v>
      </c>
      <c r="D50" s="13">
        <f>SUM(Holdings!J2:J1000) + C50</f>
        <v>213206.68</v>
      </c>
      <c r="E50" s="13">
        <f>D50 * IFERROR((SUM(Holdings!K2:K1000)*12)/(SUM(Holdings!J2:J1000)), Inputs!B4) / 12</f>
        <v>14143.35364</v>
      </c>
      <c r="F50" s="13">
        <f t="shared" si="1"/>
        <v>169720.2437</v>
      </c>
      <c r="G50" s="13">
        <f>D50 * Inputs!B6 * Inputs!B7</f>
        <v>18389.07615</v>
      </c>
    </row>
    <row r="51" ht="15.75" customHeight="1">
      <c r="A51" s="12">
        <v>50.0</v>
      </c>
      <c r="B51" s="21">
        <f>EDATE(Inputs!B2, 50-1)</f>
        <v>47389</v>
      </c>
      <c r="C51" s="13">
        <f>(50-1) * (Inputs!B3*2)</f>
        <v>215600</v>
      </c>
      <c r="D51" s="13">
        <f>SUM(Holdings!J2:J1000) + C51</f>
        <v>217606.68</v>
      </c>
      <c r="E51" s="13">
        <f>D51 * IFERROR((SUM(Holdings!K2:K1000)*12)/(SUM(Holdings!J2:J1000)), Inputs!B4) / 12</f>
        <v>14435.23359</v>
      </c>
      <c r="F51" s="13">
        <f t="shared" si="1"/>
        <v>173222.8031</v>
      </c>
      <c r="G51" s="13">
        <f>D51 * Inputs!B6 * Inputs!B7</f>
        <v>18768.57615</v>
      </c>
    </row>
    <row r="52" ht="15.75" customHeight="1">
      <c r="A52" s="12">
        <v>51.0</v>
      </c>
      <c r="B52" s="21">
        <f>EDATE(Inputs!B2, 51-1)</f>
        <v>47419</v>
      </c>
      <c r="C52" s="13">
        <f>(51-1) * (Inputs!B3*2)</f>
        <v>220000</v>
      </c>
      <c r="D52" s="13">
        <f>SUM(Holdings!J2:J1000) + C52</f>
        <v>222006.68</v>
      </c>
      <c r="E52" s="13">
        <f>D52 * IFERROR((SUM(Holdings!K2:K1000)*12)/(SUM(Holdings!J2:J1000)), Inputs!B4) / 12</f>
        <v>14727.11355</v>
      </c>
      <c r="F52" s="13">
        <f t="shared" si="1"/>
        <v>176725.3626</v>
      </c>
      <c r="G52" s="13">
        <f>D52 * Inputs!B6 * Inputs!B7</f>
        <v>19148.07615</v>
      </c>
    </row>
    <row r="53" ht="15.75" customHeight="1">
      <c r="A53" s="12">
        <v>52.0</v>
      </c>
      <c r="B53" s="21">
        <f>EDATE(Inputs!B2, 52-1)</f>
        <v>47450</v>
      </c>
      <c r="C53" s="13">
        <f>(52-1) * (Inputs!B3*2)</f>
        <v>224400</v>
      </c>
      <c r="D53" s="13">
        <f>SUM(Holdings!J2:J1000) + C53</f>
        <v>226406.68</v>
      </c>
      <c r="E53" s="13">
        <f>D53 * IFERROR((SUM(Holdings!K2:K1000)*12)/(SUM(Holdings!J2:J1000)), Inputs!B4) / 12</f>
        <v>15018.9935</v>
      </c>
      <c r="F53" s="13">
        <f t="shared" si="1"/>
        <v>180227.922</v>
      </c>
      <c r="G53" s="13">
        <f>D53 * Inputs!B6 * Inputs!B7</f>
        <v>19527.57615</v>
      </c>
    </row>
    <row r="54" ht="15.75" customHeight="1">
      <c r="A54" s="12">
        <v>53.0</v>
      </c>
      <c r="B54" s="21">
        <f>EDATE(Inputs!B2, 53-1)</f>
        <v>47480</v>
      </c>
      <c r="C54" s="13">
        <f>(53-1) * (Inputs!B3*2)</f>
        <v>228800</v>
      </c>
      <c r="D54" s="13">
        <f>SUM(Holdings!J2:J1000) + C54</f>
        <v>230806.68</v>
      </c>
      <c r="E54" s="13">
        <f>D54 * IFERROR((SUM(Holdings!K2:K1000)*12)/(SUM(Holdings!J2:J1000)), Inputs!B4) / 12</f>
        <v>15310.87346</v>
      </c>
      <c r="F54" s="13">
        <f t="shared" si="1"/>
        <v>183730.4815</v>
      </c>
      <c r="G54" s="13">
        <f>D54 * Inputs!B6 * Inputs!B7</f>
        <v>19907.07615</v>
      </c>
    </row>
    <row r="55" ht="15.75" customHeight="1">
      <c r="A55" s="12">
        <v>54.0</v>
      </c>
      <c r="B55" s="21">
        <f>EDATE(Inputs!B2, 54-1)</f>
        <v>47511</v>
      </c>
      <c r="C55" s="13">
        <f>(54-1) * (Inputs!B3*2)</f>
        <v>233200</v>
      </c>
      <c r="D55" s="13">
        <f>SUM(Holdings!J2:J1000) + C55</f>
        <v>235206.68</v>
      </c>
      <c r="E55" s="13">
        <f>D55 * IFERROR((SUM(Holdings!K2:K1000)*12)/(SUM(Holdings!J2:J1000)), Inputs!B4) / 12</f>
        <v>15602.75341</v>
      </c>
      <c r="F55" s="13">
        <f t="shared" si="1"/>
        <v>187233.0409</v>
      </c>
      <c r="G55" s="13">
        <f>D55 * Inputs!B6 * Inputs!B7</f>
        <v>20286.57615</v>
      </c>
    </row>
    <row r="56" ht="15.75" customHeight="1">
      <c r="A56" s="12">
        <v>55.0</v>
      </c>
      <c r="B56" s="21">
        <f>EDATE(Inputs!B2, 55-1)</f>
        <v>47542</v>
      </c>
      <c r="C56" s="13">
        <f>(55-1) * (Inputs!B3*2)</f>
        <v>237600</v>
      </c>
      <c r="D56" s="13">
        <f>SUM(Holdings!J2:J1000) + C56</f>
        <v>239606.68</v>
      </c>
      <c r="E56" s="13">
        <f>D56 * IFERROR((SUM(Holdings!K2:K1000)*12)/(SUM(Holdings!J2:J1000)), Inputs!B4) / 12</f>
        <v>15894.63336</v>
      </c>
      <c r="F56" s="13">
        <f t="shared" si="1"/>
        <v>190735.6004</v>
      </c>
      <c r="G56" s="13">
        <f>D56 * Inputs!B6 * Inputs!B7</f>
        <v>20666.07615</v>
      </c>
    </row>
    <row r="57" ht="15.75" customHeight="1">
      <c r="A57" s="12">
        <v>56.0</v>
      </c>
      <c r="B57" s="21">
        <f>EDATE(Inputs!B2, 56-1)</f>
        <v>47570</v>
      </c>
      <c r="C57" s="13">
        <f>(56-1) * (Inputs!B3*2)</f>
        <v>242000</v>
      </c>
      <c r="D57" s="13">
        <f>SUM(Holdings!J2:J1000) + C57</f>
        <v>244006.68</v>
      </c>
      <c r="E57" s="13">
        <f>D57 * IFERROR((SUM(Holdings!K2:K1000)*12)/(SUM(Holdings!J2:J1000)), Inputs!B4) / 12</f>
        <v>16186.51332</v>
      </c>
      <c r="F57" s="13">
        <f t="shared" si="1"/>
        <v>194238.1598</v>
      </c>
      <c r="G57" s="13">
        <f>D57 * Inputs!B6 * Inputs!B7</f>
        <v>21045.57615</v>
      </c>
    </row>
    <row r="58" ht="15.75" customHeight="1">
      <c r="A58" s="12">
        <v>57.0</v>
      </c>
      <c r="B58" s="21">
        <f>EDATE(Inputs!B2, 57-1)</f>
        <v>47601</v>
      </c>
      <c r="C58" s="13">
        <f>(57-1) * (Inputs!B3*2)</f>
        <v>246400</v>
      </c>
      <c r="D58" s="13">
        <f>SUM(Holdings!J2:J1000) + C58</f>
        <v>248406.68</v>
      </c>
      <c r="E58" s="13">
        <f>D58 * IFERROR((SUM(Holdings!K2:K1000)*12)/(SUM(Holdings!J2:J1000)), Inputs!B4) / 12</f>
        <v>16478.39327</v>
      </c>
      <c r="F58" s="13">
        <f t="shared" si="1"/>
        <v>197740.7193</v>
      </c>
      <c r="G58" s="13">
        <f>D58 * Inputs!B6 * Inputs!B7</f>
        <v>21425.07615</v>
      </c>
    </row>
    <row r="59" ht="15.75" customHeight="1">
      <c r="A59" s="12">
        <v>58.0</v>
      </c>
      <c r="B59" s="21">
        <f>EDATE(Inputs!B2, 58-1)</f>
        <v>47631</v>
      </c>
      <c r="C59" s="13">
        <f>(58-1) * (Inputs!B3*2)</f>
        <v>250800</v>
      </c>
      <c r="D59" s="13">
        <f>SUM(Holdings!J2:J1000) + C59</f>
        <v>252806.68</v>
      </c>
      <c r="E59" s="13">
        <f>D59 * IFERROR((SUM(Holdings!K2:K1000)*12)/(SUM(Holdings!J2:J1000)), Inputs!B4) / 12</f>
        <v>16770.27323</v>
      </c>
      <c r="F59" s="13">
        <f t="shared" si="1"/>
        <v>201243.2787</v>
      </c>
      <c r="G59" s="13">
        <f>D59 * Inputs!B6 * Inputs!B7</f>
        <v>21804.57615</v>
      </c>
    </row>
    <row r="60" ht="15.75" customHeight="1">
      <c r="A60" s="12">
        <v>59.0</v>
      </c>
      <c r="B60" s="21">
        <f>EDATE(Inputs!B2, 59-1)</f>
        <v>47662</v>
      </c>
      <c r="C60" s="13">
        <f>(59-1) * (Inputs!B3*2)</f>
        <v>255200</v>
      </c>
      <c r="D60" s="13">
        <f>SUM(Holdings!J2:J1000) + C60</f>
        <v>257206.68</v>
      </c>
      <c r="E60" s="13">
        <f>D60 * IFERROR((SUM(Holdings!K2:K1000)*12)/(SUM(Holdings!J2:J1000)), Inputs!B4) / 12</f>
        <v>17062.15318</v>
      </c>
      <c r="F60" s="13">
        <f t="shared" si="1"/>
        <v>204745.8382</v>
      </c>
      <c r="G60" s="13">
        <f>D60 * Inputs!B6 * Inputs!B7</f>
        <v>22184.07615</v>
      </c>
    </row>
    <row r="61" ht="15.75" customHeight="1">
      <c r="A61" s="12">
        <v>60.0</v>
      </c>
      <c r="B61" s="21">
        <f>EDATE(Inputs!B2, 60-1)</f>
        <v>47692</v>
      </c>
      <c r="C61" s="13">
        <f>(60-1) * (Inputs!B3*2)</f>
        <v>259600</v>
      </c>
      <c r="D61" s="13">
        <f>SUM(Holdings!J2:J1000) + C61</f>
        <v>261606.68</v>
      </c>
      <c r="E61" s="13">
        <f>D61 * IFERROR((SUM(Holdings!K2:K1000)*12)/(SUM(Holdings!J2:J1000)), Inputs!B4) / 12</f>
        <v>17354.03314</v>
      </c>
      <c r="F61" s="13">
        <f t="shared" si="1"/>
        <v>208248.3976</v>
      </c>
      <c r="G61" s="13">
        <f>D61 * Inputs!B6 * Inputs!B7</f>
        <v>22563.57615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43"/>
    <col customWidth="1" min="3" max="3" width="18.0"/>
    <col customWidth="1" min="4" max="4" width="19.86"/>
    <col customWidth="1" min="5" max="5" width="30.0"/>
    <col customWidth="1" min="6" max="6" width="20.0"/>
    <col customWidth="1" min="7" max="7" width="18.0"/>
    <col customWidth="1" min="8" max="26" width="8.71"/>
  </cols>
  <sheetData>
    <row r="1">
      <c r="A1" s="9" t="s">
        <v>69</v>
      </c>
      <c r="B1" s="9" t="s">
        <v>91</v>
      </c>
      <c r="C1" s="9" t="s">
        <v>120</v>
      </c>
      <c r="D1" s="9" t="s">
        <v>121</v>
      </c>
      <c r="E1" s="9" t="s">
        <v>122</v>
      </c>
      <c r="F1" s="9" t="s">
        <v>123</v>
      </c>
      <c r="G1" s="2"/>
    </row>
    <row r="2">
      <c r="A2" s="10" t="s">
        <v>111</v>
      </c>
      <c r="B2" s="10" t="s">
        <v>95</v>
      </c>
      <c r="C2" s="22">
        <v>1.0</v>
      </c>
      <c r="D2" s="12">
        <v>2200.0</v>
      </c>
      <c r="E2" s="12">
        <v>200.0</v>
      </c>
    </row>
    <row r="3">
      <c r="A3" s="9" t="s">
        <v>124</v>
      </c>
      <c r="B3" s="23"/>
      <c r="C3" s="24">
        <f t="shared" ref="C3:E3" si="1">SUM(C2)</f>
        <v>1</v>
      </c>
      <c r="D3" s="25">
        <f t="shared" si="1"/>
        <v>2200</v>
      </c>
      <c r="E3" s="25">
        <f t="shared" si="1"/>
        <v>200</v>
      </c>
      <c r="F3" s="25"/>
    </row>
    <row r="4">
      <c r="B4" s="7"/>
      <c r="C4" s="2"/>
    </row>
    <row r="5">
      <c r="B5" s="7"/>
      <c r="C5" s="2"/>
    </row>
    <row r="6">
      <c r="B6" s="7"/>
      <c r="C6" s="2"/>
    </row>
    <row r="7">
      <c r="B7" s="7"/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2.14"/>
    <col customWidth="1" min="3" max="3" width="17.0"/>
    <col customWidth="1" min="4" max="4" width="17.14"/>
    <col customWidth="1" min="5" max="5" width="18.0"/>
    <col customWidth="1" min="6" max="6" width="16.29"/>
    <col customWidth="1" min="7" max="7" width="9.43"/>
    <col customWidth="1" min="8" max="8" width="14.29"/>
    <col customWidth="1" min="9" max="9" width="10.0"/>
    <col customWidth="1" min="10" max="10" width="17.86"/>
    <col customWidth="1" min="11" max="26" width="8.71"/>
  </cols>
  <sheetData>
    <row r="1">
      <c r="A1" s="26" t="s">
        <v>125</v>
      </c>
      <c r="B1" s="26" t="s">
        <v>126</v>
      </c>
      <c r="C1" s="26" t="s">
        <v>127</v>
      </c>
      <c r="D1" s="26" t="s">
        <v>128</v>
      </c>
      <c r="E1" s="26" t="s">
        <v>129</v>
      </c>
      <c r="F1" s="26" t="s">
        <v>130</v>
      </c>
      <c r="G1" s="26" t="s">
        <v>131</v>
      </c>
      <c r="H1" s="26" t="s">
        <v>132</v>
      </c>
      <c r="I1" s="26" t="s">
        <v>81</v>
      </c>
      <c r="J1" s="26" t="s">
        <v>133</v>
      </c>
    </row>
    <row r="2">
      <c r="A2" s="10" t="s">
        <v>134</v>
      </c>
      <c r="D2" s="2"/>
      <c r="E2" s="2"/>
      <c r="F2" s="2"/>
      <c r="G2" s="2"/>
      <c r="H2" s="2"/>
      <c r="I2" s="22">
        <v>0.1</v>
      </c>
      <c r="J2" s="12">
        <v>0.1</v>
      </c>
    </row>
    <row r="3">
      <c r="A3" s="10" t="s">
        <v>135</v>
      </c>
      <c r="D3" s="2"/>
      <c r="E3" s="2"/>
      <c r="F3" s="2"/>
      <c r="G3" s="2"/>
      <c r="H3" s="2"/>
      <c r="I3" s="22">
        <v>1108.5450346420323</v>
      </c>
      <c r="J3" s="12">
        <v>1108.5450346420323</v>
      </c>
    </row>
    <row r="4">
      <c r="A4" s="10" t="s">
        <v>136</v>
      </c>
      <c r="D4" s="2"/>
      <c r="E4" s="2"/>
      <c r="F4" s="2"/>
      <c r="G4" s="2"/>
      <c r="H4" s="2"/>
      <c r="I4" s="22">
        <v>4800.0</v>
      </c>
      <c r="J4" s="12">
        <v>4800.0</v>
      </c>
    </row>
    <row r="5">
      <c r="D5" s="2"/>
      <c r="E5" s="2"/>
      <c r="F5" s="2"/>
      <c r="G5" s="2"/>
      <c r="H5" s="2"/>
      <c r="I5" s="2"/>
    </row>
    <row r="6">
      <c r="D6" s="2"/>
      <c r="E6" s="2"/>
      <c r="F6" s="2"/>
      <c r="G6" s="2"/>
      <c r="H6" s="2"/>
      <c r="I6" s="2"/>
    </row>
    <row r="7">
      <c r="D7" s="2"/>
      <c r="E7" s="2"/>
      <c r="F7" s="2"/>
      <c r="G7" s="2"/>
      <c r="H7" s="2"/>
      <c r="I7" s="2"/>
    </row>
    <row r="8">
      <c r="D8" s="2"/>
      <c r="E8" s="2"/>
      <c r="F8" s="2"/>
      <c r="G8" s="2"/>
      <c r="H8" s="2"/>
      <c r="I8" s="2"/>
    </row>
    <row r="9">
      <c r="D9" s="2"/>
      <c r="E9" s="2"/>
      <c r="F9" s="2"/>
      <c r="G9" s="2"/>
      <c r="H9" s="2"/>
      <c r="I9" s="2"/>
    </row>
    <row r="10">
      <c r="D10" s="2"/>
      <c r="E10" s="2"/>
      <c r="F10" s="2"/>
      <c r="G10" s="2"/>
      <c r="H10" s="2"/>
      <c r="I10" s="2"/>
    </row>
    <row r="11">
      <c r="D11" s="2"/>
      <c r="E11" s="2"/>
      <c r="F11" s="2"/>
      <c r="G11" s="2"/>
      <c r="H11" s="2"/>
      <c r="I11" s="2"/>
    </row>
    <row r="12">
      <c r="D12" s="2"/>
      <c r="E12" s="2"/>
      <c r="F12" s="2"/>
      <c r="G12" s="2"/>
      <c r="H12" s="2"/>
      <c r="I12" s="2"/>
    </row>
    <row r="13">
      <c r="D13" s="2"/>
      <c r="E13" s="2"/>
      <c r="F13" s="2"/>
      <c r="G13" s="2"/>
      <c r="H13" s="2"/>
      <c r="I13" s="2"/>
    </row>
    <row r="14">
      <c r="D14" s="2"/>
      <c r="E14" s="2"/>
      <c r="F14" s="2"/>
      <c r="G14" s="2"/>
      <c r="H14" s="2"/>
      <c r="I14" s="2"/>
    </row>
    <row r="15">
      <c r="D15" s="2"/>
      <c r="E15" s="2"/>
      <c r="F15" s="2"/>
      <c r="G15" s="2"/>
      <c r="H15" s="2"/>
      <c r="I15" s="2"/>
    </row>
    <row r="16">
      <c r="D16" s="2"/>
      <c r="E16" s="2"/>
      <c r="F16" s="2"/>
      <c r="G16" s="2"/>
      <c r="H16" s="2"/>
      <c r="I16" s="2"/>
    </row>
    <row r="17">
      <c r="D17" s="2"/>
      <c r="E17" s="2"/>
      <c r="F17" s="2"/>
      <c r="G17" s="2"/>
      <c r="H17" s="2"/>
      <c r="I17" s="2"/>
    </row>
    <row r="18">
      <c r="D18" s="2"/>
      <c r="E18" s="2"/>
      <c r="F18" s="2"/>
      <c r="G18" s="2"/>
      <c r="H18" s="2"/>
      <c r="I18" s="2"/>
    </row>
    <row r="19">
      <c r="D19" s="2"/>
      <c r="E19" s="2"/>
      <c r="F19" s="2"/>
      <c r="G19" s="2"/>
      <c r="H19" s="2"/>
      <c r="I19" s="2"/>
    </row>
    <row r="20">
      <c r="D20" s="2"/>
      <c r="E20" s="2"/>
      <c r="F20" s="2"/>
      <c r="G20" s="2"/>
      <c r="H20" s="2"/>
      <c r="I20" s="2"/>
    </row>
    <row r="21" ht="15.75" customHeight="1">
      <c r="D21" s="2"/>
      <c r="E21" s="2"/>
      <c r="F21" s="2"/>
      <c r="G21" s="2"/>
      <c r="H21" s="2"/>
      <c r="I21" s="2"/>
    </row>
    <row r="22" ht="15.75" customHeight="1">
      <c r="D22" s="2"/>
      <c r="E22" s="2"/>
      <c r="F22" s="2"/>
      <c r="G22" s="2"/>
      <c r="H22" s="2"/>
      <c r="I22" s="2"/>
    </row>
    <row r="23" ht="15.75" customHeight="1">
      <c r="D23" s="2"/>
      <c r="E23" s="2"/>
      <c r="F23" s="2"/>
      <c r="G23" s="2"/>
      <c r="H23" s="2"/>
      <c r="I23" s="2"/>
    </row>
    <row r="24" ht="15.75" customHeight="1">
      <c r="D24" s="2"/>
      <c r="E24" s="2"/>
      <c r="F24" s="2"/>
      <c r="G24" s="2"/>
      <c r="H24" s="2"/>
      <c r="I24" s="2"/>
    </row>
    <row r="25" ht="15.75" customHeight="1">
      <c r="D25" s="2"/>
      <c r="E25" s="2"/>
      <c r="F25" s="2"/>
      <c r="G25" s="2"/>
      <c r="H25" s="2"/>
      <c r="I25" s="2"/>
    </row>
    <row r="26" ht="15.75" customHeight="1">
      <c r="D26" s="2"/>
      <c r="E26" s="2"/>
      <c r="F26" s="2"/>
      <c r="G26" s="2"/>
      <c r="H26" s="2"/>
      <c r="I26" s="2"/>
    </row>
    <row r="27" ht="15.75" customHeight="1">
      <c r="D27" s="2"/>
      <c r="E27" s="2"/>
      <c r="F27" s="2"/>
      <c r="G27" s="2"/>
      <c r="H27" s="2"/>
      <c r="I27" s="2"/>
    </row>
    <row r="28" ht="15.75" customHeight="1">
      <c r="D28" s="2"/>
      <c r="E28" s="2"/>
      <c r="F28" s="2"/>
      <c r="G28" s="2"/>
      <c r="H28" s="2"/>
      <c r="I28" s="2"/>
    </row>
    <row r="29" ht="15.75" customHeight="1">
      <c r="D29" s="2"/>
      <c r="E29" s="2"/>
      <c r="F29" s="2"/>
      <c r="G29" s="2"/>
      <c r="H29" s="2"/>
      <c r="I29" s="2"/>
    </row>
    <row r="30" ht="15.75" customHeight="1">
      <c r="D30" s="2"/>
      <c r="E30" s="2"/>
      <c r="F30" s="2"/>
      <c r="G30" s="2"/>
      <c r="H30" s="2"/>
      <c r="I30" s="2"/>
    </row>
    <row r="31" ht="15.75" customHeight="1">
      <c r="D31" s="2"/>
      <c r="E31" s="2"/>
      <c r="F31" s="2"/>
      <c r="G31" s="2"/>
      <c r="H31" s="2"/>
      <c r="I31" s="2"/>
    </row>
    <row r="32" ht="15.75" customHeight="1">
      <c r="D32" s="2"/>
      <c r="E32" s="2"/>
      <c r="F32" s="2"/>
      <c r="G32" s="2"/>
      <c r="H32" s="2"/>
      <c r="I32" s="2"/>
    </row>
    <row r="33" ht="15.75" customHeight="1">
      <c r="D33" s="2"/>
      <c r="E33" s="2"/>
      <c r="F33" s="2"/>
      <c r="G33" s="2"/>
      <c r="H33" s="2"/>
      <c r="I33" s="2"/>
    </row>
    <row r="34" ht="15.75" customHeight="1">
      <c r="D34" s="2"/>
      <c r="E34" s="2"/>
      <c r="F34" s="2"/>
      <c r="G34" s="2"/>
      <c r="H34" s="2"/>
      <c r="I34" s="2"/>
    </row>
    <row r="35" ht="15.75" customHeight="1">
      <c r="D35" s="2"/>
      <c r="E35" s="2"/>
      <c r="F35" s="2"/>
      <c r="G35" s="2"/>
      <c r="H35" s="2"/>
      <c r="I35" s="2"/>
    </row>
    <row r="36" ht="15.75" customHeight="1">
      <c r="D36" s="2"/>
      <c r="E36" s="2"/>
      <c r="F36" s="2"/>
      <c r="G36" s="2"/>
      <c r="H36" s="2"/>
      <c r="I36" s="2"/>
    </row>
    <row r="37" ht="15.75" customHeight="1">
      <c r="D37" s="2"/>
      <c r="E37" s="2"/>
      <c r="F37" s="2"/>
      <c r="G37" s="2"/>
      <c r="H37" s="2"/>
      <c r="I37" s="2"/>
    </row>
    <row r="38" ht="15.75" customHeight="1">
      <c r="D38" s="2"/>
      <c r="E38" s="2"/>
      <c r="F38" s="2"/>
      <c r="G38" s="2"/>
      <c r="H38" s="2"/>
      <c r="I38" s="2"/>
    </row>
    <row r="39" ht="15.75" customHeight="1">
      <c r="D39" s="2"/>
      <c r="E39" s="2"/>
      <c r="F39" s="2"/>
      <c r="G39" s="2"/>
      <c r="H39" s="2"/>
      <c r="I39" s="2"/>
    </row>
    <row r="40" ht="15.75" customHeight="1">
      <c r="D40" s="2"/>
      <c r="E40" s="2"/>
      <c r="F40" s="2"/>
      <c r="G40" s="2"/>
      <c r="H40" s="2"/>
      <c r="I40" s="2"/>
    </row>
    <row r="41" ht="15.75" customHeight="1">
      <c r="D41" s="2"/>
      <c r="E41" s="2"/>
      <c r="F41" s="2"/>
      <c r="G41" s="2"/>
      <c r="H41" s="2"/>
      <c r="I41" s="2"/>
    </row>
    <row r="42" ht="15.75" customHeight="1">
      <c r="D42" s="2"/>
      <c r="E42" s="2"/>
      <c r="F42" s="2"/>
      <c r="G42" s="2"/>
      <c r="H42" s="2"/>
      <c r="I42" s="2"/>
    </row>
    <row r="43" ht="15.75" customHeight="1">
      <c r="D43" s="2"/>
      <c r="E43" s="2"/>
      <c r="F43" s="2"/>
      <c r="G43" s="2"/>
      <c r="H43" s="2"/>
      <c r="I43" s="2"/>
    </row>
    <row r="44" ht="15.75" customHeight="1">
      <c r="D44" s="2"/>
      <c r="E44" s="2"/>
      <c r="F44" s="2"/>
      <c r="G44" s="2"/>
      <c r="H44" s="2"/>
      <c r="I44" s="2"/>
    </row>
    <row r="45" ht="15.75" customHeight="1">
      <c r="D45" s="2"/>
      <c r="E45" s="2"/>
      <c r="F45" s="2"/>
      <c r="G45" s="2"/>
      <c r="H45" s="2"/>
      <c r="I45" s="2"/>
    </row>
    <row r="46" ht="15.75" customHeight="1">
      <c r="D46" s="2"/>
      <c r="E46" s="2"/>
      <c r="F46" s="2"/>
      <c r="G46" s="2"/>
      <c r="H46" s="2"/>
      <c r="I46" s="2"/>
    </row>
    <row r="47" ht="15.75" customHeight="1">
      <c r="D47" s="2"/>
      <c r="E47" s="2"/>
      <c r="F47" s="2"/>
      <c r="G47" s="2"/>
      <c r="H47" s="2"/>
      <c r="I47" s="2"/>
    </row>
    <row r="48" ht="15.75" customHeight="1">
      <c r="D48" s="2"/>
      <c r="E48" s="2"/>
      <c r="F48" s="2"/>
      <c r="G48" s="2"/>
      <c r="H48" s="2"/>
      <c r="I48" s="2"/>
    </row>
    <row r="49" ht="15.75" customHeight="1">
      <c r="D49" s="2"/>
      <c r="E49" s="2"/>
      <c r="F49" s="2"/>
      <c r="G49" s="2"/>
      <c r="H49" s="2"/>
      <c r="I49" s="2"/>
    </row>
    <row r="50" ht="15.75" customHeight="1">
      <c r="D50" s="2"/>
      <c r="E50" s="2"/>
      <c r="F50" s="2"/>
      <c r="G50" s="2"/>
      <c r="H50" s="2"/>
      <c r="I50" s="2"/>
    </row>
    <row r="51" ht="15.75" customHeight="1">
      <c r="D51" s="2"/>
      <c r="E51" s="2"/>
      <c r="F51" s="2"/>
      <c r="G51" s="2"/>
      <c r="H51" s="2"/>
      <c r="I51" s="2"/>
    </row>
    <row r="52" ht="15.75" customHeight="1">
      <c r="D52" s="2"/>
      <c r="E52" s="2"/>
      <c r="F52" s="2"/>
      <c r="G52" s="2"/>
      <c r="H52" s="2"/>
      <c r="I52" s="2"/>
    </row>
    <row r="53" ht="15.75" customHeight="1">
      <c r="D53" s="2"/>
      <c r="E53" s="2"/>
      <c r="F53" s="2"/>
      <c r="G53" s="2"/>
      <c r="H53" s="2"/>
      <c r="I53" s="2"/>
    </row>
    <row r="54" ht="15.75" customHeight="1">
      <c r="D54" s="2"/>
      <c r="E54" s="2"/>
      <c r="F54" s="2"/>
      <c r="G54" s="2"/>
      <c r="H54" s="2"/>
      <c r="I54" s="2"/>
    </row>
    <row r="55" ht="15.75" customHeight="1">
      <c r="D55" s="2"/>
      <c r="E55" s="2"/>
      <c r="F55" s="2"/>
      <c r="G55" s="2"/>
      <c r="H55" s="2"/>
      <c r="I55" s="2"/>
    </row>
    <row r="56" ht="15.75" customHeight="1">
      <c r="D56" s="2"/>
      <c r="E56" s="2"/>
      <c r="F56" s="2"/>
      <c r="G56" s="2"/>
      <c r="H56" s="2"/>
      <c r="I56" s="2"/>
    </row>
    <row r="57" ht="15.75" customHeight="1">
      <c r="D57" s="2"/>
      <c r="E57" s="2"/>
      <c r="F57" s="2"/>
      <c r="G57" s="2"/>
      <c r="H57" s="2"/>
      <c r="I57" s="2"/>
    </row>
    <row r="58" ht="15.75" customHeight="1">
      <c r="D58" s="2"/>
      <c r="E58" s="2"/>
      <c r="F58" s="2"/>
      <c r="G58" s="2"/>
      <c r="H58" s="2"/>
      <c r="I58" s="2"/>
    </row>
    <row r="59" ht="15.75" customHeight="1">
      <c r="D59" s="2"/>
      <c r="E59" s="2"/>
      <c r="F59" s="2"/>
      <c r="G59" s="2"/>
      <c r="H59" s="2"/>
      <c r="I59" s="2"/>
    </row>
    <row r="60" ht="15.75" customHeight="1">
      <c r="D60" s="2"/>
      <c r="E60" s="2"/>
      <c r="F60" s="2"/>
      <c r="G60" s="2"/>
      <c r="H60" s="2"/>
      <c r="I60" s="2"/>
    </row>
    <row r="61" ht="15.75" customHeight="1">
      <c r="D61" s="2"/>
      <c r="E61" s="2"/>
      <c r="F61" s="2"/>
      <c r="G61" s="2"/>
      <c r="H61" s="2"/>
      <c r="I61" s="2"/>
    </row>
    <row r="62" ht="15.75" customHeight="1">
      <c r="D62" s="2"/>
      <c r="E62" s="2"/>
      <c r="F62" s="2"/>
      <c r="G62" s="2"/>
      <c r="H62" s="2"/>
      <c r="I62" s="2"/>
    </row>
    <row r="63" ht="15.75" customHeight="1">
      <c r="D63" s="2"/>
      <c r="E63" s="2"/>
      <c r="F63" s="2"/>
      <c r="G63" s="2"/>
      <c r="H63" s="2"/>
      <c r="I63" s="2"/>
    </row>
    <row r="64" ht="15.75" customHeight="1">
      <c r="D64" s="2"/>
      <c r="E64" s="2"/>
      <c r="F64" s="2"/>
      <c r="G64" s="2"/>
      <c r="H64" s="2"/>
      <c r="I64" s="2"/>
    </row>
    <row r="65" ht="15.75" customHeight="1">
      <c r="D65" s="2"/>
      <c r="E65" s="2"/>
      <c r="F65" s="2"/>
      <c r="G65" s="2"/>
      <c r="H65" s="2"/>
      <c r="I65" s="2"/>
    </row>
    <row r="66" ht="15.75" customHeight="1">
      <c r="D66" s="2"/>
      <c r="E66" s="2"/>
      <c r="F66" s="2"/>
      <c r="G66" s="2"/>
      <c r="H66" s="2"/>
      <c r="I66" s="2"/>
    </row>
    <row r="67" ht="15.75" customHeight="1">
      <c r="D67" s="2"/>
      <c r="E67" s="2"/>
      <c r="F67" s="2"/>
      <c r="G67" s="2"/>
      <c r="H67" s="2"/>
      <c r="I67" s="2"/>
    </row>
    <row r="68" ht="15.75" customHeight="1">
      <c r="D68" s="2"/>
      <c r="E68" s="2"/>
      <c r="F68" s="2"/>
      <c r="G68" s="2"/>
      <c r="H68" s="2"/>
      <c r="I68" s="2"/>
    </row>
    <row r="69" ht="15.75" customHeight="1">
      <c r="D69" s="2"/>
      <c r="E69" s="2"/>
      <c r="F69" s="2"/>
      <c r="G69" s="2"/>
      <c r="H69" s="2"/>
      <c r="I69" s="2"/>
    </row>
    <row r="70" ht="15.75" customHeight="1">
      <c r="D70" s="2"/>
      <c r="E70" s="2"/>
      <c r="F70" s="2"/>
      <c r="G70" s="2"/>
      <c r="H70" s="2"/>
      <c r="I70" s="2"/>
    </row>
    <row r="71" ht="15.75" customHeight="1">
      <c r="D71" s="2"/>
      <c r="E71" s="2"/>
      <c r="F71" s="2"/>
      <c r="G71" s="2"/>
      <c r="H71" s="2"/>
      <c r="I71" s="2"/>
    </row>
    <row r="72" ht="15.75" customHeight="1">
      <c r="D72" s="2"/>
      <c r="E72" s="2"/>
      <c r="F72" s="2"/>
      <c r="G72" s="2"/>
      <c r="H72" s="2"/>
      <c r="I72" s="2"/>
    </row>
    <row r="73" ht="15.75" customHeight="1">
      <c r="D73" s="2"/>
      <c r="E73" s="2"/>
      <c r="F73" s="2"/>
      <c r="G73" s="2"/>
      <c r="H73" s="2"/>
      <c r="I73" s="2"/>
    </row>
    <row r="74" ht="15.75" customHeight="1">
      <c r="D74" s="2"/>
      <c r="E74" s="2"/>
      <c r="F74" s="2"/>
      <c r="G74" s="2"/>
      <c r="H74" s="2"/>
      <c r="I74" s="2"/>
    </row>
    <row r="75" ht="15.75" customHeight="1">
      <c r="D75" s="2"/>
      <c r="E75" s="2"/>
      <c r="F75" s="2"/>
      <c r="G75" s="2"/>
      <c r="H75" s="2"/>
      <c r="I75" s="2"/>
    </row>
    <row r="76" ht="15.75" customHeight="1">
      <c r="D76" s="2"/>
      <c r="E76" s="2"/>
      <c r="F76" s="2"/>
      <c r="G76" s="2"/>
      <c r="H76" s="2"/>
      <c r="I76" s="2"/>
    </row>
    <row r="77" ht="15.75" customHeight="1">
      <c r="D77" s="2"/>
      <c r="E77" s="2"/>
      <c r="F77" s="2"/>
      <c r="G77" s="2"/>
      <c r="H77" s="2"/>
      <c r="I77" s="2"/>
    </row>
    <row r="78" ht="15.75" customHeight="1">
      <c r="D78" s="2"/>
      <c r="E78" s="2"/>
      <c r="F78" s="2"/>
      <c r="G78" s="2"/>
      <c r="H78" s="2"/>
      <c r="I78" s="2"/>
    </row>
    <row r="79" ht="15.75" customHeight="1">
      <c r="D79" s="2"/>
      <c r="E79" s="2"/>
      <c r="F79" s="2"/>
      <c r="G79" s="2"/>
      <c r="H79" s="2"/>
      <c r="I79" s="2"/>
    </row>
    <row r="80" ht="15.75" customHeight="1">
      <c r="D80" s="2"/>
      <c r="E80" s="2"/>
      <c r="F80" s="2"/>
      <c r="G80" s="2"/>
      <c r="H80" s="2"/>
      <c r="I80" s="2"/>
    </row>
    <row r="81" ht="15.75" customHeight="1">
      <c r="D81" s="2"/>
      <c r="E81" s="2"/>
      <c r="F81" s="2"/>
      <c r="G81" s="2"/>
      <c r="H81" s="2"/>
      <c r="I81" s="2"/>
    </row>
    <row r="82" ht="15.75" customHeight="1">
      <c r="D82" s="2"/>
      <c r="E82" s="2"/>
      <c r="F82" s="2"/>
      <c r="G82" s="2"/>
      <c r="H82" s="2"/>
      <c r="I82" s="2"/>
    </row>
    <row r="83" ht="15.75" customHeight="1">
      <c r="D83" s="2"/>
      <c r="E83" s="2"/>
      <c r="F83" s="2"/>
      <c r="G83" s="2"/>
      <c r="H83" s="2"/>
      <c r="I83" s="2"/>
    </row>
    <row r="84" ht="15.75" customHeight="1">
      <c r="D84" s="2"/>
      <c r="E84" s="2"/>
      <c r="F84" s="2"/>
      <c r="G84" s="2"/>
      <c r="H84" s="2"/>
      <c r="I84" s="2"/>
    </row>
    <row r="85" ht="15.75" customHeight="1">
      <c r="D85" s="2"/>
      <c r="E85" s="2"/>
      <c r="F85" s="2"/>
      <c r="G85" s="2"/>
      <c r="H85" s="2"/>
      <c r="I85" s="2"/>
    </row>
    <row r="86" ht="15.75" customHeight="1">
      <c r="D86" s="2"/>
      <c r="E86" s="2"/>
      <c r="F86" s="2"/>
      <c r="G86" s="2"/>
      <c r="H86" s="2"/>
      <c r="I86" s="2"/>
    </row>
    <row r="87" ht="15.75" customHeight="1">
      <c r="D87" s="2"/>
      <c r="E87" s="2"/>
      <c r="F87" s="2"/>
      <c r="G87" s="2"/>
      <c r="H87" s="2"/>
      <c r="I87" s="2"/>
    </row>
    <row r="88" ht="15.75" customHeight="1">
      <c r="D88" s="2"/>
      <c r="E88" s="2"/>
      <c r="F88" s="2"/>
      <c r="G88" s="2"/>
      <c r="H88" s="2"/>
      <c r="I88" s="2"/>
    </row>
    <row r="89" ht="15.75" customHeight="1">
      <c r="D89" s="2"/>
      <c r="E89" s="2"/>
      <c r="F89" s="2"/>
      <c r="G89" s="2"/>
      <c r="H89" s="2"/>
      <c r="I89" s="2"/>
    </row>
    <row r="90" ht="15.75" customHeight="1">
      <c r="D90" s="2"/>
      <c r="E90" s="2"/>
      <c r="F90" s="2"/>
      <c r="G90" s="2"/>
      <c r="H90" s="2"/>
      <c r="I90" s="2"/>
    </row>
    <row r="91" ht="15.75" customHeight="1">
      <c r="D91" s="2"/>
      <c r="E91" s="2"/>
      <c r="F91" s="2"/>
      <c r="G91" s="2"/>
      <c r="H91" s="2"/>
      <c r="I91" s="2"/>
    </row>
    <row r="92" ht="15.75" customHeight="1">
      <c r="D92" s="2"/>
      <c r="E92" s="2"/>
      <c r="F92" s="2"/>
      <c r="G92" s="2"/>
      <c r="H92" s="2"/>
      <c r="I92" s="2"/>
    </row>
    <row r="93" ht="15.75" customHeight="1">
      <c r="D93" s="2"/>
      <c r="E93" s="2"/>
      <c r="F93" s="2"/>
      <c r="G93" s="2"/>
      <c r="H93" s="2"/>
      <c r="I93" s="2"/>
    </row>
    <row r="94" ht="15.75" customHeight="1">
      <c r="D94" s="2"/>
      <c r="E94" s="2"/>
      <c r="F94" s="2"/>
      <c r="G94" s="2"/>
      <c r="H94" s="2"/>
      <c r="I94" s="2"/>
    </row>
    <row r="95" ht="15.75" customHeight="1">
      <c r="D95" s="2"/>
      <c r="E95" s="2"/>
      <c r="F95" s="2"/>
      <c r="G95" s="2"/>
      <c r="H95" s="2"/>
      <c r="I95" s="2"/>
    </row>
    <row r="96" ht="15.75" customHeight="1">
      <c r="D96" s="2"/>
      <c r="E96" s="2"/>
      <c r="F96" s="2"/>
      <c r="G96" s="2"/>
      <c r="H96" s="2"/>
      <c r="I96" s="2"/>
    </row>
    <row r="97" ht="15.75" customHeight="1">
      <c r="D97" s="2"/>
      <c r="E97" s="2"/>
      <c r="F97" s="2"/>
      <c r="G97" s="2"/>
      <c r="H97" s="2"/>
      <c r="I97" s="2"/>
    </row>
    <row r="98" ht="15.75" customHeight="1">
      <c r="D98" s="2"/>
      <c r="E98" s="2"/>
      <c r="F98" s="2"/>
      <c r="G98" s="2"/>
      <c r="H98" s="2"/>
      <c r="I98" s="2"/>
    </row>
    <row r="99" ht="15.75" customHeight="1">
      <c r="D99" s="2"/>
      <c r="E99" s="2"/>
      <c r="F99" s="2"/>
      <c r="G99" s="2"/>
      <c r="H99" s="2"/>
      <c r="I99" s="2"/>
    </row>
    <row r="100" ht="15.75" customHeight="1">
      <c r="D100" s="2"/>
      <c r="E100" s="2"/>
      <c r="F100" s="2"/>
      <c r="G100" s="2"/>
      <c r="H100" s="2"/>
      <c r="I100" s="2"/>
    </row>
    <row r="101" ht="15.75" customHeight="1">
      <c r="D101" s="2"/>
      <c r="E101" s="2"/>
      <c r="F101" s="2"/>
      <c r="G101" s="2"/>
      <c r="H101" s="2"/>
      <c r="I101" s="2"/>
    </row>
    <row r="102" ht="15.75" customHeight="1">
      <c r="D102" s="2"/>
      <c r="E102" s="2"/>
      <c r="F102" s="2"/>
      <c r="G102" s="2"/>
      <c r="H102" s="2"/>
      <c r="I102" s="2"/>
    </row>
    <row r="103" ht="15.75" customHeight="1">
      <c r="D103" s="2"/>
      <c r="E103" s="2"/>
      <c r="F103" s="2"/>
      <c r="G103" s="2"/>
      <c r="H103" s="2"/>
      <c r="I103" s="2"/>
    </row>
    <row r="104" ht="15.75" customHeight="1">
      <c r="D104" s="2"/>
      <c r="E104" s="2"/>
      <c r="F104" s="2"/>
      <c r="G104" s="2"/>
      <c r="H104" s="2"/>
      <c r="I104" s="2"/>
    </row>
    <row r="105" ht="15.75" customHeight="1">
      <c r="D105" s="2"/>
      <c r="E105" s="2"/>
      <c r="F105" s="2"/>
      <c r="G105" s="2"/>
      <c r="H105" s="2"/>
      <c r="I105" s="2"/>
    </row>
    <row r="106" ht="15.75" customHeight="1">
      <c r="D106" s="2"/>
      <c r="E106" s="2"/>
      <c r="F106" s="2"/>
      <c r="G106" s="2"/>
      <c r="H106" s="2"/>
      <c r="I106" s="2"/>
    </row>
    <row r="107" ht="15.75" customHeight="1">
      <c r="D107" s="2"/>
      <c r="E107" s="2"/>
      <c r="F107" s="2"/>
      <c r="G107" s="2"/>
      <c r="H107" s="2"/>
      <c r="I107" s="2"/>
    </row>
    <row r="108" ht="15.75" customHeight="1">
      <c r="D108" s="2"/>
      <c r="E108" s="2"/>
      <c r="F108" s="2"/>
      <c r="G108" s="2"/>
      <c r="H108" s="2"/>
      <c r="I108" s="2"/>
    </row>
    <row r="109" ht="15.75" customHeight="1">
      <c r="D109" s="2"/>
      <c r="E109" s="2"/>
      <c r="F109" s="2"/>
      <c r="G109" s="2"/>
      <c r="H109" s="2"/>
      <c r="I109" s="2"/>
    </row>
    <row r="110" ht="15.75" customHeight="1">
      <c r="D110" s="2"/>
      <c r="E110" s="2"/>
      <c r="F110" s="2"/>
      <c r="G110" s="2"/>
      <c r="H110" s="2"/>
      <c r="I110" s="2"/>
    </row>
    <row r="111" ht="15.75" customHeight="1">
      <c r="D111" s="2"/>
      <c r="E111" s="2"/>
      <c r="F111" s="2"/>
      <c r="G111" s="2"/>
      <c r="H111" s="2"/>
      <c r="I111" s="2"/>
    </row>
    <row r="112" ht="15.75" customHeight="1">
      <c r="D112" s="2"/>
      <c r="E112" s="2"/>
      <c r="F112" s="2"/>
      <c r="G112" s="2"/>
      <c r="H112" s="2"/>
      <c r="I112" s="2"/>
    </row>
    <row r="113" ht="15.75" customHeight="1">
      <c r="D113" s="2"/>
      <c r="E113" s="2"/>
      <c r="F113" s="2"/>
      <c r="G113" s="2"/>
      <c r="H113" s="2"/>
      <c r="I113" s="2"/>
    </row>
    <row r="114" ht="15.75" customHeight="1">
      <c r="D114" s="2"/>
      <c r="E114" s="2"/>
      <c r="F114" s="2"/>
      <c r="G114" s="2"/>
      <c r="H114" s="2"/>
      <c r="I114" s="2"/>
    </row>
    <row r="115" ht="15.75" customHeight="1">
      <c r="D115" s="2"/>
      <c r="E115" s="2"/>
      <c r="F115" s="2"/>
      <c r="G115" s="2"/>
      <c r="H115" s="2"/>
      <c r="I115" s="2"/>
    </row>
    <row r="116" ht="15.75" customHeight="1">
      <c r="D116" s="2"/>
      <c r="E116" s="2"/>
      <c r="F116" s="2"/>
      <c r="G116" s="2"/>
      <c r="H116" s="2"/>
      <c r="I116" s="2"/>
    </row>
    <row r="117" ht="15.75" customHeight="1">
      <c r="D117" s="2"/>
      <c r="E117" s="2"/>
      <c r="F117" s="2"/>
      <c r="G117" s="2"/>
      <c r="H117" s="2"/>
      <c r="I117" s="2"/>
    </row>
    <row r="118" ht="15.75" customHeight="1">
      <c r="D118" s="2"/>
      <c r="E118" s="2"/>
      <c r="F118" s="2"/>
      <c r="G118" s="2"/>
      <c r="H118" s="2"/>
      <c r="I118" s="2"/>
    </row>
    <row r="119" ht="15.75" customHeight="1">
      <c r="D119" s="2"/>
      <c r="E119" s="2"/>
      <c r="F119" s="2"/>
      <c r="G119" s="2"/>
      <c r="H119" s="2"/>
      <c r="I119" s="2"/>
    </row>
    <row r="120" ht="15.75" customHeight="1">
      <c r="D120" s="2"/>
      <c r="E120" s="2"/>
      <c r="F120" s="2"/>
      <c r="G120" s="2"/>
      <c r="H120" s="2"/>
      <c r="I120" s="2"/>
    </row>
    <row r="121" ht="15.75" customHeight="1">
      <c r="D121" s="2"/>
      <c r="E121" s="2"/>
      <c r="F121" s="2"/>
      <c r="G121" s="2"/>
      <c r="H121" s="2"/>
      <c r="I121" s="2"/>
    </row>
    <row r="122" ht="15.75" customHeight="1">
      <c r="D122" s="2"/>
      <c r="E122" s="2"/>
      <c r="F122" s="2"/>
      <c r="G122" s="2"/>
      <c r="H122" s="2"/>
      <c r="I122" s="2"/>
    </row>
    <row r="123" ht="15.75" customHeight="1">
      <c r="D123" s="2"/>
      <c r="E123" s="2"/>
      <c r="F123" s="2"/>
      <c r="G123" s="2"/>
      <c r="H123" s="2"/>
      <c r="I123" s="2"/>
    </row>
    <row r="124" ht="15.75" customHeight="1">
      <c r="D124" s="2"/>
      <c r="E124" s="2"/>
      <c r="F124" s="2"/>
      <c r="G124" s="2"/>
      <c r="H124" s="2"/>
      <c r="I124" s="2"/>
    </row>
    <row r="125" ht="15.75" customHeight="1">
      <c r="D125" s="2"/>
      <c r="E125" s="2"/>
      <c r="F125" s="2"/>
      <c r="G125" s="2"/>
      <c r="H125" s="2"/>
      <c r="I125" s="2"/>
    </row>
    <row r="126" ht="15.75" customHeight="1">
      <c r="D126" s="2"/>
      <c r="E126" s="2"/>
      <c r="F126" s="2"/>
      <c r="G126" s="2"/>
      <c r="H126" s="2"/>
      <c r="I126" s="2"/>
    </row>
    <row r="127" ht="15.75" customHeight="1">
      <c r="D127" s="2"/>
      <c r="E127" s="2"/>
      <c r="F127" s="2"/>
      <c r="G127" s="2"/>
      <c r="H127" s="2"/>
      <c r="I127" s="2"/>
    </row>
    <row r="128" ht="15.75" customHeight="1">
      <c r="D128" s="2"/>
      <c r="E128" s="2"/>
      <c r="F128" s="2"/>
      <c r="G128" s="2"/>
      <c r="H128" s="2"/>
      <c r="I128" s="2"/>
    </row>
    <row r="129" ht="15.75" customHeight="1">
      <c r="D129" s="2"/>
      <c r="E129" s="2"/>
      <c r="F129" s="2"/>
      <c r="G129" s="2"/>
      <c r="H129" s="2"/>
      <c r="I129" s="2"/>
    </row>
    <row r="130" ht="15.75" customHeight="1">
      <c r="D130" s="2"/>
      <c r="E130" s="2"/>
      <c r="F130" s="2"/>
      <c r="G130" s="2"/>
      <c r="H130" s="2"/>
      <c r="I130" s="2"/>
    </row>
    <row r="131" ht="15.75" customHeight="1">
      <c r="D131" s="2"/>
      <c r="E131" s="2"/>
      <c r="F131" s="2"/>
      <c r="G131" s="2"/>
      <c r="H131" s="2"/>
      <c r="I131" s="2"/>
    </row>
    <row r="132" ht="15.75" customHeight="1">
      <c r="D132" s="2"/>
      <c r="E132" s="2"/>
      <c r="F132" s="2"/>
      <c r="G132" s="2"/>
      <c r="H132" s="2"/>
      <c r="I132" s="2"/>
    </row>
    <row r="133" ht="15.75" customHeight="1">
      <c r="D133" s="2"/>
      <c r="E133" s="2"/>
      <c r="F133" s="2"/>
      <c r="G133" s="2"/>
      <c r="H133" s="2"/>
      <c r="I133" s="2"/>
    </row>
    <row r="134" ht="15.75" customHeight="1">
      <c r="D134" s="2"/>
      <c r="E134" s="2"/>
      <c r="F134" s="2"/>
      <c r="G134" s="2"/>
      <c r="H134" s="2"/>
      <c r="I134" s="2"/>
    </row>
    <row r="135" ht="15.75" customHeight="1">
      <c r="D135" s="2"/>
      <c r="E135" s="2"/>
      <c r="F135" s="2"/>
      <c r="G135" s="2"/>
      <c r="H135" s="2"/>
      <c r="I135" s="2"/>
    </row>
    <row r="136" ht="15.75" customHeight="1">
      <c r="D136" s="2"/>
      <c r="E136" s="2"/>
      <c r="F136" s="2"/>
      <c r="G136" s="2"/>
      <c r="H136" s="2"/>
      <c r="I136" s="2"/>
    </row>
    <row r="137" ht="15.75" customHeight="1">
      <c r="D137" s="2"/>
      <c r="E137" s="2"/>
      <c r="F137" s="2"/>
      <c r="G137" s="2"/>
      <c r="H137" s="2"/>
      <c r="I137" s="2"/>
    </row>
    <row r="138" ht="15.75" customHeight="1">
      <c r="D138" s="2"/>
      <c r="E138" s="2"/>
      <c r="F138" s="2"/>
      <c r="G138" s="2"/>
      <c r="H138" s="2"/>
      <c r="I138" s="2"/>
    </row>
    <row r="139" ht="15.75" customHeight="1">
      <c r="D139" s="2"/>
      <c r="E139" s="2"/>
      <c r="F139" s="2"/>
      <c r="G139" s="2"/>
      <c r="H139" s="2"/>
      <c r="I139" s="2"/>
    </row>
    <row r="140" ht="15.75" customHeight="1">
      <c r="D140" s="2"/>
      <c r="E140" s="2"/>
      <c r="F140" s="2"/>
      <c r="G140" s="2"/>
      <c r="H140" s="2"/>
      <c r="I140" s="2"/>
    </row>
    <row r="141" ht="15.75" customHeight="1">
      <c r="D141" s="2"/>
      <c r="E141" s="2"/>
      <c r="F141" s="2"/>
      <c r="G141" s="2"/>
      <c r="H141" s="2"/>
      <c r="I141" s="2"/>
    </row>
    <row r="142" ht="15.75" customHeight="1">
      <c r="D142" s="2"/>
      <c r="E142" s="2"/>
      <c r="F142" s="2"/>
      <c r="G142" s="2"/>
      <c r="H142" s="2"/>
      <c r="I142" s="2"/>
    </row>
    <row r="143" ht="15.75" customHeight="1">
      <c r="D143" s="2"/>
      <c r="E143" s="2"/>
      <c r="F143" s="2"/>
      <c r="G143" s="2"/>
      <c r="H143" s="2"/>
      <c r="I143" s="2"/>
    </row>
    <row r="144" ht="15.75" customHeight="1">
      <c r="D144" s="2"/>
      <c r="E144" s="2"/>
      <c r="F144" s="2"/>
      <c r="G144" s="2"/>
      <c r="H144" s="2"/>
      <c r="I144" s="2"/>
    </row>
    <row r="145" ht="15.75" customHeight="1">
      <c r="D145" s="2"/>
      <c r="E145" s="2"/>
      <c r="F145" s="2"/>
      <c r="G145" s="2"/>
      <c r="H145" s="2"/>
      <c r="I145" s="2"/>
    </row>
    <row r="146" ht="15.75" customHeight="1">
      <c r="D146" s="2"/>
      <c r="E146" s="2"/>
      <c r="F146" s="2"/>
      <c r="G146" s="2"/>
      <c r="H146" s="2"/>
      <c r="I146" s="2"/>
    </row>
    <row r="147" ht="15.75" customHeight="1">
      <c r="D147" s="2"/>
      <c r="E147" s="2"/>
      <c r="F147" s="2"/>
      <c r="G147" s="2"/>
      <c r="H147" s="2"/>
      <c r="I147" s="2"/>
    </row>
    <row r="148" ht="15.75" customHeight="1">
      <c r="D148" s="2"/>
      <c r="E148" s="2"/>
      <c r="F148" s="2"/>
      <c r="G148" s="2"/>
      <c r="H148" s="2"/>
      <c r="I148" s="2"/>
    </row>
    <row r="149" ht="15.75" customHeight="1">
      <c r="D149" s="2"/>
      <c r="E149" s="2"/>
      <c r="F149" s="2"/>
      <c r="G149" s="2"/>
      <c r="H149" s="2"/>
      <c r="I149" s="2"/>
    </row>
    <row r="150" ht="15.75" customHeight="1">
      <c r="D150" s="2"/>
      <c r="E150" s="2"/>
      <c r="F150" s="2"/>
      <c r="G150" s="2"/>
      <c r="H150" s="2"/>
      <c r="I150" s="2"/>
    </row>
    <row r="151" ht="15.75" customHeight="1">
      <c r="D151" s="2"/>
      <c r="E151" s="2"/>
      <c r="F151" s="2"/>
      <c r="G151" s="2"/>
      <c r="H151" s="2"/>
      <c r="I151" s="2"/>
    </row>
    <row r="152" ht="15.75" customHeight="1">
      <c r="D152" s="2"/>
      <c r="E152" s="2"/>
      <c r="F152" s="2"/>
      <c r="G152" s="2"/>
      <c r="H152" s="2"/>
      <c r="I152" s="2"/>
    </row>
    <row r="153" ht="15.75" customHeight="1">
      <c r="D153" s="2"/>
      <c r="E153" s="2"/>
      <c r="F153" s="2"/>
      <c r="G153" s="2"/>
      <c r="H153" s="2"/>
      <c r="I153" s="2"/>
    </row>
    <row r="154" ht="15.75" customHeight="1">
      <c r="D154" s="2"/>
      <c r="E154" s="2"/>
      <c r="F154" s="2"/>
      <c r="G154" s="2"/>
      <c r="H154" s="2"/>
      <c r="I154" s="2"/>
    </row>
    <row r="155" ht="15.75" customHeight="1">
      <c r="D155" s="2"/>
      <c r="E155" s="2"/>
      <c r="F155" s="2"/>
      <c r="G155" s="2"/>
      <c r="H155" s="2"/>
      <c r="I155" s="2"/>
    </row>
    <row r="156" ht="15.75" customHeight="1">
      <c r="D156" s="2"/>
      <c r="E156" s="2"/>
      <c r="F156" s="2"/>
      <c r="G156" s="2"/>
      <c r="H156" s="2"/>
      <c r="I156" s="2"/>
    </row>
    <row r="157" ht="15.75" customHeight="1">
      <c r="D157" s="2"/>
      <c r="E157" s="2"/>
      <c r="F157" s="2"/>
      <c r="G157" s="2"/>
      <c r="H157" s="2"/>
      <c r="I157" s="2"/>
    </row>
    <row r="158" ht="15.75" customHeight="1">
      <c r="D158" s="2"/>
      <c r="E158" s="2"/>
      <c r="F158" s="2"/>
      <c r="G158" s="2"/>
      <c r="H158" s="2"/>
      <c r="I158" s="2"/>
    </row>
    <row r="159" ht="15.75" customHeight="1">
      <c r="D159" s="2"/>
      <c r="E159" s="2"/>
      <c r="F159" s="2"/>
      <c r="G159" s="2"/>
      <c r="H159" s="2"/>
      <c r="I159" s="2"/>
    </row>
    <row r="160" ht="15.75" customHeight="1">
      <c r="D160" s="2"/>
      <c r="E160" s="2"/>
      <c r="F160" s="2"/>
      <c r="G160" s="2"/>
      <c r="H160" s="2"/>
      <c r="I160" s="2"/>
    </row>
    <row r="161" ht="15.75" customHeight="1">
      <c r="D161" s="2"/>
      <c r="E161" s="2"/>
      <c r="F161" s="2"/>
      <c r="G161" s="2"/>
      <c r="H161" s="2"/>
      <c r="I161" s="2"/>
    </row>
    <row r="162" ht="15.75" customHeight="1">
      <c r="D162" s="2"/>
      <c r="E162" s="2"/>
      <c r="F162" s="2"/>
      <c r="G162" s="2"/>
      <c r="H162" s="2"/>
      <c r="I162" s="2"/>
    </row>
    <row r="163" ht="15.75" customHeight="1">
      <c r="D163" s="2"/>
      <c r="E163" s="2"/>
      <c r="F163" s="2"/>
      <c r="G163" s="2"/>
      <c r="H163" s="2"/>
      <c r="I163" s="2"/>
    </row>
    <row r="164" ht="15.75" customHeight="1">
      <c r="D164" s="2"/>
      <c r="E164" s="2"/>
      <c r="F164" s="2"/>
      <c r="G164" s="2"/>
      <c r="H164" s="2"/>
      <c r="I164" s="2"/>
    </row>
    <row r="165" ht="15.75" customHeight="1">
      <c r="D165" s="2"/>
      <c r="E165" s="2"/>
      <c r="F165" s="2"/>
      <c r="G165" s="2"/>
      <c r="H165" s="2"/>
      <c r="I165" s="2"/>
    </row>
    <row r="166" ht="15.75" customHeight="1">
      <c r="D166" s="2"/>
      <c r="E166" s="2"/>
      <c r="F166" s="2"/>
      <c r="G166" s="2"/>
      <c r="H166" s="2"/>
      <c r="I166" s="2"/>
    </row>
    <row r="167" ht="15.75" customHeight="1">
      <c r="D167" s="2"/>
      <c r="E167" s="2"/>
      <c r="F167" s="2"/>
      <c r="G167" s="2"/>
      <c r="H167" s="2"/>
      <c r="I167" s="2"/>
    </row>
    <row r="168" ht="15.75" customHeight="1">
      <c r="D168" s="2"/>
      <c r="E168" s="2"/>
      <c r="F168" s="2"/>
      <c r="G168" s="2"/>
      <c r="H168" s="2"/>
      <c r="I168" s="2"/>
    </row>
    <row r="169" ht="15.75" customHeight="1">
      <c r="D169" s="2"/>
      <c r="E169" s="2"/>
      <c r="F169" s="2"/>
      <c r="G169" s="2"/>
      <c r="H169" s="2"/>
      <c r="I169" s="2"/>
    </row>
    <row r="170" ht="15.75" customHeight="1">
      <c r="D170" s="2"/>
      <c r="E170" s="2"/>
      <c r="F170" s="2"/>
      <c r="G170" s="2"/>
      <c r="H170" s="2"/>
      <c r="I170" s="2"/>
    </row>
    <row r="171" ht="15.75" customHeight="1">
      <c r="D171" s="2"/>
      <c r="E171" s="2"/>
      <c r="F171" s="2"/>
      <c r="G171" s="2"/>
      <c r="H171" s="2"/>
      <c r="I171" s="2"/>
    </row>
    <row r="172" ht="15.75" customHeight="1">
      <c r="D172" s="2"/>
      <c r="E172" s="2"/>
      <c r="F172" s="2"/>
      <c r="G172" s="2"/>
      <c r="H172" s="2"/>
      <c r="I172" s="2"/>
    </row>
    <row r="173" ht="15.75" customHeight="1">
      <c r="D173" s="2"/>
      <c r="E173" s="2"/>
      <c r="F173" s="2"/>
      <c r="G173" s="2"/>
      <c r="H173" s="2"/>
      <c r="I173" s="2"/>
    </row>
    <row r="174" ht="15.75" customHeight="1">
      <c r="D174" s="2"/>
      <c r="E174" s="2"/>
      <c r="F174" s="2"/>
      <c r="G174" s="2"/>
      <c r="H174" s="2"/>
      <c r="I174" s="2"/>
    </row>
    <row r="175" ht="15.75" customHeight="1">
      <c r="D175" s="2"/>
      <c r="E175" s="2"/>
      <c r="F175" s="2"/>
      <c r="G175" s="2"/>
      <c r="H175" s="2"/>
      <c r="I175" s="2"/>
    </row>
    <row r="176" ht="15.75" customHeight="1">
      <c r="D176" s="2"/>
      <c r="E176" s="2"/>
      <c r="F176" s="2"/>
      <c r="G176" s="2"/>
      <c r="H176" s="2"/>
      <c r="I176" s="2"/>
    </row>
    <row r="177" ht="15.75" customHeight="1">
      <c r="D177" s="2"/>
      <c r="E177" s="2"/>
      <c r="F177" s="2"/>
      <c r="G177" s="2"/>
      <c r="H177" s="2"/>
      <c r="I177" s="2"/>
    </row>
    <row r="178" ht="15.75" customHeight="1">
      <c r="D178" s="2"/>
      <c r="E178" s="2"/>
      <c r="F178" s="2"/>
      <c r="G178" s="2"/>
      <c r="H178" s="2"/>
      <c r="I178" s="2"/>
    </row>
    <row r="179" ht="15.75" customHeight="1">
      <c r="D179" s="2"/>
      <c r="E179" s="2"/>
      <c r="F179" s="2"/>
      <c r="G179" s="2"/>
      <c r="H179" s="2"/>
      <c r="I179" s="2"/>
    </row>
    <row r="180" ht="15.75" customHeight="1">
      <c r="D180" s="2"/>
      <c r="E180" s="2"/>
      <c r="F180" s="2"/>
      <c r="G180" s="2"/>
      <c r="H180" s="2"/>
      <c r="I180" s="2"/>
    </row>
    <row r="181" ht="15.75" customHeight="1">
      <c r="D181" s="2"/>
      <c r="E181" s="2"/>
      <c r="F181" s="2"/>
      <c r="G181" s="2"/>
      <c r="H181" s="2"/>
      <c r="I181" s="2"/>
    </row>
    <row r="182" ht="15.75" customHeight="1">
      <c r="D182" s="2"/>
      <c r="E182" s="2"/>
      <c r="F182" s="2"/>
      <c r="G182" s="2"/>
      <c r="H182" s="2"/>
      <c r="I182" s="2"/>
    </row>
    <row r="183" ht="15.75" customHeight="1">
      <c r="D183" s="2"/>
      <c r="E183" s="2"/>
      <c r="F183" s="2"/>
      <c r="G183" s="2"/>
      <c r="H183" s="2"/>
      <c r="I183" s="2"/>
    </row>
    <row r="184" ht="15.75" customHeight="1">
      <c r="D184" s="2"/>
      <c r="E184" s="2"/>
      <c r="F184" s="2"/>
      <c r="G184" s="2"/>
      <c r="H184" s="2"/>
      <c r="I184" s="2"/>
    </row>
    <row r="185" ht="15.75" customHeight="1">
      <c r="D185" s="2"/>
      <c r="E185" s="2"/>
      <c r="F185" s="2"/>
      <c r="G185" s="2"/>
      <c r="H185" s="2"/>
      <c r="I185" s="2"/>
    </row>
    <row r="186" ht="15.75" customHeight="1">
      <c r="D186" s="2"/>
      <c r="E186" s="2"/>
      <c r="F186" s="2"/>
      <c r="G186" s="2"/>
      <c r="H186" s="2"/>
      <c r="I186" s="2"/>
    </row>
    <row r="187" ht="15.75" customHeight="1">
      <c r="D187" s="2"/>
      <c r="E187" s="2"/>
      <c r="F187" s="2"/>
      <c r="G187" s="2"/>
      <c r="H187" s="2"/>
      <c r="I187" s="2"/>
    </row>
    <row r="188" ht="15.75" customHeight="1">
      <c r="D188" s="2"/>
      <c r="E188" s="2"/>
      <c r="F188" s="2"/>
      <c r="G188" s="2"/>
      <c r="H188" s="2"/>
      <c r="I188" s="2"/>
    </row>
    <row r="189" ht="15.75" customHeight="1">
      <c r="D189" s="2"/>
      <c r="E189" s="2"/>
      <c r="F189" s="2"/>
      <c r="G189" s="2"/>
      <c r="H189" s="2"/>
      <c r="I189" s="2"/>
    </row>
    <row r="190" ht="15.75" customHeight="1">
      <c r="D190" s="2"/>
      <c r="E190" s="2"/>
      <c r="F190" s="2"/>
      <c r="G190" s="2"/>
      <c r="H190" s="2"/>
      <c r="I190" s="2"/>
    </row>
    <row r="191" ht="15.75" customHeight="1">
      <c r="D191" s="2"/>
      <c r="E191" s="2"/>
      <c r="F191" s="2"/>
      <c r="G191" s="2"/>
      <c r="H191" s="2"/>
      <c r="I191" s="2"/>
    </row>
    <row r="192" ht="15.75" customHeight="1">
      <c r="D192" s="2"/>
      <c r="E192" s="2"/>
      <c r="F192" s="2"/>
      <c r="G192" s="2"/>
      <c r="H192" s="2"/>
      <c r="I192" s="2"/>
    </row>
    <row r="193" ht="15.75" customHeight="1">
      <c r="D193" s="2"/>
      <c r="E193" s="2"/>
      <c r="F193" s="2"/>
      <c r="G193" s="2"/>
      <c r="H193" s="2"/>
      <c r="I193" s="2"/>
    </row>
    <row r="194" ht="15.75" customHeight="1">
      <c r="D194" s="2"/>
      <c r="E194" s="2"/>
      <c r="F194" s="2"/>
      <c r="G194" s="2"/>
      <c r="H194" s="2"/>
      <c r="I194" s="2"/>
    </row>
    <row r="195" ht="15.75" customHeight="1">
      <c r="D195" s="2"/>
      <c r="E195" s="2"/>
      <c r="F195" s="2"/>
      <c r="G195" s="2"/>
      <c r="H195" s="2"/>
      <c r="I195" s="2"/>
    </row>
    <row r="196" ht="15.75" customHeight="1">
      <c r="D196" s="2"/>
      <c r="E196" s="2"/>
      <c r="F196" s="2"/>
      <c r="G196" s="2"/>
      <c r="H196" s="2"/>
      <c r="I196" s="2"/>
    </row>
    <row r="197" ht="15.75" customHeight="1">
      <c r="D197" s="2"/>
      <c r="E197" s="2"/>
      <c r="F197" s="2"/>
      <c r="G197" s="2"/>
      <c r="H197" s="2"/>
      <c r="I197" s="2"/>
    </row>
    <row r="198" ht="15.75" customHeight="1">
      <c r="D198" s="2"/>
      <c r="E198" s="2"/>
      <c r="F198" s="2"/>
      <c r="G198" s="2"/>
      <c r="H198" s="2"/>
      <c r="I198" s="2"/>
    </row>
    <row r="199" ht="15.75" customHeight="1">
      <c r="D199" s="2"/>
      <c r="E199" s="2"/>
      <c r="F199" s="2"/>
      <c r="G199" s="2"/>
      <c r="H199" s="2"/>
      <c r="I199" s="2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